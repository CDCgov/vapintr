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2.xml" ContentType="application/vnd.openxmlformats-officedocument.drawing+xml"/>
  <Override PartName="/xl/ctrlProps/ctrlProp14.xml" ContentType="application/vnd.ms-excel.controlproperties+xml"/>
  <Override PartName="/xl/drawings/drawing3.xml" ContentType="application/vnd.openxmlformats-officedocument.drawing+xml"/>
  <Override PartName="/xl/ctrlProps/ctrlProp15.xml" ContentType="application/vnd.ms-excel.controlproperties+xml"/>
  <Override PartName="/xl/ctrlProps/ctrlProp16.xml" ContentType="application/vnd.ms-excel.controlproperties+xml"/>
  <Override PartName="/xl/drawings/drawing4.xml" ContentType="application/vnd.openxmlformats-officedocument.drawing+xml"/>
  <Override PartName="/xl/ctrlProps/ctrlProp17.xml" ContentType="application/vnd.ms-excel.controlproperties+xml"/>
  <Override PartName="/xl/drawings/drawing5.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trlProps/ctrlProp18.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ctrlProps/ctrlProp19.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24226"/>
  <mc:AlternateContent xmlns:mc="http://schemas.openxmlformats.org/markup-compatibility/2006">
    <mc:Choice Requires="x15">
      <x15ac:absPath xmlns:x15ac="http://schemas.microsoft.com/office/spreadsheetml/2010/11/ac" url="C:\Users\ylb8\LocalDocuments\CampLejeune\vapintr\inst\extdata\"/>
    </mc:Choice>
  </mc:AlternateContent>
  <xr:revisionPtr revIDLastSave="0" documentId="13_ncr:1_{39B9B7FD-42FB-415D-ABE3-93039BD136ED}" xr6:coauthVersionLast="47" xr6:coauthVersionMax="47" xr10:uidLastSave="{00000000-0000-0000-0000-000000000000}"/>
  <bookViews>
    <workbookView xWindow="-120" yWindow="-120" windowWidth="25440" windowHeight="15390" firstSheet="7" activeTab="11" xr2:uid="{00000000-000D-0000-FFFF-FFFF00000000}"/>
  </bookViews>
  <sheets>
    <sheet name="README" sheetId="10" r:id="rId1"/>
    <sheet name="MODEL" sheetId="1" r:id="rId2"/>
    <sheet name="MEASURED_SOIL_GAS_CONC." sheetId="23" r:id="rId3"/>
    <sheet name="MULTI_CHEM_INPUT" sheetId="19" r:id="rId4"/>
    <sheet name="MULTI_CHEM_OUTPUT" sheetId="21" r:id="rId5"/>
    <sheet name="Converter" sheetId="22" r:id="rId6"/>
    <sheet name="BLDG_DATA" sheetId="7" r:id="rId7"/>
    <sheet name="CHEM_DATA" sheetId="28" r:id="rId8"/>
    <sheet name="EXPOSURE_DATA" sheetId="8" r:id="rId9"/>
    <sheet name="SOIL_DATA" sheetId="6" r:id="rId10"/>
    <sheet name="SOIL_CV_DATA" sheetId="16" r:id="rId11"/>
    <sheet name="ParametersSummary" sheetId="25" r:id="rId12"/>
    <sheet name="ToxSummary" sheetId="26" r:id="rId13"/>
    <sheet name="Reference Sources" sheetId="17" r:id="rId14"/>
    <sheet name="Version Notes" sheetId="27" r:id="rId15"/>
    <sheet name="PICK_LISTS" sheetId="9" state="hidden" r:id="rId16"/>
  </sheets>
  <externalReferences>
    <externalReference r:id="rId17"/>
  </externalReferences>
  <definedNames>
    <definedName name="_xlnm._FilterDatabase" localSheetId="7" hidden="1">CHEM_DATA!$A$5:$AJ$290</definedName>
    <definedName name="_xlnm._FilterDatabase" localSheetId="12" hidden="1">ToxSummary!$A$4:$AC$4</definedName>
    <definedName name="A_Param">MODEL!$G$111</definedName>
    <definedName name="A_Param_default">MODEL!$I$111</definedName>
    <definedName name="Abf">MODEL!$F$41</definedName>
    <definedName name="Abf_default">MODEL!$G$41</definedName>
    <definedName name="ach">MODEL!$F$43</definedName>
    <definedName name="ach_default">MODEL!$G$43</definedName>
    <definedName name="alpha">MODEL!$G$93</definedName>
    <definedName name="alpha_default">MODEL!$I$93</definedName>
    <definedName name="alpha_default_max">MODEL!$S$93</definedName>
    <definedName name="alpha_default_min">MODEL!$R$93</definedName>
    <definedName name="alpha_max">MODEL!$Q$93</definedName>
    <definedName name="alpha_max_default">MODEL!$S$93</definedName>
    <definedName name="alpha_min">MODEL!$P$93</definedName>
    <definedName name="alpha_min_default">MODEL!$R$93</definedName>
    <definedName name="alpha_range">MODEL!$G$2</definedName>
    <definedName name="arange">MODEL!$H$111</definedName>
    <definedName name="ATc">MODEL!$F$81</definedName>
    <definedName name="Atc_default">MODEL!$G$81</definedName>
    <definedName name="ATnc">MODEL!$F$82</definedName>
    <definedName name="ATnc_default">MODEL!$G$82</definedName>
    <definedName name="B_Param">MODEL!$G$112</definedName>
    <definedName name="B_Param_Default">MODEL!$I$112</definedName>
    <definedName name="B_param_max">MODEL!$P$112</definedName>
    <definedName name="B_param_max_default">MODEL!$R$112</definedName>
    <definedName name="B_param_min">MODEL!$O$112</definedName>
    <definedName name="B_param_min_default">MODEL!$Q$112</definedName>
    <definedName name="Bldg_Data">BLDG_DATA!$A$5:$N$14</definedName>
    <definedName name="Bldg_Setting">MODEL!$F$36</definedName>
    <definedName name="Bldg_Setting_List">PICK_LISTS!$B$3:$B$4</definedName>
    <definedName name="Bulk_Density">SOIL_DATA!$E$5:$E$17</definedName>
    <definedName name="C_Param">MODEL!$G$113</definedName>
    <definedName name="C_Param_Default">MODEL!$I$113</definedName>
    <definedName name="C_param_max">MODEL!$P$113</definedName>
    <definedName name="C_param_max_default">MODEL!$R$113</definedName>
    <definedName name="C_param_min">MODEL!$O$113</definedName>
    <definedName name="C_param_min_default">MODEL!$Q$113</definedName>
    <definedName name="Cancer_risk_range">MODEL!$H$153</definedName>
    <definedName name="Capillary_height">SOIL_DATA!$H$5:$H$17</definedName>
    <definedName name="Capillary_Water_Porosity_List">SOIL_DATA!$G$5:$G$17</definedName>
    <definedName name="CAS">MODEL!$F$18</definedName>
    <definedName name="CASNoParams">ParametersSummary!$B:$B</definedName>
    <definedName name="CASNoTox">ToxSummary!#REF!</definedName>
    <definedName name="Chem">MODEL!$F$17</definedName>
    <definedName name="Chem_data">CHEM_DATA!$A$6:$AD$290</definedName>
    <definedName name="Chem_Search" localSheetId="7">CHEM_DATA!$A$6:$A$290</definedName>
    <definedName name="Chem_Search">CHEM_DATA!$A$6:$A$290</definedName>
    <definedName name="Chemical_CV_data">#REF!</definedName>
    <definedName name="Chemical_Data">CHEM_DATA!$A$6:$AD$290</definedName>
    <definedName name="ChemNameTox">'[1]Tox Summary'!$N:$N</definedName>
    <definedName name="Cia">MODEL!$G$96</definedName>
    <definedName name="Cia_default">MODEL!$I$96</definedName>
    <definedName name="Cia_max">MODEL!$Q$96</definedName>
    <definedName name="Cia_max_default">MODEL!$S$96</definedName>
    <definedName name="Cia_min">MODEL!$P$96</definedName>
    <definedName name="Cia_min_default">MODEL!$R$96</definedName>
    <definedName name="cia_ppbv">MODEL!$G$97</definedName>
    <definedName name="cia_ppbv_default">MODEL!$I$97</definedName>
    <definedName name="Cia_range">MODEL!$G$3</definedName>
    <definedName name="CIA_range_ppbv">MODEL!$G$4</definedName>
    <definedName name="Cmedium">MODEL!$F$11</definedName>
    <definedName name="Cs">MODEL!$F$14</definedName>
    <definedName name="Css">MODEL!$G$100</definedName>
    <definedName name="Css_default">MODEL!$I$100</definedName>
    <definedName name="Css_max">MODEL!$Q$100</definedName>
    <definedName name="Css_max_default">MODEL!$S$100</definedName>
    <definedName name="Css_min">MODEL!$P$100</definedName>
    <definedName name="Css_min_default">MODEL!$R$100</definedName>
    <definedName name="css_range">MODEL!$H$100</definedName>
    <definedName name="css_range_ppbv">MODEL!$H$101</definedName>
    <definedName name="Dair">MODEL!$F$28</definedName>
    <definedName name="Dair_default">MODEL!$G$28</definedName>
    <definedName name="DaParams">ParametersSummary!$J:$J</definedName>
    <definedName name="DeffA">MODEL!$G$104</definedName>
    <definedName name="DeffA_default">MODEL!$I$104</definedName>
    <definedName name="DeffB">MODEL!$G$105</definedName>
    <definedName name="DeffB_default">MODEL!$I$105</definedName>
    <definedName name="DeffC">MODEL!$G$106</definedName>
    <definedName name="DeffC_default">MODEL!$I$106</definedName>
    <definedName name="DeffCS_default">MODEL!$I$107</definedName>
    <definedName name="DeffCZ">MODEL!$G$107</definedName>
    <definedName name="DeffCZ_default">MODEL!$I$107</definedName>
    <definedName name="DeffT">MODEL!$G$108</definedName>
    <definedName name="DeffT_default">MODEL!$I$108</definedName>
    <definedName name="Diff_Air_List">CHEM_DATA!$N$6:$N$290</definedName>
    <definedName name="Diff_Water_List">CHEM_DATA!$P$6:$P$290</definedName>
    <definedName name="Dwater">MODEL!$F$29</definedName>
    <definedName name="Dwater_default">MODEL!$G$29</definedName>
    <definedName name="DwParams">ParametersSummary!$L:$L</definedName>
    <definedName name="ED">MODEL!$F$83</definedName>
    <definedName name="ED_default">MODEL!$G$83</definedName>
    <definedName name="EF">MODEL!$F$84</definedName>
    <definedName name="EF_default">MODEL!$G$84</definedName>
    <definedName name="Emission_Rate">MODEL!$BB$216</definedName>
    <definedName name="ET">MODEL!$F$85</definedName>
    <definedName name="ET_default">MODEL!$G$85</definedName>
    <definedName name="eta">MODEL!$F$40</definedName>
    <definedName name="eta_default">MODEL!$G$40</definedName>
    <definedName name="Exp_Params">EXPOSURE_DATA!$C$2:$E$8</definedName>
    <definedName name="Exp_Params_Residential">EXPOSURE_DATA!$D$2:$D$7</definedName>
    <definedName name="Exp_Params_Scenario">EXPOSURE_DATA!$C$2:$C$7</definedName>
    <definedName name="Found_Type">MODEL!$F$37</definedName>
    <definedName name="Found_Type_List">PICK_LISTS!$C$3:$C$7</definedName>
    <definedName name="Hb">MODEL!$F$42</definedName>
    <definedName name="Hb_default">MODEL!$G$42</definedName>
    <definedName name="Hc">MODEL!$F$25</definedName>
    <definedName name="Hc_default">MODEL!$G$25</definedName>
    <definedName name="Hc25Params">ParametersSummary!$F:$F</definedName>
    <definedName name="hcz">MODEL!$F$74</definedName>
    <definedName name="hcz_default">MODEL!$G$74</definedName>
    <definedName name="HQ">MODEL!$G$154</definedName>
    <definedName name="HQ_range">MODEL!$H$154</definedName>
    <definedName name="Hr">MODEL!$F$26</definedName>
    <definedName name="Hr_default">MODEL!$G$26</definedName>
    <definedName name="Hs">MODEL!$F$27</definedName>
    <definedName name="Hs_default">MODEL!$G$27</definedName>
    <definedName name="hSA">MODEL!$F$56</definedName>
    <definedName name="hSB">MODEL!$F$62</definedName>
    <definedName name="hSC">MODEL!$F$68</definedName>
    <definedName name="hSC_default">MODEL!$G$68</definedName>
    <definedName name="IURTCE_C" comment="IUR for TCE, Commercial">MODEL!$BJ$12</definedName>
    <definedName name="IURTCE_C_GW">ToxSummary!$G$830</definedName>
    <definedName name="IURTCE_R" comment="IUR for TCE, Residential">MODEL!$BH$12</definedName>
    <definedName name="IURTCE_R_GW">ToxSummary!$E$830</definedName>
    <definedName name="KocParams">ParametersSummary!$O:$O</definedName>
    <definedName name="Lb">MODEL!$F$38</definedName>
    <definedName name="Lb_default">MODEL!$G$38</definedName>
    <definedName name="Lf">MODEL!$F$39</definedName>
    <definedName name="Lf_default">MODEL!$G$39</definedName>
    <definedName name="Ls">MODEL!$F$12</definedName>
    <definedName name="mIURTCE">MODEL!$BH$13</definedName>
    <definedName name="mIURTCE_C" comment="mIUR for TCE, commercial">MODEL!$BJ$11</definedName>
    <definedName name="mIURTCE_C_GW">ToxSummary!$G$829</definedName>
    <definedName name="mIURTCE_R" comment="mIUR for TCE, residential">MODEL!$BH$11</definedName>
    <definedName name="mIURTCE_R_GW">ToxSummary!$E$829</definedName>
    <definedName name="MMOAF">MODEL!$F$86</definedName>
    <definedName name="MMOAF_default">MODEL!$G$86</definedName>
    <definedName name="Multi_Chem_List">MULTI_CHEM_INPUT!$A$7:$A$289</definedName>
    <definedName name="MUT">MODEL!$F$21</definedName>
    <definedName name="MWParams">ParametersSummary!$C:$C</definedName>
    <definedName name="Name_and_run">MODEL!$F$7</definedName>
    <definedName name="ncz">MODEL!$F$75</definedName>
    <definedName name="ncz_default">MODEL!$G$75</definedName>
    <definedName name="nSA">MODEL!$F$57</definedName>
    <definedName name="nSA_default">MODEL!$G$57</definedName>
    <definedName name="nSB">MODEL!$F$63</definedName>
    <definedName name="nSB_default">MODEL!$G$63</definedName>
    <definedName name="nSC">MODEL!$F$69</definedName>
    <definedName name="nSC_default">MODEL!$G$69</definedName>
    <definedName name="nw_range">SOIL_DATA!$N$5:$N$17</definedName>
    <definedName name="nwcz">MODEL!$F$76</definedName>
    <definedName name="nwcz_default">MODEL!$G$76</definedName>
    <definedName name="nwSA">MODEL!$F$58</definedName>
    <definedName name="nwSA_default">MODEL!$G$58</definedName>
    <definedName name="nwSB">MODEL!$F$64</definedName>
    <definedName name="nwSB_default">MODEL!$G$64</definedName>
    <definedName name="nwSC">MODEL!$F$70</definedName>
    <definedName name="nwSC_default">MODEL!$G$70</definedName>
    <definedName name="OLE_LINK1" localSheetId="0">README!$B$2</definedName>
    <definedName name="_xlnm.Print_Area" localSheetId="1">MODEL!$A$5:$K$134,MODEL!$A$139:$K$155</definedName>
    <definedName name="PWCSParams">ParametersSummary!$Q:$Q</definedName>
    <definedName name="Qb">MODEL!$F$45</definedName>
    <definedName name="Qb_default">MODEL!$G$45</definedName>
    <definedName name="Qsoil">MODEL!$F$46</definedName>
    <definedName name="Qsoil_default">MODEL!$G$46</definedName>
    <definedName name="Qsoil_max" comment="for calculating over range of values">MODEL!$H$48</definedName>
    <definedName name="Qsoil_min" comment="for calculating over range of Qsoil/QBuilding values">MODEL!$H$47</definedName>
    <definedName name="Qsoil_Qb">MODEL!$F$44</definedName>
    <definedName name="Qsoil_Qb_default">MODEL!$G$44</definedName>
    <definedName name="Qsoil_Qb_max">MODEL!$G$48</definedName>
    <definedName name="Qsoil_Qb_min">MODEL!$G$47</definedName>
    <definedName name="Range1">BLDG_DATA!$A$5:$A$14</definedName>
    <definedName name="Range2">BLDG_DATA!$B$5:$B$14</definedName>
    <definedName name="RfC">MODEL!$F$22</definedName>
    <definedName name="RfC_default">MODEL!$G$22</definedName>
    <definedName name="rhoSA">MODEL!$F$59</definedName>
    <definedName name="rhoSA_default">MODEL!$G$59</definedName>
    <definedName name="rhoSB">MODEL!$F$65</definedName>
    <definedName name="rhoSB_default">MODEL!$G$65</definedName>
    <definedName name="rhoSC">MODEL!$F$71</definedName>
    <definedName name="rhoSC_default">MODEL!$G$71</definedName>
    <definedName name="S">MODEL!$F$24</definedName>
    <definedName name="S_default">MODEL!$G$24</definedName>
    <definedName name="Scenario">MODEL!$F$80</definedName>
    <definedName name="Scenario_LIst">PICK_LISTS!$E$3:$E$6</definedName>
    <definedName name="SCS_A">MODEL!$F$55</definedName>
    <definedName name="SCS_B">MODEL!$F$61</definedName>
    <definedName name="SCS_C">MODEL!$F$67</definedName>
    <definedName name="Soil_CV_Cap_WF_Porosity">SOIL_CV_DATA!$G$5:$G$17</definedName>
    <definedName name="Soil_CV_Data">SOIL_CV_DATA!$A$6:$M$17</definedName>
    <definedName name="Soil_CV_Name">SOIL_CV_DATA!$A$5:$A$17</definedName>
    <definedName name="Soil_Data">SOIL_DATA!$A$6:$N$17</definedName>
    <definedName name="Soil_Type">SOIL_DATA!$A$6:$A$17</definedName>
    <definedName name="Soil_Type2">SOIL_DATA!$A$5:$A$17</definedName>
    <definedName name="Source">MODEL!$F$10</definedName>
    <definedName name="Source_Medium_List">PICK_LISTS!$A$3:$A$5</definedName>
    <definedName name="src_soil">MODEL!$F$73</definedName>
    <definedName name="Stratum">PICK_LISTS!$D$3:$D$6</definedName>
    <definedName name="Target_CR">MODEL!$F$78</definedName>
    <definedName name="Target_CR_default">MODEL!$G$78</definedName>
    <definedName name="Target_HQ">MODEL!$F$79</definedName>
    <definedName name="Target_HQ_default">MODEL!$G$79</definedName>
    <definedName name="Target_IA">MODEL!$G$148</definedName>
    <definedName name="Target_IA_default">MODEL!$I$148</definedName>
    <definedName name="Total_Porosity">SOIL_DATA!$C$5:$C$17</definedName>
    <definedName name="Ts">MODEL!$F$13</definedName>
    <definedName name="Ts_default">MODEL!$G$13</definedName>
    <definedName name="URF">MODEL!$F$20</definedName>
    <definedName name="URF_default">MODEL!$G$20</definedName>
    <definedName name="WarnFlag">MODEL!$A$134</definedName>
    <definedName name="Water_Porosity">SOIL_DATA!$D$5:$D$17</definedName>
    <definedName name="XValuesA">OFFSET(YValuesA,0,1)</definedName>
    <definedName name="XValuesB">OFFSET(YValuesB,0,1)</definedName>
    <definedName name="XValuesC">OFFSET(YValuesC,0,1)</definedName>
    <definedName name="YValuesA">OFFSET(MODEL!$BA$223,0,0,COUNT(MODEL!$BA:$BA),1)</definedName>
    <definedName name="YValuesB">OFFSET(MODEL!$BC$223,0,0,COUNT(MODEL!$BC:$BC),1)</definedName>
    <definedName name="YValuesC">OFFSET(MODEL!$BE$223,0,0,COUNT(MODEL!$BE:$BE),1)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292" i="28" l="1"/>
  <c r="G291" i="28"/>
  <c r="G122" i="28"/>
  <c r="G121" i="28"/>
  <c r="G8" i="28"/>
  <c r="G9" i="28"/>
  <c r="G10" i="28"/>
  <c r="G11" i="28"/>
  <c r="G12" i="28"/>
  <c r="G13" i="28"/>
  <c r="G14" i="28"/>
  <c r="G15" i="28"/>
  <c r="G16" i="28"/>
  <c r="G17" i="28"/>
  <c r="G18" i="28"/>
  <c r="G19" i="28"/>
  <c r="B8" i="17" l="1"/>
  <c r="B7" i="17"/>
  <c r="H17" i="6"/>
  <c r="G17" i="6"/>
  <c r="H16" i="6"/>
  <c r="G16" i="6"/>
  <c r="H15" i="6"/>
  <c r="G15" i="6"/>
  <c r="H14" i="6"/>
  <c r="G14" i="6"/>
  <c r="H13" i="6"/>
  <c r="G13" i="6"/>
  <c r="H12" i="6"/>
  <c r="G12" i="6"/>
  <c r="H11" i="6"/>
  <c r="G11" i="6"/>
  <c r="H10" i="6"/>
  <c r="G10" i="6"/>
  <c r="H9" i="6"/>
  <c r="G9" i="6"/>
  <c r="H8" i="6"/>
  <c r="G8" i="6"/>
  <c r="H7" i="6"/>
  <c r="G7" i="6"/>
  <c r="H6" i="6"/>
  <c r="G6" i="6"/>
  <c r="G290" i="28"/>
  <c r="G289" i="28"/>
  <c r="G288" i="28"/>
  <c r="G287" i="28"/>
  <c r="G286" i="28"/>
  <c r="G285" i="28"/>
  <c r="G284" i="28"/>
  <c r="G283" i="28"/>
  <c r="G282" i="28"/>
  <c r="G281" i="28"/>
  <c r="G280" i="28"/>
  <c r="G279" i="28"/>
  <c r="G278" i="28"/>
  <c r="G277" i="28"/>
  <c r="G276" i="28"/>
  <c r="G275" i="28"/>
  <c r="G274" i="28"/>
  <c r="G273" i="28"/>
  <c r="G272" i="28"/>
  <c r="G271" i="28"/>
  <c r="G270" i="28"/>
  <c r="G269" i="28"/>
  <c r="G268" i="28"/>
  <c r="G267" i="28"/>
  <c r="G266" i="28"/>
  <c r="G265" i="28"/>
  <c r="G264" i="28"/>
  <c r="G263" i="28"/>
  <c r="G262" i="28"/>
  <c r="G261" i="28"/>
  <c r="G260" i="28"/>
  <c r="G259" i="28"/>
  <c r="G258" i="28"/>
  <c r="G257" i="28"/>
  <c r="G256" i="28"/>
  <c r="G255" i="28"/>
  <c r="G254" i="28"/>
  <c r="G253" i="28"/>
  <c r="G252" i="28"/>
  <c r="G251" i="28"/>
  <c r="G250" i="28"/>
  <c r="G249" i="28"/>
  <c r="G248" i="28"/>
  <c r="G247" i="28"/>
  <c r="G246" i="28"/>
  <c r="G245" i="28"/>
  <c r="G244" i="28"/>
  <c r="G243" i="28"/>
  <c r="G242" i="28"/>
  <c r="G241" i="28"/>
  <c r="G240" i="28"/>
  <c r="G239" i="28"/>
  <c r="G238" i="28"/>
  <c r="G237" i="28"/>
  <c r="G236" i="28"/>
  <c r="G235" i="28"/>
  <c r="G234" i="28"/>
  <c r="G233" i="28"/>
  <c r="G232" i="28"/>
  <c r="G231" i="28"/>
  <c r="G230" i="28"/>
  <c r="G229" i="28"/>
  <c r="G228" i="28"/>
  <c r="G227" i="28"/>
  <c r="G226" i="28"/>
  <c r="G225" i="28"/>
  <c r="G224" i="28"/>
  <c r="G223" i="28"/>
  <c r="G222" i="28"/>
  <c r="G221" i="28"/>
  <c r="G220" i="28"/>
  <c r="G219" i="28"/>
  <c r="G218" i="28"/>
  <c r="G217" i="28"/>
  <c r="G216" i="28"/>
  <c r="G215" i="28"/>
  <c r="G214" i="28"/>
  <c r="G213" i="28"/>
  <c r="G212" i="28"/>
  <c r="G211" i="28"/>
  <c r="G210" i="28"/>
  <c r="G209" i="28"/>
  <c r="G208" i="28"/>
  <c r="G207" i="28"/>
  <c r="G206" i="28"/>
  <c r="G205" i="28"/>
  <c r="G204" i="28"/>
  <c r="G203" i="28"/>
  <c r="G202" i="28"/>
  <c r="G201" i="28"/>
  <c r="G200" i="28"/>
  <c r="G199" i="28"/>
  <c r="G198" i="28"/>
  <c r="G197" i="28"/>
  <c r="G196" i="28"/>
  <c r="G195" i="28"/>
  <c r="G194" i="28"/>
  <c r="G193" i="28"/>
  <c r="G192" i="28"/>
  <c r="G191" i="28"/>
  <c r="G190" i="28"/>
  <c r="G189" i="28"/>
  <c r="G188" i="28"/>
  <c r="G187" i="28"/>
  <c r="G186" i="28"/>
  <c r="G185" i="28"/>
  <c r="G184" i="28"/>
  <c r="G183" i="28"/>
  <c r="G182" i="28"/>
  <c r="G181" i="28"/>
  <c r="G180" i="28"/>
  <c r="G179" i="28"/>
  <c r="G178" i="28"/>
  <c r="G177" i="28"/>
  <c r="G176" i="28"/>
  <c r="G175" i="28"/>
  <c r="G174" i="28"/>
  <c r="G173" i="28"/>
  <c r="G172" i="28"/>
  <c r="G171" i="28"/>
  <c r="G170" i="28"/>
  <c r="G169" i="28"/>
  <c r="G168" i="28"/>
  <c r="G167" i="28"/>
  <c r="G166" i="28"/>
  <c r="G165" i="28"/>
  <c r="G164" i="28"/>
  <c r="G163" i="28"/>
  <c r="G162" i="28"/>
  <c r="G161" i="28"/>
  <c r="G160" i="28"/>
  <c r="G159" i="28"/>
  <c r="G158" i="28"/>
  <c r="G157" i="28"/>
  <c r="G156" i="28"/>
  <c r="G155" i="28"/>
  <c r="G154" i="28"/>
  <c r="G153" i="28"/>
  <c r="G152" i="28"/>
  <c r="G151" i="28"/>
  <c r="G150" i="28"/>
  <c r="G149" i="28"/>
  <c r="G148" i="28"/>
  <c r="G147" i="28"/>
  <c r="G146" i="28"/>
  <c r="G145" i="28"/>
  <c r="G144" i="28"/>
  <c r="G143" i="28"/>
  <c r="G142" i="28"/>
  <c r="G141" i="28"/>
  <c r="G140" i="28"/>
  <c r="G139" i="28"/>
  <c r="G138" i="28"/>
  <c r="G137" i="28"/>
  <c r="G136" i="28"/>
  <c r="G135" i="28"/>
  <c r="G134" i="28"/>
  <c r="G133" i="28"/>
  <c r="G132" i="28"/>
  <c r="G131" i="28"/>
  <c r="G130" i="28"/>
  <c r="G129" i="28"/>
  <c r="G128" i="28"/>
  <c r="G127" i="28"/>
  <c r="G126" i="28"/>
  <c r="G125" i="28"/>
  <c r="G124" i="28"/>
  <c r="G123" i="28"/>
  <c r="G120" i="28"/>
  <c r="G119" i="28"/>
  <c r="G118" i="28"/>
  <c r="G117" i="28"/>
  <c r="G116" i="28"/>
  <c r="G115" i="28"/>
  <c r="G114" i="28"/>
  <c r="G113" i="28"/>
  <c r="G112" i="28"/>
  <c r="G111" i="28"/>
  <c r="G110" i="28"/>
  <c r="G109" i="28"/>
  <c r="G108" i="28"/>
  <c r="G107" i="28"/>
  <c r="G106" i="28"/>
  <c r="G105" i="28"/>
  <c r="G104" i="28"/>
  <c r="G103" i="28"/>
  <c r="G102" i="28"/>
  <c r="G101" i="28"/>
  <c r="G100" i="28"/>
  <c r="G99" i="28"/>
  <c r="G98" i="28"/>
  <c r="G97" i="28"/>
  <c r="G96" i="28"/>
  <c r="G95" i="28"/>
  <c r="G94" i="28"/>
  <c r="G93" i="28"/>
  <c r="G92" i="28"/>
  <c r="G91" i="28"/>
  <c r="G90" i="28"/>
  <c r="G89" i="28"/>
  <c r="G88" i="28"/>
  <c r="G87" i="28"/>
  <c r="G86" i="28"/>
  <c r="G85" i="28"/>
  <c r="G84" i="28"/>
  <c r="G83" i="28"/>
  <c r="G82" i="28"/>
  <c r="G81" i="28"/>
  <c r="G80" i="28"/>
  <c r="G79" i="28"/>
  <c r="G78" i="28"/>
  <c r="G77" i="28"/>
  <c r="G76" i="28"/>
  <c r="G75" i="28"/>
  <c r="G74" i="28"/>
  <c r="G73" i="28"/>
  <c r="G72" i="28"/>
  <c r="G71" i="28"/>
  <c r="G70" i="28"/>
  <c r="G69" i="28"/>
  <c r="G68" i="28"/>
  <c r="G67" i="28"/>
  <c r="G66" i="28"/>
  <c r="G65" i="28"/>
  <c r="G64" i="28"/>
  <c r="G63" i="28"/>
  <c r="G62" i="28"/>
  <c r="G61" i="28"/>
  <c r="G60" i="28"/>
  <c r="G59" i="28"/>
  <c r="G58" i="28"/>
  <c r="G57" i="28"/>
  <c r="G56" i="28"/>
  <c r="G55" i="28"/>
  <c r="G54" i="28"/>
  <c r="G53" i="28"/>
  <c r="G52" i="28"/>
  <c r="G51" i="28"/>
  <c r="G50" i="28"/>
  <c r="G49" i="28"/>
  <c r="G48" i="28"/>
  <c r="G47" i="28"/>
  <c r="G46" i="28"/>
  <c r="G45" i="28"/>
  <c r="G44" i="28"/>
  <c r="G43" i="28"/>
  <c r="G42" i="28"/>
  <c r="G41" i="28"/>
  <c r="G40" i="28"/>
  <c r="G39" i="28"/>
  <c r="G38" i="28"/>
  <c r="G37" i="28"/>
  <c r="G36" i="28"/>
  <c r="G35" i="28"/>
  <c r="G34" i="28"/>
  <c r="G33" i="28"/>
  <c r="G32" i="28"/>
  <c r="G31" i="28"/>
  <c r="G30" i="28"/>
  <c r="G29" i="28"/>
  <c r="G28" i="28"/>
  <c r="G27" i="28"/>
  <c r="G26" i="28"/>
  <c r="G25" i="28"/>
  <c r="G24" i="28"/>
  <c r="G23" i="28"/>
  <c r="G22" i="28"/>
  <c r="G21" i="28"/>
  <c r="G20" i="28"/>
  <c r="G7" i="28"/>
  <c r="G6" i="28"/>
  <c r="G14" i="7"/>
  <c r="AG42" i="1" s="1"/>
  <c r="I13" i="7"/>
  <c r="I12" i="7"/>
  <c r="K12" i="7" s="1"/>
  <c r="I11" i="7"/>
  <c r="K10" i="7"/>
  <c r="I10" i="7"/>
  <c r="I9" i="7"/>
  <c r="K9" i="7" s="1"/>
  <c r="I8" i="7"/>
  <c r="I7" i="7"/>
  <c r="K7" i="7" s="1"/>
  <c r="I6" i="7"/>
  <c r="K5" i="7"/>
  <c r="I5" i="7"/>
  <c r="G13" i="22"/>
  <c r="F13" i="22"/>
  <c r="C13" i="22"/>
  <c r="G12" i="22"/>
  <c r="F12" i="22"/>
  <c r="C12" i="22"/>
  <c r="G11" i="22"/>
  <c r="F11" i="22"/>
  <c r="C11" i="22"/>
  <c r="G10" i="22"/>
  <c r="F10" i="22"/>
  <c r="C10" i="22"/>
  <c r="G9" i="22"/>
  <c r="F9" i="22"/>
  <c r="C9" i="22"/>
  <c r="G8" i="22"/>
  <c r="F8" i="22"/>
  <c r="C8" i="22"/>
  <c r="G7" i="22"/>
  <c r="F7" i="22"/>
  <c r="C7" i="22"/>
  <c r="F6" i="22"/>
  <c r="G5" i="22"/>
  <c r="F5" i="22"/>
  <c r="E126" i="21"/>
  <c r="D126" i="21"/>
  <c r="A126" i="21"/>
  <c r="E91" i="21"/>
  <c r="D91" i="21"/>
  <c r="A91" i="21"/>
  <c r="A75" i="21"/>
  <c r="E62" i="21"/>
  <c r="D62" i="21"/>
  <c r="C62" i="21"/>
  <c r="E61" i="21"/>
  <c r="D61" i="21"/>
  <c r="C61" i="21"/>
  <c r="E60" i="21"/>
  <c r="D60" i="21"/>
  <c r="C60" i="21"/>
  <c r="A58" i="21"/>
  <c r="B9" i="21"/>
  <c r="B8" i="21"/>
  <c r="D7" i="21"/>
  <c r="B7" i="21"/>
  <c r="BF219" i="1"/>
  <c r="BD219" i="1"/>
  <c r="AG150" i="1"/>
  <c r="AF150" i="1"/>
  <c r="AC150" i="1"/>
  <c r="F150" i="1"/>
  <c r="E150" i="1"/>
  <c r="B150" i="1"/>
  <c r="AI147" i="1"/>
  <c r="AH147" i="1"/>
  <c r="I147" i="1"/>
  <c r="G147" i="1"/>
  <c r="AI146" i="1"/>
  <c r="AH146" i="1"/>
  <c r="I146" i="1"/>
  <c r="G146" i="1"/>
  <c r="F141" i="1"/>
  <c r="A141" i="1"/>
  <c r="A139" i="1"/>
  <c r="AG107" i="1"/>
  <c r="AF107" i="1"/>
  <c r="AC107" i="1"/>
  <c r="F107" i="1"/>
  <c r="E107" i="1"/>
  <c r="B107" i="1"/>
  <c r="AI106" i="1"/>
  <c r="AH106" i="1"/>
  <c r="I106" i="1"/>
  <c r="G106" i="1"/>
  <c r="AI105" i="1"/>
  <c r="AH105" i="1"/>
  <c r="I105" i="1"/>
  <c r="G105" i="1"/>
  <c r="AC93" i="1"/>
  <c r="B93" i="1"/>
  <c r="F90" i="1"/>
  <c r="AA88" i="1"/>
  <c r="A88" i="1"/>
  <c r="AG86" i="1"/>
  <c r="AF86" i="1"/>
  <c r="G86" i="1"/>
  <c r="F86" i="1"/>
  <c r="AF80" i="1"/>
  <c r="F80" i="1"/>
  <c r="G85" i="1" s="1"/>
  <c r="AK79" i="1"/>
  <c r="AJ79" i="1"/>
  <c r="K79" i="1"/>
  <c r="J79" i="1"/>
  <c r="AK78" i="1"/>
  <c r="AJ78" i="1"/>
  <c r="K78" i="1"/>
  <c r="J78" i="1"/>
  <c r="E76" i="1"/>
  <c r="D76" i="1"/>
  <c r="C76" i="1"/>
  <c r="E75" i="1"/>
  <c r="D75" i="1"/>
  <c r="C75" i="1"/>
  <c r="E74" i="1"/>
  <c r="D74" i="1"/>
  <c r="C74" i="1"/>
  <c r="AF73" i="1"/>
  <c r="F73" i="1"/>
  <c r="AK72" i="1"/>
  <c r="AJ72" i="1"/>
  <c r="K72" i="1"/>
  <c r="J72" i="1"/>
  <c r="A72" i="1"/>
  <c r="AI71" i="1"/>
  <c r="AG71" i="1"/>
  <c r="AF71" i="1"/>
  <c r="I71" i="1"/>
  <c r="G71" i="1"/>
  <c r="F71" i="1"/>
  <c r="AI70" i="1"/>
  <c r="AH70" i="1"/>
  <c r="AG70" i="1"/>
  <c r="AF70" i="1"/>
  <c r="I70" i="1"/>
  <c r="H70" i="1"/>
  <c r="G70" i="1"/>
  <c r="F70" i="1"/>
  <c r="AI69" i="1"/>
  <c r="AG69" i="1"/>
  <c r="AF69" i="1"/>
  <c r="I69" i="1"/>
  <c r="G69" i="1"/>
  <c r="F69" i="1"/>
  <c r="AJ69" i="1" s="1"/>
  <c r="K68" i="1"/>
  <c r="AK67" i="1"/>
  <c r="AJ67" i="1"/>
  <c r="K67" i="1"/>
  <c r="J67" i="1"/>
  <c r="AI65" i="1"/>
  <c r="AG65" i="1"/>
  <c r="AF65" i="1"/>
  <c r="I65" i="1"/>
  <c r="G65" i="1"/>
  <c r="F65" i="1"/>
  <c r="AK65" i="1" s="1"/>
  <c r="AI64" i="1"/>
  <c r="AH64" i="1"/>
  <c r="AG64" i="1"/>
  <c r="AF64" i="1"/>
  <c r="I64" i="1"/>
  <c r="H64" i="1"/>
  <c r="G64" i="1"/>
  <c r="F64" i="1"/>
  <c r="AI63" i="1"/>
  <c r="AG63" i="1"/>
  <c r="AF63" i="1"/>
  <c r="I63" i="1"/>
  <c r="G63" i="1"/>
  <c r="F63" i="1"/>
  <c r="AJ63" i="1" s="1"/>
  <c r="K62" i="1"/>
  <c r="AI59" i="1"/>
  <c r="AG59" i="1"/>
  <c r="AF59" i="1"/>
  <c r="J59" i="1"/>
  <c r="I59" i="1"/>
  <c r="G59" i="1"/>
  <c r="F59" i="1"/>
  <c r="AK59" i="1" s="1"/>
  <c r="AI58" i="1"/>
  <c r="AH58" i="1"/>
  <c r="AG58" i="1"/>
  <c r="AF58" i="1"/>
  <c r="I58" i="1"/>
  <c r="H58" i="1"/>
  <c r="G58" i="1"/>
  <c r="F58" i="1"/>
  <c r="K58" i="1" s="1"/>
  <c r="AK57" i="1"/>
  <c r="AI57" i="1"/>
  <c r="AG57" i="1"/>
  <c r="AF57" i="1"/>
  <c r="I57" i="1"/>
  <c r="G57" i="1"/>
  <c r="F57" i="1"/>
  <c r="AJ57" i="1" s="1"/>
  <c r="B52" i="1"/>
  <c r="F50" i="1"/>
  <c r="A48" i="1"/>
  <c r="AG46" i="1"/>
  <c r="AG45" i="1"/>
  <c r="AG44" i="1" s="1"/>
  <c r="G44" i="1"/>
  <c r="I113" i="1" s="1"/>
  <c r="F44" i="1"/>
  <c r="G48" i="1" s="1"/>
  <c r="AH43" i="1"/>
  <c r="AG43" i="1"/>
  <c r="AF43" i="1"/>
  <c r="H43" i="1"/>
  <c r="G43" i="1"/>
  <c r="F43" i="1"/>
  <c r="AI42" i="1"/>
  <c r="AH42" i="1"/>
  <c r="H42" i="1"/>
  <c r="G42" i="1"/>
  <c r="AI41" i="1"/>
  <c r="AH41" i="1"/>
  <c r="AG41" i="1"/>
  <c r="AF41" i="1"/>
  <c r="H41" i="1"/>
  <c r="G41" i="1"/>
  <c r="F41" i="1"/>
  <c r="K41" i="1" s="1"/>
  <c r="AI40" i="1"/>
  <c r="AH40" i="1"/>
  <c r="AG40" i="1"/>
  <c r="AF40" i="1"/>
  <c r="H40" i="1"/>
  <c r="G40" i="1"/>
  <c r="F40" i="1"/>
  <c r="AL40" i="1" s="1"/>
  <c r="AI39" i="1"/>
  <c r="AH39" i="1"/>
  <c r="AG39" i="1"/>
  <c r="AF39" i="1"/>
  <c r="H39" i="1"/>
  <c r="G39" i="1"/>
  <c r="F39" i="1"/>
  <c r="K39" i="1" s="1"/>
  <c r="AH38" i="1"/>
  <c r="AG38" i="1"/>
  <c r="AF38" i="1"/>
  <c r="G38" i="1"/>
  <c r="F38" i="1"/>
  <c r="AH37" i="1"/>
  <c r="G37" i="1"/>
  <c r="AH36" i="1"/>
  <c r="G36" i="1"/>
  <c r="AK32" i="1"/>
  <c r="G32" i="1"/>
  <c r="AG29" i="1"/>
  <c r="AF29" i="1"/>
  <c r="G29" i="1"/>
  <c r="F29" i="1"/>
  <c r="AG28" i="1"/>
  <c r="AF28" i="1"/>
  <c r="G28" i="1"/>
  <c r="F28" i="1"/>
  <c r="AG25" i="1"/>
  <c r="AG26" i="1" s="1"/>
  <c r="AF25" i="1"/>
  <c r="G25" i="1"/>
  <c r="G26" i="1" s="1"/>
  <c r="F25" i="1"/>
  <c r="AG24" i="1"/>
  <c r="AF24" i="1"/>
  <c r="G24" i="1"/>
  <c r="F24" i="1"/>
  <c r="AF18" i="1"/>
  <c r="F18" i="1"/>
  <c r="B142" i="1" s="1"/>
  <c r="BH13" i="1"/>
  <c r="AJ13" i="1"/>
  <c r="AI13" i="1"/>
  <c r="AH13" i="1"/>
  <c r="J13" i="1"/>
  <c r="H13" i="1"/>
  <c r="B13" i="1"/>
  <c r="B12" i="1"/>
  <c r="C5" i="22" s="1"/>
  <c r="AK11" i="1"/>
  <c r="AJ11" i="1"/>
  <c r="AI11" i="1"/>
  <c r="K11" i="1"/>
  <c r="J11" i="1"/>
  <c r="D11" i="1"/>
  <c r="B11" i="1"/>
  <c r="B2" i="1"/>
  <c r="AJ70" i="1" l="1"/>
  <c r="J71" i="1"/>
  <c r="K64" i="1"/>
  <c r="AJ64" i="1"/>
  <c r="AJ58" i="1"/>
  <c r="AK69" i="1"/>
  <c r="AK63" i="1"/>
  <c r="J65" i="1"/>
  <c r="K70" i="1"/>
  <c r="AK71" i="1"/>
  <c r="AG76" i="1"/>
  <c r="R113" i="1"/>
  <c r="P113" i="1"/>
  <c r="AK64" i="1"/>
  <c r="AK70" i="1"/>
  <c r="F75" i="1"/>
  <c r="G113" i="1"/>
  <c r="AG113" i="1"/>
  <c r="AH45" i="1"/>
  <c r="J58" i="1"/>
  <c r="K59" i="1"/>
  <c r="AJ59" i="1"/>
  <c r="AJ62" i="1"/>
  <c r="J64" i="1"/>
  <c r="K65" i="1"/>
  <c r="AJ65" i="1"/>
  <c r="AJ68" i="1"/>
  <c r="J70" i="1"/>
  <c r="K71" i="1"/>
  <c r="AJ71" i="1"/>
  <c r="F74" i="1"/>
  <c r="J56" i="1" s="1"/>
  <c r="AF74" i="1"/>
  <c r="G75" i="1"/>
  <c r="AF75" i="1"/>
  <c r="F76" i="1"/>
  <c r="I14" i="7"/>
  <c r="K14" i="7" s="1"/>
  <c r="AF42" i="1"/>
  <c r="J44" i="1"/>
  <c r="G47" i="1"/>
  <c r="J57" i="1"/>
  <c r="AK62" i="1"/>
  <c r="J63" i="1"/>
  <c r="AK68" i="1"/>
  <c r="J69" i="1"/>
  <c r="G74" i="1"/>
  <c r="AG74" i="1"/>
  <c r="I75" i="1"/>
  <c r="AG75" i="1"/>
  <c r="G76" i="1"/>
  <c r="AF76" i="1"/>
  <c r="AK38" i="1"/>
  <c r="AK58" i="1"/>
  <c r="AI76" i="1"/>
  <c r="AJ12" i="1"/>
  <c r="F42" i="1"/>
  <c r="K42" i="1" s="1"/>
  <c r="K57" i="1"/>
  <c r="J62" i="1"/>
  <c r="K63" i="1"/>
  <c r="J68" i="1"/>
  <c r="K69" i="1"/>
  <c r="AI75" i="1"/>
  <c r="I76" i="1"/>
  <c r="AK39" i="1"/>
  <c r="AK40" i="1"/>
  <c r="J40" i="1"/>
  <c r="K40" i="1"/>
  <c r="J41" i="1"/>
  <c r="K38" i="1"/>
  <c r="AL39" i="1"/>
  <c r="AK42" i="1"/>
  <c r="J39" i="1"/>
  <c r="AL42" i="1"/>
  <c r="J38" i="1"/>
  <c r="J42" i="1"/>
  <c r="AF44" i="1"/>
  <c r="AF45" i="1"/>
  <c r="F45" i="1"/>
  <c r="G45" i="1"/>
  <c r="G46" i="1" s="1"/>
  <c r="AK41" i="1"/>
  <c r="K56" i="1"/>
  <c r="BE223" i="1"/>
  <c r="BE224" i="1" s="1"/>
  <c r="BC223" i="1"/>
  <c r="BC224" i="1" s="1"/>
  <c r="BA223" i="1"/>
  <c r="BA224" i="1" s="1"/>
  <c r="BA225" i="1" s="1"/>
  <c r="BA226" i="1" s="1"/>
  <c r="BA227" i="1" s="1"/>
  <c r="BA228" i="1" s="1"/>
  <c r="AL38" i="1"/>
  <c r="AL41" i="1"/>
  <c r="AK43" i="1"/>
  <c r="AH44" i="1"/>
  <c r="AF81" i="1"/>
  <c r="AF82" i="1"/>
  <c r="AF83" i="1"/>
  <c r="AF84" i="1"/>
  <c r="AF85" i="1"/>
  <c r="D145" i="1"/>
  <c r="AL43" i="1"/>
  <c r="G80" i="1"/>
  <c r="AG81" i="1"/>
  <c r="AG82" i="1"/>
  <c r="AG83" i="1"/>
  <c r="AG84" i="1"/>
  <c r="AG85" i="1"/>
  <c r="J43" i="1"/>
  <c r="AG80" i="1"/>
  <c r="K43" i="1"/>
  <c r="F81" i="1"/>
  <c r="F82" i="1"/>
  <c r="F83" i="1"/>
  <c r="F84" i="1"/>
  <c r="F85" i="1"/>
  <c r="K44" i="1"/>
  <c r="G81" i="1"/>
  <c r="G82" i="1"/>
  <c r="G83" i="1"/>
  <c r="G84" i="1"/>
  <c r="AF27" i="1"/>
  <c r="AG27" i="1"/>
  <c r="AJ27" i="1"/>
  <c r="K29" i="1"/>
  <c r="J28" i="1"/>
  <c r="K25" i="1"/>
  <c r="K24" i="1"/>
  <c r="AF26" i="1"/>
  <c r="F20" i="1"/>
  <c r="F21" i="1"/>
  <c r="AI24" i="1"/>
  <c r="AI26" i="1"/>
  <c r="AK27" i="1"/>
  <c r="AJ28" i="1"/>
  <c r="AI29" i="1"/>
  <c r="G20" i="1"/>
  <c r="AF21" i="1"/>
  <c r="AJ24" i="1"/>
  <c r="AI25" i="1"/>
  <c r="F27" i="1"/>
  <c r="AH104" i="1" s="1"/>
  <c r="AK28" i="1"/>
  <c r="AJ29" i="1"/>
  <c r="B51" i="1"/>
  <c r="B91" i="1"/>
  <c r="AF22" i="1"/>
  <c r="F22" i="1"/>
  <c r="AK24" i="1"/>
  <c r="AJ25" i="1"/>
  <c r="G27" i="1"/>
  <c r="I107" i="1" s="1"/>
  <c r="AK29" i="1"/>
  <c r="AB91" i="1"/>
  <c r="G22" i="1"/>
  <c r="AI28" i="1"/>
  <c r="AK25" i="1"/>
  <c r="J27" i="1"/>
  <c r="AF20" i="1"/>
  <c r="J24" i="1"/>
  <c r="F26" i="1"/>
  <c r="K27" i="1"/>
  <c r="K28" i="1"/>
  <c r="J29" i="1"/>
  <c r="AG22" i="1"/>
  <c r="AG20" i="1"/>
  <c r="J25" i="1"/>
  <c r="AJ56" i="1" l="1"/>
  <c r="AK56" i="1"/>
  <c r="K12" i="1"/>
  <c r="J12" i="1"/>
  <c r="O113" i="1"/>
  <c r="H113" i="1" s="1"/>
  <c r="Q113" i="1"/>
  <c r="J113" i="1" s="1"/>
  <c r="J75" i="1"/>
  <c r="AJ75" i="1"/>
  <c r="K75" i="1"/>
  <c r="AK75" i="1"/>
  <c r="AI107" i="1"/>
  <c r="AK76" i="1"/>
  <c r="AJ76" i="1"/>
  <c r="K76" i="1"/>
  <c r="J76" i="1"/>
  <c r="AJ74" i="1"/>
  <c r="J74" i="1"/>
  <c r="AK74" i="1"/>
  <c r="K74" i="1"/>
  <c r="AK12" i="1"/>
  <c r="AH113" i="1"/>
  <c r="AH46" i="1"/>
  <c r="AL44" i="1"/>
  <c r="AK44" i="1"/>
  <c r="K85" i="1"/>
  <c r="J85" i="1"/>
  <c r="AK85" i="1"/>
  <c r="AJ85" i="1"/>
  <c r="BA229" i="1"/>
  <c r="BB228" i="1"/>
  <c r="K84" i="1"/>
  <c r="J84" i="1"/>
  <c r="AK84" i="1"/>
  <c r="AJ84" i="1"/>
  <c r="K83" i="1"/>
  <c r="J83" i="1"/>
  <c r="AK83" i="1"/>
  <c r="AJ83" i="1"/>
  <c r="BD224" i="1"/>
  <c r="BC225" i="1"/>
  <c r="H47" i="1"/>
  <c r="AF46" i="1"/>
  <c r="H48" i="1"/>
  <c r="F46" i="1"/>
  <c r="K82" i="1"/>
  <c r="J82" i="1"/>
  <c r="AK82" i="1"/>
  <c r="AJ82" i="1"/>
  <c r="BE225" i="1"/>
  <c r="BF224" i="1"/>
  <c r="K81" i="1"/>
  <c r="J81" i="1"/>
  <c r="AK81" i="1"/>
  <c r="AJ81" i="1"/>
  <c r="AI104" i="1"/>
  <c r="AH112" i="1" s="1"/>
  <c r="AK20" i="1"/>
  <c r="AK22" i="1"/>
  <c r="AI148" i="1"/>
  <c r="K20" i="1"/>
  <c r="I148" i="1"/>
  <c r="J22" i="1"/>
  <c r="AJ22" i="1"/>
  <c r="AK87" i="1"/>
  <c r="AJ87" i="1"/>
  <c r="AI87" i="1"/>
  <c r="K22" i="1"/>
  <c r="K86" i="1"/>
  <c r="J86" i="1"/>
  <c r="AK86" i="1"/>
  <c r="AJ86" i="1"/>
  <c r="AH107" i="1"/>
  <c r="AJ20" i="1"/>
  <c r="AH148" i="1"/>
  <c r="AH149" i="1" s="1"/>
  <c r="J20" i="1"/>
  <c r="G148" i="1"/>
  <c r="G104" i="1"/>
  <c r="AF14" i="1"/>
  <c r="F14" i="1"/>
  <c r="G107" i="1"/>
  <c r="I104" i="1"/>
  <c r="BC226" i="1" l="1"/>
  <c r="BD225" i="1"/>
  <c r="BF225" i="1"/>
  <c r="BE226" i="1"/>
  <c r="BB229" i="1"/>
  <c r="BA230" i="1"/>
  <c r="AI108" i="1"/>
  <c r="AH111" i="1" s="1"/>
  <c r="AF15" i="1"/>
  <c r="F15" i="1"/>
  <c r="AG112" i="1"/>
  <c r="G112" i="1"/>
  <c r="G108" i="1"/>
  <c r="P112" i="1"/>
  <c r="O112" i="1"/>
  <c r="AH108" i="1"/>
  <c r="AI149" i="1"/>
  <c r="I149" i="1"/>
  <c r="AL148" i="1"/>
  <c r="K148" i="1"/>
  <c r="AK205" i="1"/>
  <c r="A134" i="1"/>
  <c r="C4" i="1" s="1"/>
  <c r="L153" i="1"/>
  <c r="AJ154" i="1"/>
  <c r="K154" i="1"/>
  <c r="AK93" i="1"/>
  <c r="AK204" i="1"/>
  <c r="K97" i="1"/>
  <c r="K96" i="1"/>
  <c r="AK97" i="1"/>
  <c r="AK96" i="1"/>
  <c r="K93" i="1"/>
  <c r="AB134" i="1"/>
  <c r="AL93" i="1"/>
  <c r="AK94" i="1"/>
  <c r="AJ153" i="1"/>
  <c r="L154" i="1"/>
  <c r="L97" i="1"/>
  <c r="AL94" i="1"/>
  <c r="L93" i="1"/>
  <c r="AL96" i="1"/>
  <c r="K94" i="1"/>
  <c r="AK154" i="1"/>
  <c r="AL97" i="1"/>
  <c r="L94" i="1"/>
  <c r="K153" i="1"/>
  <c r="L96" i="1"/>
  <c r="G149" i="1"/>
  <c r="AI93" i="1"/>
  <c r="AI97" i="1" s="1"/>
  <c r="I108" i="1"/>
  <c r="I111" i="1" s="1"/>
  <c r="R112" i="1"/>
  <c r="Q112" i="1"/>
  <c r="I112" i="1"/>
  <c r="BB230" i="1" l="1"/>
  <c r="BA231" i="1"/>
  <c r="BE227" i="1"/>
  <c r="BF226" i="1"/>
  <c r="BC227" i="1"/>
  <c r="BD226" i="1"/>
  <c r="J112" i="1"/>
  <c r="AG111" i="1"/>
  <c r="BB219" i="1"/>
  <c r="G111" i="1"/>
  <c r="AB118" i="1" s="1"/>
  <c r="B115" i="21"/>
  <c r="AB131" i="1"/>
  <c r="AB119" i="1"/>
  <c r="B109" i="21"/>
  <c r="B131" i="1"/>
  <c r="B119" i="1"/>
  <c r="B103" i="21"/>
  <c r="AB125" i="1"/>
  <c r="AB117" i="1"/>
  <c r="B125" i="1"/>
  <c r="B117" i="1"/>
  <c r="AI96" i="1"/>
  <c r="I93" i="1"/>
  <c r="S93" i="1"/>
  <c r="R93" i="1"/>
  <c r="AI100" i="1"/>
  <c r="AI101" i="1" s="1"/>
  <c r="J155" i="1"/>
  <c r="H112" i="1"/>
  <c r="B130" i="1" l="1"/>
  <c r="BD227" i="1"/>
  <c r="BC228" i="1"/>
  <c r="BF227" i="1"/>
  <c r="BE228" i="1"/>
  <c r="BB231" i="1"/>
  <c r="BA232" i="1"/>
  <c r="AB130" i="1"/>
  <c r="AB124" i="1"/>
  <c r="B118" i="1"/>
  <c r="B124" i="1"/>
  <c r="S2" i="1"/>
  <c r="J93" i="1"/>
  <c r="S4" i="1"/>
  <c r="R150" i="1"/>
  <c r="R96" i="1"/>
  <c r="R153" i="1" s="1"/>
  <c r="R97" i="1"/>
  <c r="H2" i="1"/>
  <c r="I96" i="1"/>
  <c r="I97" i="1"/>
  <c r="H4" i="1" s="1"/>
  <c r="I150" i="1"/>
  <c r="AI150" i="1"/>
  <c r="T2" i="1"/>
  <c r="S97" i="1"/>
  <c r="S150" i="1"/>
  <c r="T4" i="1"/>
  <c r="S96" i="1"/>
  <c r="S153" i="1" s="1"/>
  <c r="AH93" i="1"/>
  <c r="G93" i="1"/>
  <c r="Q93" i="1"/>
  <c r="P93" i="1"/>
  <c r="BA233" i="1" l="1"/>
  <c r="BB232" i="1"/>
  <c r="BF228" i="1"/>
  <c r="BE229" i="1"/>
  <c r="BD228" i="1"/>
  <c r="BC229" i="1"/>
  <c r="AI154" i="1"/>
  <c r="I153" i="1"/>
  <c r="AI153" i="1"/>
  <c r="J97" i="1"/>
  <c r="I2" i="1"/>
  <c r="F2" i="1"/>
  <c r="AH96" i="1"/>
  <c r="AH97" i="1"/>
  <c r="G96" i="1"/>
  <c r="G153" i="1" s="1"/>
  <c r="G97" i="1"/>
  <c r="F4" i="1" s="1"/>
  <c r="AH150" i="1"/>
  <c r="G150" i="1"/>
  <c r="T3" i="1"/>
  <c r="S100" i="1"/>
  <c r="S101" i="1" s="1"/>
  <c r="S154" i="1"/>
  <c r="AR153" i="1"/>
  <c r="AR154" i="1"/>
  <c r="I100" i="1"/>
  <c r="I101" i="1" s="1"/>
  <c r="H3" i="1"/>
  <c r="I154" i="1"/>
  <c r="S3" i="1"/>
  <c r="J96" i="1"/>
  <c r="R100" i="1"/>
  <c r="AQ153" i="1"/>
  <c r="AQ154" i="1"/>
  <c r="R154" i="1"/>
  <c r="J153" i="1"/>
  <c r="H93" i="1"/>
  <c r="Q2" i="1"/>
  <c r="P97" i="1"/>
  <c r="Q4" i="1"/>
  <c r="P150" i="1"/>
  <c r="P96" i="1"/>
  <c r="P153" i="1" s="1"/>
  <c r="J150" i="1"/>
  <c r="R2" i="1"/>
  <c r="Q96" i="1"/>
  <c r="Q153" i="1" s="1"/>
  <c r="Q150" i="1"/>
  <c r="Q97" i="1"/>
  <c r="R4" i="1"/>
  <c r="BC230" i="1" l="1"/>
  <c r="BD229" i="1"/>
  <c r="BF229" i="1"/>
  <c r="BE230" i="1"/>
  <c r="BB233" i="1"/>
  <c r="BA234" i="1"/>
  <c r="AH154" i="1"/>
  <c r="AH153" i="1"/>
  <c r="G2" i="1"/>
  <c r="K1" i="1" s="1"/>
  <c r="I3" i="1"/>
  <c r="J100" i="1"/>
  <c r="R101" i="1"/>
  <c r="J101" i="1" s="1"/>
  <c r="J154" i="1"/>
  <c r="Q3" i="1"/>
  <c r="P100" i="1"/>
  <c r="H96" i="1"/>
  <c r="AO154" i="1"/>
  <c r="P154" i="1"/>
  <c r="AO153" i="1"/>
  <c r="R3" i="1"/>
  <c r="Q100" i="1"/>
  <c r="Q101" i="1" s="1"/>
  <c r="AP153" i="1"/>
  <c r="AP154" i="1"/>
  <c r="Q154" i="1"/>
  <c r="H150" i="1"/>
  <c r="I4" i="1"/>
  <c r="G4" i="1"/>
  <c r="H97" i="1"/>
  <c r="F3" i="1"/>
  <c r="AH100" i="1"/>
  <c r="AH101" i="1" s="1"/>
  <c r="G100" i="1"/>
  <c r="G154" i="1"/>
  <c r="BD230" i="1" l="1"/>
  <c r="BC231" i="1"/>
  <c r="BB234" i="1"/>
  <c r="BA235" i="1"/>
  <c r="BE231" i="1"/>
  <c r="BF230" i="1"/>
  <c r="H153" i="1"/>
  <c r="H154" i="1"/>
  <c r="G101" i="1"/>
  <c r="BB216" i="1"/>
  <c r="H100" i="1"/>
  <c r="P101" i="1"/>
  <c r="H101" i="1" s="1"/>
  <c r="G3" i="1"/>
  <c r="BF231" i="1" l="1"/>
  <c r="BE232" i="1"/>
  <c r="BB235" i="1"/>
  <c r="BA236" i="1"/>
  <c r="BD231" i="1"/>
  <c r="BC232" i="1"/>
  <c r="BB226" i="1"/>
  <c r="BB227" i="1"/>
  <c r="BB223" i="1"/>
  <c r="BB224" i="1"/>
  <c r="BB225" i="1"/>
  <c r="BD232" i="1" l="1"/>
  <c r="BC233" i="1"/>
  <c r="BA237" i="1"/>
  <c r="BB236" i="1"/>
  <c r="BF232" i="1"/>
  <c r="BE233" i="1"/>
  <c r="BF233" i="1" l="1"/>
  <c r="BE234" i="1"/>
  <c r="BC234" i="1"/>
  <c r="BD233" i="1"/>
  <c r="BB237" i="1"/>
  <c r="BA238" i="1"/>
  <c r="BB238" i="1" l="1"/>
  <c r="BA239" i="1"/>
  <c r="BD234" i="1"/>
  <c r="BC235" i="1"/>
  <c r="BE235" i="1"/>
  <c r="BF234" i="1"/>
  <c r="BD235" i="1" l="1"/>
  <c r="BC236" i="1"/>
  <c r="BB239" i="1"/>
  <c r="BA240" i="1"/>
  <c r="BF235" i="1"/>
  <c r="BE236" i="1"/>
  <c r="BF236" i="1" l="1"/>
  <c r="BE237" i="1"/>
  <c r="BD236" i="1"/>
  <c r="BC237" i="1"/>
  <c r="BA241" i="1"/>
  <c r="BB240" i="1"/>
  <c r="BB241" i="1" l="1"/>
  <c r="BA242" i="1"/>
  <c r="BC238" i="1"/>
  <c r="BD237" i="1"/>
  <c r="BF237" i="1"/>
  <c r="BE238" i="1"/>
  <c r="BD238" i="1" l="1"/>
  <c r="BC239" i="1"/>
  <c r="BE239" i="1"/>
  <c r="BF238" i="1"/>
  <c r="BB242" i="1"/>
  <c r="BA243" i="1"/>
  <c r="BD239" i="1" l="1"/>
  <c r="BC240" i="1"/>
  <c r="BB243" i="1"/>
  <c r="BA244" i="1"/>
  <c r="BF239" i="1"/>
  <c r="BE240" i="1"/>
  <c r="BF240" i="1" l="1"/>
  <c r="BE241" i="1"/>
  <c r="BA245" i="1"/>
  <c r="BB244" i="1"/>
  <c r="BD240" i="1"/>
  <c r="BC241" i="1"/>
  <c r="BC242" i="1" l="1"/>
  <c r="BD241" i="1"/>
  <c r="BB245" i="1"/>
  <c r="BA246" i="1"/>
  <c r="BF241" i="1"/>
  <c r="BE242" i="1"/>
  <c r="BB246" i="1" l="1"/>
  <c r="BA247" i="1"/>
  <c r="BE243" i="1"/>
  <c r="BF242" i="1"/>
  <c r="BD242" i="1"/>
  <c r="BC243" i="1"/>
  <c r="BD243" i="1" l="1"/>
  <c r="BC244" i="1"/>
  <c r="BF243" i="1"/>
  <c r="BE244" i="1"/>
  <c r="BB247" i="1"/>
  <c r="BA248" i="1"/>
  <c r="BA249" i="1" l="1"/>
  <c r="BB248" i="1"/>
  <c r="BF244" i="1"/>
  <c r="BE245" i="1"/>
  <c r="BD244" i="1"/>
  <c r="BC245" i="1"/>
  <c r="BF245" i="1" l="1"/>
  <c r="BE246" i="1"/>
  <c r="BC246" i="1"/>
  <c r="BD245" i="1"/>
  <c r="BB249" i="1"/>
  <c r="BA250" i="1"/>
  <c r="BB250" i="1" l="1"/>
  <c r="BA251" i="1"/>
  <c r="BD246" i="1"/>
  <c r="BC247" i="1"/>
  <c r="BE247" i="1"/>
  <c r="BF246" i="1"/>
  <c r="BF247" i="1" l="1"/>
  <c r="BE248" i="1"/>
  <c r="BD247" i="1"/>
  <c r="BC248" i="1"/>
  <c r="BB251" i="1"/>
  <c r="BA252" i="1"/>
  <c r="BD248" i="1" l="1"/>
  <c r="BC249" i="1"/>
  <c r="BA253" i="1"/>
  <c r="BB252" i="1"/>
  <c r="BF248" i="1"/>
  <c r="BE249" i="1"/>
  <c r="BF249" i="1" l="1"/>
  <c r="BE250" i="1"/>
  <c r="BB253" i="1"/>
  <c r="BA254" i="1"/>
  <c r="BC250" i="1"/>
  <c r="BD249" i="1"/>
  <c r="BD250" i="1" l="1"/>
  <c r="BC251" i="1"/>
  <c r="BB254" i="1"/>
  <c r="BA255" i="1"/>
  <c r="BE251" i="1"/>
  <c r="BF250" i="1"/>
  <c r="BF251" i="1" l="1"/>
  <c r="BE252" i="1"/>
  <c r="BB255" i="1"/>
  <c r="BA256" i="1"/>
  <c r="BD251" i="1"/>
  <c r="BC252" i="1"/>
  <c r="BA257" i="1" l="1"/>
  <c r="BB256" i="1"/>
  <c r="BD252" i="1"/>
  <c r="BC253" i="1"/>
  <c r="BF252" i="1"/>
  <c r="BE253" i="1"/>
  <c r="BF253" i="1" l="1"/>
  <c r="BE254" i="1"/>
  <c r="BC254" i="1"/>
  <c r="BD253" i="1"/>
  <c r="BB257" i="1"/>
  <c r="BA258" i="1"/>
  <c r="BB258" i="1" l="1"/>
  <c r="BA259" i="1"/>
  <c r="BD254" i="1"/>
  <c r="BC255" i="1"/>
  <c r="BE255" i="1"/>
  <c r="BF254" i="1"/>
  <c r="BD255" i="1" l="1"/>
  <c r="BC256" i="1"/>
  <c r="BF255" i="1"/>
  <c r="BE256" i="1"/>
  <c r="BB259" i="1"/>
  <c r="BA260" i="1"/>
  <c r="BA261" i="1" l="1"/>
  <c r="BB260" i="1"/>
  <c r="BF256" i="1"/>
  <c r="BE257" i="1"/>
  <c r="BD256" i="1"/>
  <c r="BC257" i="1"/>
  <c r="BC258" i="1" l="1"/>
  <c r="BD257" i="1"/>
  <c r="BF257" i="1"/>
  <c r="BE258" i="1"/>
  <c r="BB261" i="1"/>
  <c r="BA262" i="1"/>
  <c r="BB262" i="1" l="1"/>
  <c r="BA263" i="1"/>
  <c r="BE259" i="1"/>
  <c r="BF258" i="1"/>
  <c r="BD258" i="1"/>
  <c r="BC259" i="1"/>
  <c r="BF259" i="1" l="1"/>
  <c r="BE260" i="1"/>
  <c r="BB263" i="1"/>
  <c r="BA264" i="1"/>
  <c r="BD259" i="1"/>
  <c r="BC260" i="1"/>
  <c r="BA265" i="1" l="1"/>
  <c r="BB264" i="1"/>
  <c r="BF260" i="1"/>
  <c r="BE261" i="1"/>
  <c r="BD260" i="1"/>
  <c r="BC261" i="1"/>
  <c r="BC262" i="1" l="1"/>
  <c r="BD261" i="1"/>
  <c r="BF261" i="1"/>
  <c r="BE262" i="1"/>
  <c r="BB265" i="1"/>
  <c r="BA266" i="1"/>
  <c r="BE263" i="1" l="1"/>
  <c r="BF262" i="1"/>
  <c r="BB266" i="1"/>
  <c r="BA267" i="1"/>
  <c r="BD262" i="1"/>
  <c r="BC263" i="1"/>
  <c r="BB267" i="1" l="1"/>
  <c r="BA268" i="1"/>
  <c r="BD263" i="1"/>
  <c r="BC264" i="1"/>
  <c r="BF263" i="1"/>
  <c r="BE264" i="1"/>
  <c r="BF264" i="1" l="1"/>
  <c r="BE265" i="1"/>
  <c r="BD264" i="1"/>
  <c r="BC265" i="1"/>
  <c r="BA269" i="1"/>
  <c r="BB268" i="1"/>
  <c r="BB269" i="1" l="1"/>
  <c r="BA270" i="1"/>
  <c r="BC266" i="1"/>
  <c r="BD265" i="1"/>
  <c r="BF265" i="1"/>
  <c r="BE266" i="1"/>
  <c r="BE267" i="1" l="1"/>
  <c r="BF266" i="1"/>
  <c r="BD266" i="1"/>
  <c r="BC267" i="1"/>
  <c r="BB270" i="1"/>
  <c r="BA271" i="1"/>
  <c r="BB271" i="1" l="1"/>
  <c r="BA272" i="1"/>
  <c r="BD267" i="1"/>
  <c r="BC268" i="1"/>
  <c r="BF267" i="1"/>
  <c r="BE268" i="1"/>
  <c r="BD268" i="1" l="1"/>
  <c r="BC269" i="1"/>
  <c r="BF268" i="1"/>
  <c r="BE269" i="1"/>
  <c r="BA273" i="1"/>
  <c r="BB272" i="1"/>
  <c r="BB273" i="1" l="1"/>
  <c r="BA274" i="1"/>
  <c r="BF269" i="1"/>
  <c r="BE270" i="1"/>
  <c r="BC270" i="1"/>
  <c r="BD269" i="1"/>
  <c r="BD270" i="1" l="1"/>
  <c r="BC271" i="1"/>
  <c r="BE271" i="1"/>
  <c r="BF270" i="1"/>
  <c r="BB274" i="1"/>
  <c r="BA275" i="1"/>
  <c r="BB275" i="1" l="1"/>
  <c r="BA276" i="1"/>
  <c r="BF271" i="1"/>
  <c r="BE272" i="1"/>
  <c r="BD271" i="1"/>
  <c r="BC272" i="1"/>
  <c r="BF272" i="1" l="1"/>
  <c r="BE273" i="1"/>
  <c r="BD272" i="1"/>
  <c r="BC273" i="1"/>
  <c r="BA277" i="1"/>
  <c r="BB276" i="1"/>
  <c r="BB277" i="1" l="1"/>
  <c r="BA278" i="1"/>
  <c r="BC274" i="1"/>
  <c r="BD273" i="1"/>
  <c r="BF273" i="1"/>
  <c r="BE274" i="1"/>
  <c r="BE275" i="1" l="1"/>
  <c r="BF274" i="1"/>
  <c r="BD274" i="1"/>
  <c r="BC275" i="1"/>
  <c r="BB278" i="1"/>
  <c r="BA279" i="1"/>
  <c r="BB279" i="1" l="1"/>
  <c r="BA280" i="1"/>
  <c r="BD275" i="1"/>
  <c r="BC276" i="1"/>
  <c r="BF275" i="1"/>
  <c r="BE276" i="1"/>
  <c r="BF276" i="1" l="1"/>
  <c r="BE277" i="1"/>
  <c r="BD276" i="1"/>
  <c r="BC277" i="1"/>
  <c r="BA281" i="1"/>
  <c r="BB280" i="1"/>
  <c r="BB281" i="1" l="1"/>
  <c r="BA282" i="1"/>
  <c r="BC278" i="1"/>
  <c r="BD277" i="1"/>
  <c r="BF277" i="1"/>
  <c r="BE278" i="1"/>
  <c r="BE279" i="1" l="1"/>
  <c r="BF278" i="1"/>
  <c r="BD278" i="1"/>
  <c r="BC279" i="1"/>
  <c r="BB282" i="1"/>
  <c r="BA283" i="1"/>
  <c r="BB283" i="1" l="1"/>
  <c r="BA284" i="1"/>
  <c r="BD279" i="1"/>
  <c r="BC280" i="1"/>
  <c r="BF279" i="1"/>
  <c r="BE280" i="1"/>
  <c r="BF280" i="1" l="1"/>
  <c r="BE281" i="1"/>
  <c r="BD280" i="1"/>
  <c r="BC281" i="1"/>
  <c r="BA285" i="1"/>
  <c r="BB284" i="1"/>
  <c r="BB285" i="1" l="1"/>
  <c r="BA286" i="1"/>
  <c r="BC282" i="1"/>
  <c r="BD281" i="1"/>
  <c r="BF281" i="1"/>
  <c r="BE282" i="1"/>
  <c r="BE283" i="1" l="1"/>
  <c r="BF282" i="1"/>
  <c r="BD282" i="1"/>
  <c r="BC283" i="1"/>
  <c r="BB286" i="1"/>
  <c r="BA287" i="1"/>
  <c r="BB287" i="1" l="1"/>
  <c r="BA288" i="1"/>
  <c r="BD283" i="1"/>
  <c r="BC284" i="1"/>
  <c r="BF283" i="1"/>
  <c r="BE284" i="1"/>
  <c r="BF284" i="1" l="1"/>
  <c r="BE285" i="1"/>
  <c r="BD284" i="1"/>
  <c r="BC285" i="1"/>
  <c r="BA289" i="1"/>
  <c r="BB288" i="1"/>
  <c r="BB289" i="1" l="1"/>
  <c r="BA290" i="1"/>
  <c r="BC286" i="1"/>
  <c r="BD285" i="1"/>
  <c r="BF285" i="1"/>
  <c r="BE286" i="1"/>
  <c r="BE287" i="1" l="1"/>
  <c r="BF286" i="1"/>
  <c r="BD286" i="1"/>
  <c r="BC287" i="1"/>
  <c r="BB290" i="1"/>
  <c r="BA291" i="1"/>
  <c r="BB291" i="1" l="1"/>
  <c r="BA292" i="1"/>
  <c r="BD287" i="1"/>
  <c r="BC288" i="1"/>
  <c r="BF287" i="1"/>
  <c r="BE288" i="1"/>
  <c r="BF288" i="1" l="1"/>
  <c r="BE289" i="1"/>
  <c r="BD288" i="1"/>
  <c r="BC289" i="1"/>
  <c r="BA293" i="1"/>
  <c r="BB292" i="1"/>
  <c r="BB293" i="1" l="1"/>
  <c r="BA294" i="1"/>
  <c r="BC290" i="1"/>
  <c r="BD289" i="1"/>
  <c r="BF289" i="1"/>
  <c r="BE290" i="1"/>
  <c r="BE291" i="1" l="1"/>
  <c r="BF290" i="1"/>
  <c r="BD290" i="1"/>
  <c r="BC291" i="1"/>
  <c r="BB294" i="1"/>
  <c r="BA295" i="1"/>
  <c r="BB295" i="1" l="1"/>
  <c r="BA296" i="1"/>
  <c r="BD291" i="1"/>
  <c r="BC292" i="1"/>
  <c r="BF291" i="1"/>
  <c r="BE292" i="1"/>
  <c r="BD292" i="1" l="1"/>
  <c r="BC293" i="1"/>
  <c r="BF292" i="1"/>
  <c r="BE293" i="1"/>
  <c r="BA297" i="1"/>
  <c r="BB296" i="1"/>
  <c r="BB297" i="1" l="1"/>
  <c r="BA298" i="1"/>
  <c r="BF293" i="1"/>
  <c r="BE294" i="1"/>
  <c r="BC294" i="1"/>
  <c r="BD293" i="1"/>
  <c r="BE295" i="1" l="1"/>
  <c r="BF294" i="1"/>
  <c r="BD294" i="1"/>
  <c r="BC295" i="1"/>
  <c r="BB298" i="1"/>
  <c r="BA299" i="1"/>
  <c r="BF295" i="1" l="1"/>
  <c r="BE296" i="1"/>
  <c r="BB299" i="1"/>
  <c r="BA300" i="1"/>
  <c r="BD295" i="1"/>
  <c r="BC296" i="1"/>
  <c r="BD296" i="1" l="1"/>
  <c r="BC297" i="1"/>
  <c r="BA301" i="1"/>
  <c r="BB300" i="1"/>
  <c r="BF296" i="1"/>
  <c r="BE297" i="1"/>
  <c r="BF297" i="1" l="1"/>
  <c r="BE298" i="1"/>
  <c r="BB301" i="1"/>
  <c r="BA302" i="1"/>
  <c r="BC298" i="1"/>
  <c r="BD297" i="1"/>
  <c r="BD298" i="1" l="1"/>
  <c r="BC299" i="1"/>
  <c r="BB302" i="1"/>
  <c r="BA303" i="1"/>
  <c r="BE299" i="1"/>
  <c r="BF298" i="1"/>
  <c r="BF299" i="1" l="1"/>
  <c r="BE300" i="1"/>
  <c r="BB303" i="1"/>
  <c r="BA304" i="1"/>
  <c r="BD299" i="1"/>
  <c r="BC300" i="1"/>
  <c r="BD300" i="1" l="1"/>
  <c r="BC301" i="1"/>
  <c r="BA305" i="1"/>
  <c r="BB304" i="1"/>
  <c r="BF300" i="1"/>
  <c r="BE301" i="1"/>
  <c r="BF301" i="1" l="1"/>
  <c r="BE302" i="1"/>
  <c r="BB305" i="1"/>
  <c r="BA306" i="1"/>
  <c r="BC302" i="1"/>
  <c r="BD301" i="1"/>
  <c r="BD302" i="1" l="1"/>
  <c r="BC303" i="1"/>
  <c r="BB306" i="1"/>
  <c r="BA307" i="1"/>
  <c r="BE303" i="1"/>
  <c r="BF302" i="1"/>
  <c r="BF303" i="1" l="1"/>
  <c r="BE304" i="1"/>
  <c r="BB307" i="1"/>
  <c r="BA308" i="1"/>
  <c r="BD303" i="1"/>
  <c r="BC304" i="1"/>
  <c r="BD304" i="1" l="1"/>
  <c r="BC305" i="1"/>
  <c r="BA309" i="1"/>
  <c r="BB308" i="1"/>
  <c r="BF304" i="1"/>
  <c r="BE305" i="1"/>
  <c r="BF305" i="1" l="1"/>
  <c r="BE306" i="1"/>
  <c r="BB309" i="1"/>
  <c r="BA310" i="1"/>
  <c r="BC306" i="1"/>
  <c r="BD305" i="1"/>
  <c r="BD306" i="1" l="1"/>
  <c r="BC307" i="1"/>
  <c r="BB310" i="1"/>
  <c r="BA311" i="1"/>
  <c r="BE307" i="1"/>
  <c r="BF306" i="1"/>
  <c r="BF307" i="1" l="1"/>
  <c r="BE308" i="1"/>
  <c r="BB311" i="1"/>
  <c r="BA312" i="1"/>
  <c r="BD307" i="1"/>
  <c r="BC308" i="1"/>
  <c r="BD308" i="1" l="1"/>
  <c r="BC309" i="1"/>
  <c r="BA313" i="1"/>
  <c r="BB312" i="1"/>
  <c r="BF308" i="1"/>
  <c r="BE309" i="1"/>
  <c r="BF309" i="1" l="1"/>
  <c r="BE310" i="1"/>
  <c r="BB313" i="1"/>
  <c r="BA314" i="1"/>
  <c r="BC310" i="1"/>
  <c r="BD309" i="1"/>
  <c r="BD310" i="1" l="1"/>
  <c r="BC311" i="1"/>
  <c r="BB314" i="1"/>
  <c r="BA315" i="1"/>
  <c r="BE311" i="1"/>
  <c r="BF310" i="1"/>
  <c r="BF311" i="1" l="1"/>
  <c r="BE312" i="1"/>
  <c r="BB315" i="1"/>
  <c r="BA316" i="1"/>
  <c r="BD311" i="1"/>
  <c r="BC312" i="1"/>
  <c r="BD312" i="1" l="1"/>
  <c r="BC313" i="1"/>
  <c r="BA317" i="1"/>
  <c r="BB316" i="1"/>
  <c r="BF312" i="1"/>
  <c r="BE313" i="1"/>
  <c r="BF313" i="1" l="1"/>
  <c r="BE314" i="1"/>
  <c r="BB317" i="1"/>
  <c r="BA318" i="1"/>
  <c r="BC314" i="1"/>
  <c r="BD313" i="1"/>
  <c r="BD314" i="1" l="1"/>
  <c r="BC315" i="1"/>
  <c r="BB318" i="1"/>
  <c r="BA319" i="1"/>
  <c r="BE315" i="1"/>
  <c r="BF314" i="1"/>
  <c r="BF315" i="1" l="1"/>
  <c r="BE316" i="1"/>
  <c r="BB319" i="1"/>
  <c r="BA320" i="1"/>
  <c r="BD315" i="1"/>
  <c r="BC316" i="1"/>
  <c r="BD316" i="1" l="1"/>
  <c r="BC317" i="1"/>
  <c r="BA321" i="1"/>
  <c r="BB320" i="1"/>
  <c r="BF316" i="1"/>
  <c r="BE317" i="1"/>
  <c r="BF317" i="1" l="1"/>
  <c r="BE318" i="1"/>
  <c r="BB321" i="1"/>
  <c r="BA322" i="1"/>
  <c r="BC318" i="1"/>
  <c r="BD317" i="1"/>
  <c r="BD318" i="1" l="1"/>
  <c r="BC319" i="1"/>
  <c r="BB322" i="1"/>
  <c r="BA323" i="1"/>
  <c r="BB323" i="1" s="1"/>
  <c r="BE319" i="1"/>
  <c r="BF318" i="1"/>
  <c r="BD223" i="1" l="1"/>
  <c r="BF319" i="1"/>
  <c r="BE320" i="1"/>
  <c r="BD319" i="1"/>
  <c r="BC320" i="1"/>
  <c r="BD320" i="1" l="1"/>
  <c r="BC321" i="1"/>
  <c r="BF320" i="1"/>
  <c r="BE321" i="1"/>
  <c r="BF321" i="1" l="1"/>
  <c r="BE322" i="1"/>
  <c r="BC322" i="1"/>
  <c r="BD321" i="1"/>
  <c r="BD322" i="1" l="1"/>
  <c r="BC323" i="1"/>
  <c r="BD323" i="1" s="1"/>
  <c r="BE323" i="1"/>
  <c r="BF323" i="1" s="1"/>
  <c r="BF322" i="1"/>
  <c r="BF223"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charoen</author>
  </authors>
  <commentList>
    <comment ref="AI9" authorId="0" shapeId="0" xr:uid="{00000000-0006-0000-0100-000001000000}">
      <text>
        <r>
          <rPr>
            <sz val="10"/>
            <color indexed="81"/>
            <rFont val="Tahoma"/>
            <family val="2"/>
          </rPr>
          <t xml:space="preserve">Coefficient of Variation
</t>
        </r>
      </text>
    </comment>
  </commentList>
</comments>
</file>

<file path=xl/sharedStrings.xml><?xml version="1.0" encoding="utf-8"?>
<sst xmlns="http://schemas.openxmlformats.org/spreadsheetml/2006/main" count="39311" uniqueCount="2524">
  <si>
    <t>X</t>
  </si>
  <si>
    <t>CAS No.</t>
  </si>
  <si>
    <t>(cm)</t>
  </si>
  <si>
    <t>C</t>
  </si>
  <si>
    <t>SC</t>
  </si>
  <si>
    <t>Stratum A</t>
  </si>
  <si>
    <t>Stratum B</t>
  </si>
  <si>
    <t>Stratum C</t>
  </si>
  <si>
    <t>(unitless)</t>
  </si>
  <si>
    <t>ED</t>
  </si>
  <si>
    <t>EF</t>
  </si>
  <si>
    <t>(yrs)</t>
  </si>
  <si>
    <t>(days/yr)</t>
  </si>
  <si>
    <t>H</t>
  </si>
  <si>
    <t>S</t>
  </si>
  <si>
    <t>RfC</t>
  </si>
  <si>
    <t>(cal/mol)</t>
  </si>
  <si>
    <t>(mg/L)</t>
  </si>
  <si>
    <t>A</t>
  </si>
  <si>
    <t>Bulk Density</t>
  </si>
  <si>
    <t>Mean Grain Diameter (cm)</t>
  </si>
  <si>
    <t>SCS Soil Name</t>
  </si>
  <si>
    <t>Clay</t>
  </si>
  <si>
    <t>CL</t>
  </si>
  <si>
    <t>Clay Loam</t>
  </si>
  <si>
    <t>L</t>
  </si>
  <si>
    <t>Loam</t>
  </si>
  <si>
    <t>LS</t>
  </si>
  <si>
    <t>Loamy Sand</t>
  </si>
  <si>
    <t>Sand</t>
  </si>
  <si>
    <t>Sandy Clay</t>
  </si>
  <si>
    <t>SCL</t>
  </si>
  <si>
    <t>Sandy Clay Loam</t>
  </si>
  <si>
    <t>SI</t>
  </si>
  <si>
    <t>Silt</t>
  </si>
  <si>
    <t>SIC</t>
  </si>
  <si>
    <t>Silty Clay</t>
  </si>
  <si>
    <t>SICL</t>
  </si>
  <si>
    <t>Silty Clay Loam</t>
  </si>
  <si>
    <t>SIL</t>
  </si>
  <si>
    <t>Silt Loam</t>
  </si>
  <si>
    <t>SL</t>
  </si>
  <si>
    <t>Sandy Loam</t>
  </si>
  <si>
    <t/>
  </si>
  <si>
    <t>Chlordane</t>
  </si>
  <si>
    <t>Dieldrin</t>
  </si>
  <si>
    <t>Acetone</t>
  </si>
  <si>
    <t>Chloroform</t>
  </si>
  <si>
    <t>Hexachloroethane</t>
  </si>
  <si>
    <t>Benzene</t>
  </si>
  <si>
    <t>1,1,1-Trichloroethane</t>
  </si>
  <si>
    <t>Methoxychlor</t>
  </si>
  <si>
    <t>Methyl bromide</t>
  </si>
  <si>
    <t>Methylene  bromide</t>
  </si>
  <si>
    <t>Acetonitrile</t>
  </si>
  <si>
    <t>Acetaldehyde</t>
  </si>
  <si>
    <t>Bromoform</t>
  </si>
  <si>
    <t>Bromodichloromethane</t>
  </si>
  <si>
    <t>1,1-Dichloroethane</t>
  </si>
  <si>
    <t>1,1-Dichloroethylene</t>
  </si>
  <si>
    <t>Chlorodifluoromethane</t>
  </si>
  <si>
    <t>Trichlorofluoromethane</t>
  </si>
  <si>
    <t>Dichlorodifluoromethane</t>
  </si>
  <si>
    <t>1,1,2-Trichloro-1,2,2-trifluoroethane</t>
  </si>
  <si>
    <t>Heptachlor</t>
  </si>
  <si>
    <t>Hexachlorocyclopentadiene</t>
  </si>
  <si>
    <t>1,2-Dichloropropane</t>
  </si>
  <si>
    <t>1,1,2-Trichloroethane</t>
  </si>
  <si>
    <t>Trichloroethylene</t>
  </si>
  <si>
    <t>1,1,2,2-Tetrachloroethane</t>
  </si>
  <si>
    <t>2-Nitropropane</t>
  </si>
  <si>
    <t>Methylmethacrylate</t>
  </si>
  <si>
    <t>Acenaphthene</t>
  </si>
  <si>
    <t>Fluorene</t>
  </si>
  <si>
    <t>Naphthalene</t>
  </si>
  <si>
    <t>Biphenyl</t>
  </si>
  <si>
    <t>o-Xylene</t>
  </si>
  <si>
    <t>1,2-Dichlorobenzene</t>
  </si>
  <si>
    <t>1,2,4-Trimethylbenzene</t>
  </si>
  <si>
    <t>1,2,3-Trichloropropane</t>
  </si>
  <si>
    <t>Ethylmethacrylate</t>
  </si>
  <si>
    <t>Cumene</t>
  </si>
  <si>
    <t>Acetophenone</t>
  </si>
  <si>
    <t>Nitrobenzene</t>
  </si>
  <si>
    <t>Ethylbenzene</t>
  </si>
  <si>
    <t>Styrene</t>
  </si>
  <si>
    <t>Benzylchloride</t>
  </si>
  <si>
    <t>Benzaldehyde</t>
  </si>
  <si>
    <t>n-Propylbenzene</t>
  </si>
  <si>
    <t>1,4-Dichlorobenzene</t>
  </si>
  <si>
    <t>1,3-Butadiene</t>
  </si>
  <si>
    <t>Acrolein</t>
  </si>
  <si>
    <t>1,2-Dichloroethane</t>
  </si>
  <si>
    <t>Acrylonitrile</t>
  </si>
  <si>
    <t>m-Xylene</t>
  </si>
  <si>
    <t>Toluene</t>
  </si>
  <si>
    <t>Chlorobenzene</t>
  </si>
  <si>
    <t>Furan</t>
  </si>
  <si>
    <t>Hexane</t>
  </si>
  <si>
    <t>Bis(2-chloroethyl)ether</t>
  </si>
  <si>
    <t>Endosulfan</t>
  </si>
  <si>
    <t>Hexachlorobenzene</t>
  </si>
  <si>
    <t>1,2,4-Trichlorobenzene</t>
  </si>
  <si>
    <t>Chlorodibromomethane</t>
  </si>
  <si>
    <t>Methacrylonitrile</t>
  </si>
  <si>
    <t>Tetrachloroethylene</t>
  </si>
  <si>
    <t>Pyrene</t>
  </si>
  <si>
    <t>Dibenzofuran</t>
  </si>
  <si>
    <t>trans-1,2-Dichloroethylene</t>
  </si>
  <si>
    <t>Aldrin</t>
  </si>
  <si>
    <t>1,3-Dichloropropene</t>
  </si>
  <si>
    <t>1,1,1,2-Tetrachloroethane</t>
  </si>
  <si>
    <t>MTBE</t>
  </si>
  <si>
    <t>Mercury (elemental)</t>
  </si>
  <si>
    <t>CAS</t>
  </si>
  <si>
    <t>Hc</t>
  </si>
  <si>
    <t>Enthalpy of vaporization at the normal boiling point</t>
  </si>
  <si>
    <t>Diffusivity in air</t>
  </si>
  <si>
    <t>Diffusivity in water</t>
  </si>
  <si>
    <t>Unit risk factor</t>
  </si>
  <si>
    <t>Reference concentration</t>
  </si>
  <si>
    <t>Chemical Name</t>
  </si>
  <si>
    <t>Pure component water solubility</t>
  </si>
  <si>
    <t>Ts</t>
  </si>
  <si>
    <t>Source Characteristics:</t>
  </si>
  <si>
    <t>Vadose zone characteristics:</t>
  </si>
  <si>
    <t>Site Name:</t>
  </si>
  <si>
    <t>SCS_A</t>
  </si>
  <si>
    <t>(-)</t>
  </si>
  <si>
    <t>SCS_C</t>
  </si>
  <si>
    <t>SCS_B</t>
  </si>
  <si>
    <t>SCS Symbol</t>
  </si>
  <si>
    <t>Building Characteristics:</t>
  </si>
  <si>
    <t>Foundation type</t>
  </si>
  <si>
    <t>Indoor air exchange rate</t>
  </si>
  <si>
    <t>ach</t>
  </si>
  <si>
    <t>Units</t>
  </si>
  <si>
    <t>Symbol</t>
  </si>
  <si>
    <t>Qsoil</t>
  </si>
  <si>
    <t>Ab</t>
  </si>
  <si>
    <t>Lcrack</t>
  </si>
  <si>
    <t>Hb</t>
  </si>
  <si>
    <t>Enclosed space floor area</t>
  </si>
  <si>
    <t>Averaging time for carcinogens</t>
  </si>
  <si>
    <t>Averaging time for non-carcinogens</t>
  </si>
  <si>
    <t>Exposure duration</t>
  </si>
  <si>
    <t>Residential</t>
  </si>
  <si>
    <t>Exposure frequency</t>
  </si>
  <si>
    <t>Target risk for carcinogens</t>
  </si>
  <si>
    <t>Exposure Scenario</t>
  </si>
  <si>
    <t>Tetrachloroethane, 1,1,1,2-</t>
  </si>
  <si>
    <t>Trichloroethane, 1,1,1-</t>
  </si>
  <si>
    <t>Tetrachloroethane, 1,1,2,2-</t>
  </si>
  <si>
    <t>Trichloro-1,2,2-trifluoroethane, 1,1,2-</t>
  </si>
  <si>
    <t>Trichloroethane, 1,1,2-</t>
  </si>
  <si>
    <t>Dichloroethane, 1,1-</t>
  </si>
  <si>
    <t>Dichloroethylene, 1,1-</t>
  </si>
  <si>
    <t>Trichloropropane, 1,2,3-</t>
  </si>
  <si>
    <t>Trichlorobenzene, 1,2,4-</t>
  </si>
  <si>
    <t>Trimethylbenzene, 1,2,4-</t>
  </si>
  <si>
    <t>Dichlorobenzene, 1,2-</t>
  </si>
  <si>
    <t>Dichloroethane, 1,2-</t>
  </si>
  <si>
    <t>Dichloropropane, 1,2-</t>
  </si>
  <si>
    <t>Trimethylbenzene, 1,3,5-</t>
  </si>
  <si>
    <t>Butadiene, 1,3-</t>
  </si>
  <si>
    <t>Dichloropropene, 1,3-</t>
  </si>
  <si>
    <t>Dichlorobenzene, 1,4-</t>
  </si>
  <si>
    <t>Chlorobutane, 1-</t>
  </si>
  <si>
    <t>Chlorophenol, 2-</t>
  </si>
  <si>
    <t>Methylnaphthalene, 2-</t>
  </si>
  <si>
    <t>Nitropropane, 2-</t>
  </si>
  <si>
    <t>Xylene, m-</t>
  </si>
  <si>
    <t>Butylbenzene, n-</t>
  </si>
  <si>
    <t>Propylbenzene, n-</t>
  </si>
  <si>
    <t>Nitrotoluene, o-</t>
  </si>
  <si>
    <t>Xylene, o-</t>
  </si>
  <si>
    <t>Butylbenzene, sec-</t>
  </si>
  <si>
    <t>Butylbenzene, tert-</t>
  </si>
  <si>
    <t>Lb</t>
  </si>
  <si>
    <t>n</t>
  </si>
  <si>
    <t>Building setting</t>
  </si>
  <si>
    <t>Setting</t>
  </si>
  <si>
    <t>Slab-on-grade</t>
  </si>
  <si>
    <t>Depth Below Grade to Base of Foundation</t>
  </si>
  <si>
    <t>Enclosed Space Floor Area</t>
  </si>
  <si>
    <t>(m)</t>
  </si>
  <si>
    <t>Stratum A total porosity</t>
  </si>
  <si>
    <t>Stratum A water-filled porosity</t>
  </si>
  <si>
    <t>Stratum A bulk density</t>
  </si>
  <si>
    <t>Stratum B thickness</t>
  </si>
  <si>
    <t>Stratum B total porosity</t>
  </si>
  <si>
    <t>Stratum B water-filled porosity</t>
  </si>
  <si>
    <t>Stratum B bulk density</t>
  </si>
  <si>
    <t>Stratum C thickness</t>
  </si>
  <si>
    <t>Stratum C total porosity</t>
  </si>
  <si>
    <t>Stratum C water-filled porosity</t>
  </si>
  <si>
    <t>Stratum C bulk density</t>
  </si>
  <si>
    <t>(m2)</t>
  </si>
  <si>
    <t>Enclosed Space Height</t>
  </si>
  <si>
    <t>Indoor Air Exchange Rate</t>
  </si>
  <si>
    <t>Average Vapor Flow Rate Into Bldg</t>
  </si>
  <si>
    <t>(1/hr)</t>
  </si>
  <si>
    <t>(m3/hr)</t>
  </si>
  <si>
    <t>Building Ventilation Rate</t>
  </si>
  <si>
    <t>Qbuilding</t>
  </si>
  <si>
    <t>Qsoil/Qbuilding</t>
  </si>
  <si>
    <t>Bldg_Setting</t>
  </si>
  <si>
    <t>Found_Type</t>
  </si>
  <si>
    <t>Not Present</t>
  </si>
  <si>
    <t>Exposure Parameters:</t>
  </si>
  <si>
    <t>Toxicity Factors</t>
  </si>
  <si>
    <t>hSA</t>
  </si>
  <si>
    <t>nSA</t>
  </si>
  <si>
    <t>nwSA</t>
  </si>
  <si>
    <t>rhoSA</t>
  </si>
  <si>
    <t>hSB</t>
  </si>
  <si>
    <t>nSB</t>
  </si>
  <si>
    <t>nwSB</t>
  </si>
  <si>
    <t>rhoSB</t>
  </si>
  <si>
    <t>hSC</t>
  </si>
  <si>
    <t>nSC</t>
  </si>
  <si>
    <t>nwSC</t>
  </si>
  <si>
    <t>rhoSC</t>
  </si>
  <si>
    <t>Chem</t>
  </si>
  <si>
    <t>Scenario</t>
  </si>
  <si>
    <t>Exposure time</t>
  </si>
  <si>
    <t>(hrs/24 hrs)</t>
  </si>
  <si>
    <t>ET</t>
  </si>
  <si>
    <t>ATc</t>
  </si>
  <si>
    <t>ATnc</t>
  </si>
  <si>
    <t xml:space="preserve">Foundation thickness </t>
  </si>
  <si>
    <t>Ls</t>
  </si>
  <si>
    <t>Fraction of foundation area with cracks</t>
  </si>
  <si>
    <t>eta</t>
  </si>
  <si>
    <t>Foundation Thickness</t>
  </si>
  <si>
    <t>nw</t>
  </si>
  <si>
    <t>rho</t>
  </si>
  <si>
    <t>Water-filled porosity</t>
  </si>
  <si>
    <t>Total porosity</t>
  </si>
  <si>
    <t>Capillary zone water filled porosity</t>
  </si>
  <si>
    <t>Ks</t>
  </si>
  <si>
    <t>(cm/h)</t>
  </si>
  <si>
    <t>n,cz</t>
  </si>
  <si>
    <t>Capillary zone height</t>
  </si>
  <si>
    <t>h,cz</t>
  </si>
  <si>
    <t>(1/cm)</t>
  </si>
  <si>
    <t>N</t>
  </si>
  <si>
    <t>M</t>
  </si>
  <si>
    <t>Saturated Vapor Conc.</t>
  </si>
  <si>
    <t>Vc</t>
  </si>
  <si>
    <t>Reference conc.</t>
  </si>
  <si>
    <t>(ug/m3)</t>
  </si>
  <si>
    <t>Hs</t>
  </si>
  <si>
    <t>Hr</t>
  </si>
  <si>
    <t>Chemical:</t>
  </si>
  <si>
    <t>Effective diffusion coefficient through Stratum A</t>
  </si>
  <si>
    <t>Effective diffusion coefficient through Stratum B</t>
  </si>
  <si>
    <t>Effective diffusion coefficient through Stratum C</t>
  </si>
  <si>
    <t>(cm2/sec)</t>
  </si>
  <si>
    <t>DeffA</t>
  </si>
  <si>
    <t>DeffB</t>
  </si>
  <si>
    <t>DeffC</t>
  </si>
  <si>
    <t>Not Applicable</t>
  </si>
  <si>
    <t>DeffT</t>
  </si>
  <si>
    <t>Qb</t>
  </si>
  <si>
    <t>Lf</t>
  </si>
  <si>
    <t>Critical Parameters</t>
  </si>
  <si>
    <t>Value</t>
  </si>
  <si>
    <t>Interpretation</t>
  </si>
  <si>
    <t>A_Param</t>
  </si>
  <si>
    <t>B_Param</t>
  </si>
  <si>
    <t>C_Param</t>
  </si>
  <si>
    <t>alpha</t>
  </si>
  <si>
    <t>Cs</t>
  </si>
  <si>
    <t>Cia</t>
  </si>
  <si>
    <t>Target_CR</t>
  </si>
  <si>
    <t>Target_HQ</t>
  </si>
  <si>
    <t>Diffusive Transport Upward Through Vadose Zone</t>
  </si>
  <si>
    <t>Effective diffusion coefficient through unsaturated zone</t>
  </si>
  <si>
    <t>E</t>
  </si>
  <si>
    <t>I</t>
  </si>
  <si>
    <t>P</t>
  </si>
  <si>
    <t>Target hazard quotient for noncarcinogens</t>
  </si>
  <si>
    <t>Target indoor air concentration</t>
  </si>
  <si>
    <t>Indoor air concentration due to vapor intrusion</t>
  </si>
  <si>
    <t>Incremental cancer risk from vapor intrusion</t>
  </si>
  <si>
    <t>Hazard quotient from vapor intrusion</t>
  </si>
  <si>
    <t>Target_IA</t>
  </si>
  <si>
    <t>Default</t>
  </si>
  <si>
    <t>Source medium</t>
  </si>
  <si>
    <t>Stratum</t>
  </si>
  <si>
    <t>Bldg_Setting_List</t>
  </si>
  <si>
    <t>Found_Type_List</t>
  </si>
  <si>
    <t>Source_Medium_List</t>
  </si>
  <si>
    <t>Groundwater</t>
  </si>
  <si>
    <t>Source</t>
  </si>
  <si>
    <t>Cmedium</t>
  </si>
  <si>
    <t>src_soil</t>
  </si>
  <si>
    <t>Source to Indoor Air Attenuation Factor</t>
  </si>
  <si>
    <t>Predicted Indoor Air Concentration</t>
  </si>
  <si>
    <t>Risk-Based Target Screening Levels</t>
  </si>
  <si>
    <t>Incremental Risk Estimates</t>
  </si>
  <si>
    <t>Scenario_List</t>
  </si>
  <si>
    <t>Dair</t>
  </si>
  <si>
    <t>(cm2/s)</t>
  </si>
  <si>
    <t>Dwater</t>
  </si>
  <si>
    <t>Risk Calculations</t>
  </si>
  <si>
    <t>Non-Critical Parameters</t>
  </si>
  <si>
    <t>Stratum A (Top of soil profile):</t>
  </si>
  <si>
    <t>Stratum A thickness (from surface)</t>
  </si>
  <si>
    <t xml:space="preserve">Stratum A SCS soil type </t>
  </si>
  <si>
    <t>Stratum B (Soil layer below Stratum A):</t>
  </si>
  <si>
    <t xml:space="preserve">Stratum B SCS soil type </t>
  </si>
  <si>
    <t xml:space="preserve">Stratum C SCS soil type </t>
  </si>
  <si>
    <t>Qsoil_Qb</t>
  </si>
  <si>
    <t>Calc: Building ventilation rate</t>
  </si>
  <si>
    <t>Basement w/ slab</t>
  </si>
  <si>
    <t>Basement w/ dirt floor</t>
  </si>
  <si>
    <t>Calc: Source vapor concentration</t>
  </si>
  <si>
    <t>Flag</t>
  </si>
  <si>
    <t>Comment</t>
  </si>
  <si>
    <t>Stratum A, B, or C</t>
  </si>
  <si>
    <r>
      <t>a</t>
    </r>
    <r>
      <rPr>
        <b/>
        <vertAlign val="subscript"/>
        <sz val="10"/>
        <rFont val="Arial"/>
        <family val="2"/>
      </rPr>
      <t>1</t>
    </r>
  </si>
  <si>
    <r>
      <t>q</t>
    </r>
    <r>
      <rPr>
        <b/>
        <vertAlign val="subscript"/>
        <sz val="10"/>
        <rFont val="MS Sans Serif"/>
        <family val="2"/>
      </rPr>
      <t>r</t>
    </r>
  </si>
  <si>
    <r>
      <t>(cm</t>
    </r>
    <r>
      <rPr>
        <b/>
        <vertAlign val="superscript"/>
        <sz val="10"/>
        <rFont val="MS Sans Serif"/>
        <family val="2"/>
      </rPr>
      <t>3</t>
    </r>
    <r>
      <rPr>
        <b/>
        <sz val="10"/>
        <rFont val="MS Sans Serif"/>
        <family val="2"/>
      </rPr>
      <t>/cm</t>
    </r>
    <r>
      <rPr>
        <b/>
        <vertAlign val="superscript"/>
        <sz val="10"/>
        <rFont val="MS Sans Serif"/>
        <family val="2"/>
      </rPr>
      <t>3</t>
    </r>
    <r>
      <rPr>
        <b/>
        <sz val="10"/>
        <rFont val="MS Sans Serif"/>
        <family val="2"/>
      </rPr>
      <t>)</t>
    </r>
  </si>
  <si>
    <r>
      <t>(g/cm</t>
    </r>
    <r>
      <rPr>
        <b/>
        <vertAlign val="superscript"/>
        <sz val="10"/>
        <rFont val="MS Sans Serif"/>
        <family val="2"/>
      </rPr>
      <t>3</t>
    </r>
    <r>
      <rPr>
        <b/>
        <sz val="10"/>
        <rFont val="MS Sans Serif"/>
        <family val="2"/>
      </rPr>
      <t>)</t>
    </r>
  </si>
  <si>
    <t>Depth below grade to base of foundation</t>
  </si>
  <si>
    <r>
      <t>Henry's Law Constant @ 25</t>
    </r>
    <r>
      <rPr>
        <vertAlign val="superscript"/>
        <sz val="10"/>
        <rFont val="Century Gothic"/>
        <family val="2"/>
      </rPr>
      <t>o</t>
    </r>
    <r>
      <rPr>
        <sz val="10"/>
        <rFont val="Century Gothic"/>
        <family val="2"/>
      </rPr>
      <t>C</t>
    </r>
  </si>
  <si>
    <r>
      <t>(atm-m</t>
    </r>
    <r>
      <rPr>
        <vertAlign val="superscript"/>
        <sz val="10"/>
        <rFont val="Century Gothic"/>
        <family val="2"/>
      </rPr>
      <t>3</t>
    </r>
    <r>
      <rPr>
        <sz val="10"/>
        <rFont val="Century Gothic"/>
        <family val="2"/>
      </rPr>
      <t>/mol)</t>
    </r>
  </si>
  <si>
    <r>
      <t>(</t>
    </r>
    <r>
      <rPr>
        <vertAlign val="superscript"/>
        <sz val="10"/>
        <color indexed="8"/>
        <rFont val="Century Gothic"/>
        <family val="2"/>
      </rPr>
      <t>o</t>
    </r>
    <r>
      <rPr>
        <sz val="10"/>
        <color indexed="8"/>
        <rFont val="Century Gothic"/>
        <family val="2"/>
      </rPr>
      <t>C)</t>
    </r>
  </si>
  <si>
    <r>
      <t>(ug/m</t>
    </r>
    <r>
      <rPr>
        <vertAlign val="superscript"/>
        <sz val="10"/>
        <color indexed="8"/>
        <rFont val="Century Gothic"/>
        <family val="2"/>
      </rPr>
      <t>3</t>
    </r>
    <r>
      <rPr>
        <sz val="10"/>
        <color indexed="8"/>
        <rFont val="Century Gothic"/>
        <family val="2"/>
      </rPr>
      <t>)</t>
    </r>
    <r>
      <rPr>
        <vertAlign val="superscript"/>
        <sz val="10"/>
        <color indexed="8"/>
        <rFont val="Century Gothic"/>
        <family val="2"/>
      </rPr>
      <t>-1</t>
    </r>
  </si>
  <si>
    <r>
      <t>(ug/m</t>
    </r>
    <r>
      <rPr>
        <vertAlign val="superscript"/>
        <sz val="10"/>
        <color indexed="8"/>
        <rFont val="Century Gothic"/>
        <family val="2"/>
      </rPr>
      <t>3</t>
    </r>
    <r>
      <rPr>
        <sz val="10"/>
        <color indexed="8"/>
        <rFont val="Century Gothic"/>
        <family val="2"/>
      </rPr>
      <t>)</t>
    </r>
  </si>
  <si>
    <r>
      <t>(g/cm</t>
    </r>
    <r>
      <rPr>
        <vertAlign val="superscript"/>
        <sz val="10"/>
        <color indexed="8"/>
        <rFont val="Century Gothic"/>
        <family val="2"/>
      </rPr>
      <t>3</t>
    </r>
    <r>
      <rPr>
        <sz val="10"/>
        <color indexed="8"/>
        <rFont val="Century Gothic"/>
        <family val="2"/>
      </rPr>
      <t>)</t>
    </r>
  </si>
  <si>
    <r>
      <t>a</t>
    </r>
    <r>
      <rPr>
        <sz val="10"/>
        <rFont val="Century Gothic"/>
        <family val="2"/>
      </rPr>
      <t xml:space="preserve"> for convective transport from subslab to building</t>
    </r>
  </si>
  <si>
    <t>Target hazard quotient for non-carcinogens</t>
  </si>
  <si>
    <t>Enclosed space mixing height</t>
  </si>
  <si>
    <t>Exposure Parameter</t>
  </si>
  <si>
    <t>Range</t>
  </si>
  <si>
    <t>CV</t>
  </si>
  <si>
    <t>Contaminant</t>
  </si>
  <si>
    <t>Molecular Weight</t>
  </si>
  <si>
    <t>Henry's Law Constants</t>
  </si>
  <si>
    <t>Density</t>
  </si>
  <si>
    <t>Diffusivity in Air</t>
  </si>
  <si>
    <t>Diffusivity in Water</t>
  </si>
  <si>
    <t>Organic Carbon Partition Coefficient</t>
  </si>
  <si>
    <t>Water Solubility</t>
  </si>
  <si>
    <t>Analyte</t>
  </si>
  <si>
    <t>MW</t>
  </si>
  <si>
    <t>MW Ref</t>
  </si>
  <si>
    <t>H`
(unitless)</t>
  </si>
  <si>
    <t>H` and HLC Ref</t>
  </si>
  <si>
    <t>Density Ref</t>
  </si>
  <si>
    <t>S
(mg/L)</t>
  </si>
  <si>
    <t>S Ref</t>
  </si>
  <si>
    <t>1596-84-5</t>
  </si>
  <si>
    <t>Acephate</t>
  </si>
  <si>
    <t>30560-19-1</t>
  </si>
  <si>
    <t>75-07-0</t>
  </si>
  <si>
    <t>Acetochlor</t>
  </si>
  <si>
    <t>34256-82-1</t>
  </si>
  <si>
    <t>67-64-1</t>
  </si>
  <si>
    <t>Acetone Cyanohydrin</t>
  </si>
  <si>
    <t>75-86-5</t>
  </si>
  <si>
    <t>75-05-8</t>
  </si>
  <si>
    <t>98-86-2</t>
  </si>
  <si>
    <t>Acetylaminofluorene, 2-</t>
  </si>
  <si>
    <t>53-96-3</t>
  </si>
  <si>
    <t>107-02-8</t>
  </si>
  <si>
    <t>Acrylamide</t>
  </si>
  <si>
    <t>79-06-1</t>
  </si>
  <si>
    <t>Acrylic Acid</t>
  </si>
  <si>
    <t>79-10-7</t>
  </si>
  <si>
    <t>107-13-1</t>
  </si>
  <si>
    <t>Adiponitrile</t>
  </si>
  <si>
    <t>111-69-3</t>
  </si>
  <si>
    <t>Alachlor</t>
  </si>
  <si>
    <t>15972-60-8</t>
  </si>
  <si>
    <t>Aldicarb</t>
  </si>
  <si>
    <t>116-06-3</t>
  </si>
  <si>
    <t>Aldicarb Sulfone</t>
  </si>
  <si>
    <t>1646-88-4</t>
  </si>
  <si>
    <t>309-00-2</t>
  </si>
  <si>
    <t>74223-64-6</t>
  </si>
  <si>
    <t>Allyl Alcohol</t>
  </si>
  <si>
    <t>107-18-6</t>
  </si>
  <si>
    <t>Allyl Chloride</t>
  </si>
  <si>
    <t>107-05-1</t>
  </si>
  <si>
    <t>Aluminum</t>
  </si>
  <si>
    <t>7429-90-5</t>
  </si>
  <si>
    <t>Aluminum Phosphide</t>
  </si>
  <si>
    <t>20859-73-8</t>
  </si>
  <si>
    <t>67485-29-4</t>
  </si>
  <si>
    <t>Ametryn</t>
  </si>
  <si>
    <t>834-12-8</t>
  </si>
  <si>
    <t>Aminobiphenyl, 4-</t>
  </si>
  <si>
    <t>92-67-1</t>
  </si>
  <si>
    <t>Aminophenol, m-</t>
  </si>
  <si>
    <t>591-27-5</t>
  </si>
  <si>
    <t>Aminophenol, p-</t>
  </si>
  <si>
    <t>123-30-8</t>
  </si>
  <si>
    <t>Amitraz</t>
  </si>
  <si>
    <t>33089-61-1</t>
  </si>
  <si>
    <t>Ammonia</t>
  </si>
  <si>
    <t>7664-41-7</t>
  </si>
  <si>
    <t>7790-98-9</t>
  </si>
  <si>
    <t>Ammonium Sulfamate</t>
  </si>
  <si>
    <t>7773-06-0</t>
  </si>
  <si>
    <t>Aniline</t>
  </si>
  <si>
    <t>62-53-3</t>
  </si>
  <si>
    <t>Antimony (metallic)</t>
  </si>
  <si>
    <t>7440-36-0</t>
  </si>
  <si>
    <t>Antimony Pentoxide</t>
  </si>
  <si>
    <t>1314-60-9</t>
  </si>
  <si>
    <t>EPI</t>
  </si>
  <si>
    <t>Antimony Tetroxide</t>
  </si>
  <si>
    <t>1332-81-6</t>
  </si>
  <si>
    <t>Antimony Trioxide</t>
  </si>
  <si>
    <t>1309-64-4</t>
  </si>
  <si>
    <t>74115-24-5</t>
  </si>
  <si>
    <t>140-57-8</t>
  </si>
  <si>
    <t>Arsenic, Inorganic</t>
  </si>
  <si>
    <t>7440-38-2</t>
  </si>
  <si>
    <t>Arsine</t>
  </si>
  <si>
    <t>7784-42-1</t>
  </si>
  <si>
    <t>76578-14-8</t>
  </si>
  <si>
    <t>Asulam</t>
  </si>
  <si>
    <t>3337-71-1</t>
  </si>
  <si>
    <t>Atrazine</t>
  </si>
  <si>
    <t>1912-24-9</t>
  </si>
  <si>
    <t>Auramine</t>
  </si>
  <si>
    <t>492-80-8</t>
  </si>
  <si>
    <t>Avermectin B1</t>
  </si>
  <si>
    <t>65195-55-3</t>
  </si>
  <si>
    <t>Azobenzene</t>
  </si>
  <si>
    <t>103-33-3</t>
  </si>
  <si>
    <t>Barium</t>
  </si>
  <si>
    <t>7440-39-3</t>
  </si>
  <si>
    <t>114-26-1</t>
  </si>
  <si>
    <t>43121-43-3</t>
  </si>
  <si>
    <t>68359-37-5</t>
  </si>
  <si>
    <t>1861-40-1</t>
  </si>
  <si>
    <t>Benomyl</t>
  </si>
  <si>
    <t>17804-35-2</t>
  </si>
  <si>
    <t>Bentazon</t>
  </si>
  <si>
    <t>25057-89-0</t>
  </si>
  <si>
    <t>100-52-7</t>
  </si>
  <si>
    <t>71-43-2</t>
  </si>
  <si>
    <t>Benzenethiol</t>
  </si>
  <si>
    <t>108-98-5</t>
  </si>
  <si>
    <t>Benzidine</t>
  </si>
  <si>
    <t>92-87-5</t>
  </si>
  <si>
    <t>Benzoic Acid</t>
  </si>
  <si>
    <t>65-85-0</t>
  </si>
  <si>
    <t>Benzotrichloride</t>
  </si>
  <si>
    <t>98-07-7</t>
  </si>
  <si>
    <t>Benzyl Alcohol</t>
  </si>
  <si>
    <t>100-51-6</t>
  </si>
  <si>
    <t>Benzyl Chloride</t>
  </si>
  <si>
    <t>100-44-7</t>
  </si>
  <si>
    <t>Beryllium and compounds</t>
  </si>
  <si>
    <t>7440-41-7</t>
  </si>
  <si>
    <t>141-66-2</t>
  </si>
  <si>
    <t>Bifenox</t>
  </si>
  <si>
    <t>42576-02-3</t>
  </si>
  <si>
    <t>Biphenthrin</t>
  </si>
  <si>
    <t>82657-04-3</t>
  </si>
  <si>
    <t>Biphenyl, 1,1'-</t>
  </si>
  <si>
    <t>92-52-4</t>
  </si>
  <si>
    <t>Bis(2-chloro-1-methylethyl) ether</t>
  </si>
  <si>
    <t>108-60-1</t>
  </si>
  <si>
    <t>Bis(2-chloroethoxy)methane</t>
  </si>
  <si>
    <t>111-91-1</t>
  </si>
  <si>
    <t>111-44-4</t>
  </si>
  <si>
    <t>117-81-7</t>
  </si>
  <si>
    <t>Bis(chloromethyl)ether</t>
  </si>
  <si>
    <t>542-88-1</t>
  </si>
  <si>
    <t>Bisphenol A</t>
  </si>
  <si>
    <t>80-05-7</t>
  </si>
  <si>
    <t>Boron And Borates Only</t>
  </si>
  <si>
    <t>7440-42-8</t>
  </si>
  <si>
    <t>Boron Trifluoride</t>
  </si>
  <si>
    <t>7637-07-2</t>
  </si>
  <si>
    <t>Bromate</t>
  </si>
  <si>
    <t>15541-45-4</t>
  </si>
  <si>
    <t>Bromo-2-chloroethane, 1-</t>
  </si>
  <si>
    <t>107-04-0</t>
  </si>
  <si>
    <t>Bromobenzene</t>
  </si>
  <si>
    <t>108-86-1</t>
  </si>
  <si>
    <t>75-27-4</t>
  </si>
  <si>
    <t>75-25-2</t>
  </si>
  <si>
    <t>Bromomethane</t>
  </si>
  <si>
    <t>74-83-9</t>
  </si>
  <si>
    <t>Bromophos</t>
  </si>
  <si>
    <t>2104-96-3</t>
  </si>
  <si>
    <t>Bromoxynil</t>
  </si>
  <si>
    <t>1689-84-5</t>
  </si>
  <si>
    <t>Bromoxynil Octanoate</t>
  </si>
  <si>
    <t>1689-99-2</t>
  </si>
  <si>
    <t>106-99-0</t>
  </si>
  <si>
    <t>Butanol, N-</t>
  </si>
  <si>
    <t>71-36-3</t>
  </si>
  <si>
    <t>85-68-7</t>
  </si>
  <si>
    <t>Butyl alcohol, sec-</t>
  </si>
  <si>
    <t>78-92-2</t>
  </si>
  <si>
    <t>Butylate</t>
  </si>
  <si>
    <t>2008-41-5</t>
  </si>
  <si>
    <t>Butylated hydroxyanisole</t>
  </si>
  <si>
    <t>25013-16-5</t>
  </si>
  <si>
    <t>85-70-1</t>
  </si>
  <si>
    <t>Cacodylic Acid</t>
  </si>
  <si>
    <t>75-60-5</t>
  </si>
  <si>
    <t>Cadmium (Diet)</t>
  </si>
  <si>
    <t>7440-43-9</t>
  </si>
  <si>
    <t>Cadmium (Water)</t>
  </si>
  <si>
    <t>Caprolactam</t>
  </si>
  <si>
    <t>105-60-2</t>
  </si>
  <si>
    <t>Captafol</t>
  </si>
  <si>
    <t>2425-06-1</t>
  </si>
  <si>
    <t>Captan</t>
  </si>
  <si>
    <t>133-06-2</t>
  </si>
  <si>
    <t>Carbaryl</t>
  </si>
  <si>
    <t>63-25-2</t>
  </si>
  <si>
    <t>Carbofuran</t>
  </si>
  <si>
    <t>1563-66-2</t>
  </si>
  <si>
    <t>Carbon Disulfide</t>
  </si>
  <si>
    <t>75-15-0</t>
  </si>
  <si>
    <t>Carbon Tetrachloride</t>
  </si>
  <si>
    <t>56-23-5</t>
  </si>
  <si>
    <t>Carbosulfan</t>
  </si>
  <si>
    <t>55285-14-8</t>
  </si>
  <si>
    <t>Carboxin</t>
  </si>
  <si>
    <t>5234-68-4</t>
  </si>
  <si>
    <t>Ceric oxide</t>
  </si>
  <si>
    <t>1306-38-3</t>
  </si>
  <si>
    <t>Chloral Hydrate</t>
  </si>
  <si>
    <t>302-17-0</t>
  </si>
  <si>
    <t>Chloramben</t>
  </si>
  <si>
    <t>133-90-4</t>
  </si>
  <si>
    <t>Chloranil</t>
  </si>
  <si>
    <t>118-75-2</t>
  </si>
  <si>
    <t>12789-03-6</t>
  </si>
  <si>
    <t>Chlordecone (Kepone)</t>
  </si>
  <si>
    <t>143-50-0</t>
  </si>
  <si>
    <t>Chlorfenvinphos</t>
  </si>
  <si>
    <t>470-90-6</t>
  </si>
  <si>
    <t>Chlorimuron, Ethyl-</t>
  </si>
  <si>
    <t>90982-32-4</t>
  </si>
  <si>
    <t>Chlorine</t>
  </si>
  <si>
    <t>7782-50-5</t>
  </si>
  <si>
    <t>Chlorine Dioxide</t>
  </si>
  <si>
    <t>10049-04-4</t>
  </si>
  <si>
    <t>Chlorite (Sodium Salt)</t>
  </si>
  <si>
    <t>7758-19-2</t>
  </si>
  <si>
    <t>Chloro-1,1-difluoroethane, 1-</t>
  </si>
  <si>
    <t>75-68-3</t>
  </si>
  <si>
    <t>Chloro-1,3-butadiene, 2-</t>
  </si>
  <si>
    <t>126-99-8</t>
  </si>
  <si>
    <t>Chloro-2-methylaniline HCl, 4-</t>
  </si>
  <si>
    <t>3165-93-3</t>
  </si>
  <si>
    <t>Chloroacetaldehyde, 2-</t>
  </si>
  <si>
    <t>107-20-0</t>
  </si>
  <si>
    <t>Chloroacetic Acid</t>
  </si>
  <si>
    <t>79-11-8</t>
  </si>
  <si>
    <t>Chloroacetophenone, 2-</t>
  </si>
  <si>
    <t>532-27-4</t>
  </si>
  <si>
    <t>Chloroaniline, p-</t>
  </si>
  <si>
    <t>106-47-8</t>
  </si>
  <si>
    <t>108-90-7</t>
  </si>
  <si>
    <t>Chlorobenzilate</t>
  </si>
  <si>
    <t>510-15-6</t>
  </si>
  <si>
    <t>Chlorobenzoic Acid, p-</t>
  </si>
  <si>
    <t>74-11-3</t>
  </si>
  <si>
    <t>Chlorobenzotrifluoride, 4-</t>
  </si>
  <si>
    <t>98-56-6</t>
  </si>
  <si>
    <t>109-69-3</t>
  </si>
  <si>
    <t>75-45-6</t>
  </si>
  <si>
    <t>67-66-3</t>
  </si>
  <si>
    <t>Chloromethane</t>
  </si>
  <si>
    <t>74-87-3</t>
  </si>
  <si>
    <t>Chloromethyl Methyl Ether</t>
  </si>
  <si>
    <t>107-30-2</t>
  </si>
  <si>
    <t>91-58-7</t>
  </si>
  <si>
    <t>Chloronitrobenzene, o-</t>
  </si>
  <si>
    <t>88-73-3</t>
  </si>
  <si>
    <t>Chloronitrobenzene, p-</t>
  </si>
  <si>
    <t>100-00-5</t>
  </si>
  <si>
    <t>95-57-8</t>
  </si>
  <si>
    <t>Chloropicrin</t>
  </si>
  <si>
    <t>76-06-2</t>
  </si>
  <si>
    <t>Chlorothalonil</t>
  </si>
  <si>
    <t>1897-45-6</t>
  </si>
  <si>
    <t>Chlorotoluene, o-</t>
  </si>
  <si>
    <t>95-49-8</t>
  </si>
  <si>
    <t>Chlorotoluene, p-</t>
  </si>
  <si>
    <t>106-43-4</t>
  </si>
  <si>
    <t>Chlorozotocin</t>
  </si>
  <si>
    <t>54749-90-5</t>
  </si>
  <si>
    <t>Chlorpropham</t>
  </si>
  <si>
    <t>101-21-3</t>
  </si>
  <si>
    <t>Chlorpyrifos</t>
  </si>
  <si>
    <t>2921-88-2</t>
  </si>
  <si>
    <t>Chlorpyrifos Methyl</t>
  </si>
  <si>
    <t>5598-13-0</t>
  </si>
  <si>
    <t>Chlorsulfuron</t>
  </si>
  <si>
    <t>64902-72-3</t>
  </si>
  <si>
    <t>Chlorthiophos</t>
  </si>
  <si>
    <t>60238-56-4</t>
  </si>
  <si>
    <t>Chromium(III), Insoluble Salts</t>
  </si>
  <si>
    <t>16065-83-1</t>
  </si>
  <si>
    <t>Chromium(VI)</t>
  </si>
  <si>
    <t>18540-29-9</t>
  </si>
  <si>
    <t>Chromium, Total</t>
  </si>
  <si>
    <t>7440-47-3</t>
  </si>
  <si>
    <t>Cobalt</t>
  </si>
  <si>
    <t>7440-48-4</t>
  </si>
  <si>
    <t>Coke Oven Emissions</t>
  </si>
  <si>
    <t>8007-45-2</t>
  </si>
  <si>
    <t>Copper</t>
  </si>
  <si>
    <t>7440-50-8</t>
  </si>
  <si>
    <t>Cresol, m-</t>
  </si>
  <si>
    <t>108-39-4</t>
  </si>
  <si>
    <t>Cresol, o-</t>
  </si>
  <si>
    <t>95-48-7</t>
  </si>
  <si>
    <t>Cresol, p-</t>
  </si>
  <si>
    <t>106-44-5</t>
  </si>
  <si>
    <t>Cresol, p-chloro-m-</t>
  </si>
  <si>
    <t>59-50-7</t>
  </si>
  <si>
    <t>Cresols</t>
  </si>
  <si>
    <t>1319-77-3</t>
  </si>
  <si>
    <t>Crotonaldehyde, trans-</t>
  </si>
  <si>
    <t>123-73-9</t>
  </si>
  <si>
    <t>98-82-8</t>
  </si>
  <si>
    <t>Cupferron</t>
  </si>
  <si>
    <t>135-20-6</t>
  </si>
  <si>
    <t>Cyanazine</t>
  </si>
  <si>
    <t>21725-46-2</t>
  </si>
  <si>
    <t>Cyanides</t>
  </si>
  <si>
    <t>~Calcium Cyanide</t>
  </si>
  <si>
    <t>592-01-8</t>
  </si>
  <si>
    <t>~Copper Cyanide</t>
  </si>
  <si>
    <t>544-92-3</t>
  </si>
  <si>
    <t>~Cyanide (CN-)</t>
  </si>
  <si>
    <t>57-12-5</t>
  </si>
  <si>
    <t>~Cyanogen</t>
  </si>
  <si>
    <t>460-19-5</t>
  </si>
  <si>
    <t>~Cyanogen Bromide</t>
  </si>
  <si>
    <t>506-68-3</t>
  </si>
  <si>
    <t>~Cyanogen Chloride</t>
  </si>
  <si>
    <t>506-77-4</t>
  </si>
  <si>
    <t>~Hydrogen Cyanide</t>
  </si>
  <si>
    <t>74-90-8</t>
  </si>
  <si>
    <t>~Potassium Cyanide</t>
  </si>
  <si>
    <t>151-50-8</t>
  </si>
  <si>
    <t>~Potassium Silver Cyanide</t>
  </si>
  <si>
    <t>506-61-6</t>
  </si>
  <si>
    <t>~Silver Cyanide</t>
  </si>
  <si>
    <t>506-64-9</t>
  </si>
  <si>
    <t>~Sodium Cyanide</t>
  </si>
  <si>
    <t>143-33-9</t>
  </si>
  <si>
    <t>463-56-9</t>
  </si>
  <si>
    <t>~Zinc Cyanide</t>
  </si>
  <si>
    <t>557-21-1</t>
  </si>
  <si>
    <t>Cyclohexane</t>
  </si>
  <si>
    <t>110-82-7</t>
  </si>
  <si>
    <t>Cyclohexane, 1,2,3,4,5-pentabromo-6-chloro-</t>
  </si>
  <si>
    <t>87-84-3</t>
  </si>
  <si>
    <t>Cyclohexanone</t>
  </si>
  <si>
    <t>108-94-1</t>
  </si>
  <si>
    <t>Cyclohexylamine</t>
  </si>
  <si>
    <t>108-91-8</t>
  </si>
  <si>
    <t>68085-85-8</t>
  </si>
  <si>
    <t>Cypermethrin</t>
  </si>
  <si>
    <t>52315-07-8</t>
  </si>
  <si>
    <t>Cyromazine</t>
  </si>
  <si>
    <t>66215-27-8</t>
  </si>
  <si>
    <t>DDD</t>
  </si>
  <si>
    <t>72-54-8</t>
  </si>
  <si>
    <t>DDE, p,p'-</t>
  </si>
  <si>
    <t>72-55-9</t>
  </si>
  <si>
    <t>DDT</t>
  </si>
  <si>
    <t>50-29-3</t>
  </si>
  <si>
    <t>1861-32-1</t>
  </si>
  <si>
    <t>Dalapon</t>
  </si>
  <si>
    <t>75-99-0</t>
  </si>
  <si>
    <t>Decabromodiphenyl ether, 2,2',3,3',4,4',5,5',6,6'- (BDE-209)</t>
  </si>
  <si>
    <t>1163-19-5</t>
  </si>
  <si>
    <t>Demeton</t>
  </si>
  <si>
    <t>8065-48-3</t>
  </si>
  <si>
    <t>Di(2-ethylhexyl)adipate</t>
  </si>
  <si>
    <t>103-23-1</t>
  </si>
  <si>
    <t>Diallate</t>
  </si>
  <si>
    <t>2303-16-4</t>
  </si>
  <si>
    <t>Diazinon</t>
  </si>
  <si>
    <t>333-41-5</t>
  </si>
  <si>
    <t>Dibromo-3-chloropropane, 1,2-</t>
  </si>
  <si>
    <t>96-12-8</t>
  </si>
  <si>
    <t>Dibromobenzene, 1,4-</t>
  </si>
  <si>
    <t>106-37-6</t>
  </si>
  <si>
    <t>Dibromochloromethane</t>
  </si>
  <si>
    <t>124-48-1</t>
  </si>
  <si>
    <t>Dibromoethane, 1,2-</t>
  </si>
  <si>
    <t>106-93-4</t>
  </si>
  <si>
    <t>Dibromomethane (Methylene Bromide)</t>
  </si>
  <si>
    <t>74-95-3</t>
  </si>
  <si>
    <t>84-74-2</t>
  </si>
  <si>
    <t>Dibutyltin Compounds</t>
  </si>
  <si>
    <t>NA</t>
  </si>
  <si>
    <t>Dicamba</t>
  </si>
  <si>
    <t>1918-00-9</t>
  </si>
  <si>
    <t>Dichloro-2-butene, 1,4-</t>
  </si>
  <si>
    <t>764-41-0</t>
  </si>
  <si>
    <t>Dichloro-2-butene, cis-1,4-</t>
  </si>
  <si>
    <t>1476-11-5</t>
  </si>
  <si>
    <t>Dichloro-2-butene, trans-1,4-</t>
  </si>
  <si>
    <t>110-57-6</t>
  </si>
  <si>
    <t>Dichloroacetic Acid</t>
  </si>
  <si>
    <t>79-43-6</t>
  </si>
  <si>
    <t>95-50-1</t>
  </si>
  <si>
    <t>106-46-7</t>
  </si>
  <si>
    <t>Dichlorobenzidine, 3,3'-</t>
  </si>
  <si>
    <t>91-94-1</t>
  </si>
  <si>
    <t>Dichlorobenzophenone, 4,4'-</t>
  </si>
  <si>
    <t>90-98-2</t>
  </si>
  <si>
    <t>75-71-8</t>
  </si>
  <si>
    <t>75-34-3</t>
  </si>
  <si>
    <t>107-06-2</t>
  </si>
  <si>
    <t>75-35-4</t>
  </si>
  <si>
    <t>Dichloroethylene, 1,2-cis-</t>
  </si>
  <si>
    <t>156-59-2</t>
  </si>
  <si>
    <t>Dichloroethylene, 1,2-trans-</t>
  </si>
  <si>
    <t>156-60-5</t>
  </si>
  <si>
    <t>Dichlorophenol, 2,4-</t>
  </si>
  <si>
    <t>120-83-2</t>
  </si>
  <si>
    <t>Dichlorophenoxy Acetic Acid, 2,4-</t>
  </si>
  <si>
    <t>94-75-7</t>
  </si>
  <si>
    <t>94-82-6</t>
  </si>
  <si>
    <t>78-87-5</t>
  </si>
  <si>
    <t>Dichloropropane, 1,3-</t>
  </si>
  <si>
    <t>142-28-9</t>
  </si>
  <si>
    <t>Dichloropropanol, 2,3-</t>
  </si>
  <si>
    <t>616-23-9</t>
  </si>
  <si>
    <t>542-75-6</t>
  </si>
  <si>
    <t>Dichlorvos</t>
  </si>
  <si>
    <t>62-73-7</t>
  </si>
  <si>
    <t>Dicyclopentadiene</t>
  </si>
  <si>
    <t>77-73-6</t>
  </si>
  <si>
    <t>60-57-1</t>
  </si>
  <si>
    <t>Diesel Engine Exhaust</t>
  </si>
  <si>
    <t>Diethanolamine</t>
  </si>
  <si>
    <t>111-42-2</t>
  </si>
  <si>
    <t>84-66-2</t>
  </si>
  <si>
    <t>Diethylene Glycol Monobutyl Ether</t>
  </si>
  <si>
    <t>112-34-5</t>
  </si>
  <si>
    <t>Diethylene Glycol Monoethyl Ether</t>
  </si>
  <si>
    <t>111-90-0</t>
  </si>
  <si>
    <t>Diethylformamide</t>
  </si>
  <si>
    <t>617-84-5</t>
  </si>
  <si>
    <t>Diethylstilbestrol</t>
  </si>
  <si>
    <t>56-53-1</t>
  </si>
  <si>
    <t>Difenzoquat</t>
  </si>
  <si>
    <t>43222-48-6</t>
  </si>
  <si>
    <t>Diflubenzuron</t>
  </si>
  <si>
    <t>35367-38-5</t>
  </si>
  <si>
    <t>Difluoroethane, 1,1-</t>
  </si>
  <si>
    <t>75-37-6</t>
  </si>
  <si>
    <t>Dihydrosafrole</t>
  </si>
  <si>
    <t>94-58-6</t>
  </si>
  <si>
    <t>Diisopropyl Ether</t>
  </si>
  <si>
    <t>108-20-3</t>
  </si>
  <si>
    <t>Diisopropyl Methylphosphonate</t>
  </si>
  <si>
    <t>1445-75-6</t>
  </si>
  <si>
    <t>Dimethipin</t>
  </si>
  <si>
    <t>55290-64-7</t>
  </si>
  <si>
    <t>Dimethoate</t>
  </si>
  <si>
    <t>60-51-5</t>
  </si>
  <si>
    <t>Dimethoxybenzidine, 3,3'-</t>
  </si>
  <si>
    <t>119-90-4</t>
  </si>
  <si>
    <t>Dimethyl methylphosphonate</t>
  </si>
  <si>
    <t>756-79-6</t>
  </si>
  <si>
    <t>Dimethylamino azobenzene [p-]</t>
  </si>
  <si>
    <t>60-11-7</t>
  </si>
  <si>
    <t>Dimethylaniline HCl, 2,4-</t>
  </si>
  <si>
    <t>21436-96-4</t>
  </si>
  <si>
    <t>Dimethylaniline, 2,4-</t>
  </si>
  <si>
    <t>95-68-1</t>
  </si>
  <si>
    <t>Dimethylaniline, N,N-</t>
  </si>
  <si>
    <t>121-69-7</t>
  </si>
  <si>
    <t>Dimethylbenzidine, 3,3'-</t>
  </si>
  <si>
    <t>119-93-7</t>
  </si>
  <si>
    <t>Dimethylformamide</t>
  </si>
  <si>
    <t>68-12-2</t>
  </si>
  <si>
    <t>Dimethylhydrazine, 1,1-</t>
  </si>
  <si>
    <t>57-14-7</t>
  </si>
  <si>
    <t>Dimethylhydrazine, 1,2-</t>
  </si>
  <si>
    <t>540-73-8</t>
  </si>
  <si>
    <t>Dimethylphenol, 2,4-</t>
  </si>
  <si>
    <t>105-67-9</t>
  </si>
  <si>
    <t>Dimethylphenol, 2,6-</t>
  </si>
  <si>
    <t>576-26-1</t>
  </si>
  <si>
    <t>Dimethylphenol, 3,4-</t>
  </si>
  <si>
    <t>95-65-8</t>
  </si>
  <si>
    <t>120-61-6</t>
  </si>
  <si>
    <t>Dimethylvinylchloride</t>
  </si>
  <si>
    <t>513-37-1</t>
  </si>
  <si>
    <t>Dinitro-o-cresol, 4,6-</t>
  </si>
  <si>
    <t>534-52-1</t>
  </si>
  <si>
    <t>Dinitro-o-cyclohexyl Phenol, 4,6-</t>
  </si>
  <si>
    <t>131-89-5</t>
  </si>
  <si>
    <t>Dinitrobenzene, 1,2-</t>
  </si>
  <si>
    <t>528-29-0</t>
  </si>
  <si>
    <t>Dinitrobenzene, 1,3-</t>
  </si>
  <si>
    <t>99-65-0</t>
  </si>
  <si>
    <t>Dinitrobenzene, 1,4-</t>
  </si>
  <si>
    <t>100-25-4</t>
  </si>
  <si>
    <t>Dinitrophenol, 2,4-</t>
  </si>
  <si>
    <t>51-28-5</t>
  </si>
  <si>
    <t>Dinitrotoluene Mixture, 2,4/2,6-</t>
  </si>
  <si>
    <t>25321-14-6</t>
  </si>
  <si>
    <t>Dinitrotoluene, 2,4-</t>
  </si>
  <si>
    <t>121-14-2</t>
  </si>
  <si>
    <t>Dinitrotoluene, 2,6-</t>
  </si>
  <si>
    <t>606-20-2</t>
  </si>
  <si>
    <t>Dinitrotoluene, 2-Amino-4,6-</t>
  </si>
  <si>
    <t>35572-78-2</t>
  </si>
  <si>
    <t>Dinitrotoluene, 4-Amino-2,6-</t>
  </si>
  <si>
    <t>19406-51-0</t>
  </si>
  <si>
    <t>Dinoseb</t>
  </si>
  <si>
    <t>88-85-7</t>
  </si>
  <si>
    <t>Dioxane, 1,4-</t>
  </si>
  <si>
    <t>123-91-1</t>
  </si>
  <si>
    <t>Dioxins</t>
  </si>
  <si>
    <t>~Hexachlorodibenzo-p-dioxin, Mixture</t>
  </si>
  <si>
    <t>~TCDD, 2,3,7,8-</t>
  </si>
  <si>
    <t>1746-01-6</t>
  </si>
  <si>
    <t>Diphenamid</t>
  </si>
  <si>
    <t>957-51-7</t>
  </si>
  <si>
    <t>Diphenyl Sulfone</t>
  </si>
  <si>
    <t>127-63-9</t>
  </si>
  <si>
    <t>Diphenylamine</t>
  </si>
  <si>
    <t>122-39-4</t>
  </si>
  <si>
    <t>Diphenylhydrazine, 1,2-</t>
  </si>
  <si>
    <t>122-66-7</t>
  </si>
  <si>
    <t>Diquat</t>
  </si>
  <si>
    <t>85-00-7</t>
  </si>
  <si>
    <t>Direct Black 38</t>
  </si>
  <si>
    <t>1937-37-7</t>
  </si>
  <si>
    <t>Direct Blue 6</t>
  </si>
  <si>
    <t>2602-46-2</t>
  </si>
  <si>
    <t>Direct Brown 95</t>
  </si>
  <si>
    <t>16071-86-6</t>
  </si>
  <si>
    <t>Disulfoton</t>
  </si>
  <si>
    <t>298-04-4</t>
  </si>
  <si>
    <t>Dithiane, 1,4-</t>
  </si>
  <si>
    <t>505-29-3</t>
  </si>
  <si>
    <t>Diuron</t>
  </si>
  <si>
    <t>330-54-1</t>
  </si>
  <si>
    <t>Dodine</t>
  </si>
  <si>
    <t>2439-10-3</t>
  </si>
  <si>
    <t>EPTC</t>
  </si>
  <si>
    <t>759-94-4</t>
  </si>
  <si>
    <t>115-29-7</t>
  </si>
  <si>
    <t>Endothall</t>
  </si>
  <si>
    <t>145-73-3</t>
  </si>
  <si>
    <t>Endrin</t>
  </si>
  <si>
    <t>72-20-8</t>
  </si>
  <si>
    <t>Epichlorohydrin</t>
  </si>
  <si>
    <t>106-89-8</t>
  </si>
  <si>
    <t>Epoxybutane, 1,2-</t>
  </si>
  <si>
    <t>106-88-7</t>
  </si>
  <si>
    <t>Ethephon</t>
  </si>
  <si>
    <t>16672-87-0</t>
  </si>
  <si>
    <t>Ethion</t>
  </si>
  <si>
    <t>563-12-2</t>
  </si>
  <si>
    <t>Ethoxyethanol Acetate, 2-</t>
  </si>
  <si>
    <t>111-15-9</t>
  </si>
  <si>
    <t>Ethoxyethanol, 2-</t>
  </si>
  <si>
    <t>110-80-5</t>
  </si>
  <si>
    <t>Ethyl Acetate</t>
  </si>
  <si>
    <t>141-78-6</t>
  </si>
  <si>
    <t>Ethyl Acrylate</t>
  </si>
  <si>
    <t>140-88-5</t>
  </si>
  <si>
    <t>75-00-3</t>
  </si>
  <si>
    <t>Ethyl Ether</t>
  </si>
  <si>
    <t>60-29-7</t>
  </si>
  <si>
    <t>Ethyl Methacrylate</t>
  </si>
  <si>
    <t>97-63-2</t>
  </si>
  <si>
    <t>Ethyl-p-nitrophenyl Phosphonate</t>
  </si>
  <si>
    <t>2104-64-5</t>
  </si>
  <si>
    <t>100-41-4</t>
  </si>
  <si>
    <t>Ethylene Cyanohydrin</t>
  </si>
  <si>
    <t>109-78-4</t>
  </si>
  <si>
    <t>Ethylene Diamine</t>
  </si>
  <si>
    <t>107-15-3</t>
  </si>
  <si>
    <t>Ethylene Glycol</t>
  </si>
  <si>
    <t>107-21-1</t>
  </si>
  <si>
    <t>Ethylene Glycol Monobutyl Ether</t>
  </si>
  <si>
    <t>111-76-2</t>
  </si>
  <si>
    <t>Ethylene Oxide</t>
  </si>
  <si>
    <t>75-21-8</t>
  </si>
  <si>
    <t>Ethylene Thiourea</t>
  </si>
  <si>
    <t>96-45-7</t>
  </si>
  <si>
    <t>Ethyleneimine</t>
  </si>
  <si>
    <t>151-56-4</t>
  </si>
  <si>
    <t>Ethylphthalyl Ethyl Glycolate</t>
  </si>
  <si>
    <t>84-72-0</t>
  </si>
  <si>
    <t>101200-48-0</t>
  </si>
  <si>
    <t>Fenamiphos</t>
  </si>
  <si>
    <t>22224-92-6</t>
  </si>
  <si>
    <t>Fenpropathrin</t>
  </si>
  <si>
    <t>39515-41-8</t>
  </si>
  <si>
    <t>Fluometuron</t>
  </si>
  <si>
    <t>2164-17-2</t>
  </si>
  <si>
    <t>Fluoride</t>
  </si>
  <si>
    <t>16984-48-8</t>
  </si>
  <si>
    <t>Fluorine (Soluble Fluoride)</t>
  </si>
  <si>
    <t>7782-41-4</t>
  </si>
  <si>
    <t>Fluridone</t>
  </si>
  <si>
    <t>59756-60-4</t>
  </si>
  <si>
    <t>Flurprimidol</t>
  </si>
  <si>
    <t>56425-91-3</t>
  </si>
  <si>
    <t>Flutolanil</t>
  </si>
  <si>
    <t>66332-96-5</t>
  </si>
  <si>
    <t>Fluvalinate</t>
  </si>
  <si>
    <t>69409-94-5</t>
  </si>
  <si>
    <t>Folpet</t>
  </si>
  <si>
    <t>133-07-3</t>
  </si>
  <si>
    <t>Fomesafen</t>
  </si>
  <si>
    <t>72178-02-0</t>
  </si>
  <si>
    <t>Fonofos</t>
  </si>
  <si>
    <t>944-22-9</t>
  </si>
  <si>
    <t>Formaldehyde</t>
  </si>
  <si>
    <t>50-00-0</t>
  </si>
  <si>
    <t>Formic Acid</t>
  </si>
  <si>
    <t>64-18-6</t>
  </si>
  <si>
    <t>Fosetyl-AL</t>
  </si>
  <si>
    <t>39148-24-8</t>
  </si>
  <si>
    <t>Furans</t>
  </si>
  <si>
    <t>~Dibenzofuran</t>
  </si>
  <si>
    <t>132-64-9</t>
  </si>
  <si>
    <t>~Furan</t>
  </si>
  <si>
    <t>110-00-9</t>
  </si>
  <si>
    <t>Furazolidone</t>
  </si>
  <si>
    <t>67-45-8</t>
  </si>
  <si>
    <t>Furfural</t>
  </si>
  <si>
    <t>98-01-1</t>
  </si>
  <si>
    <t>Furium</t>
  </si>
  <si>
    <t>531-82-8</t>
  </si>
  <si>
    <t>Furmecyclox</t>
  </si>
  <si>
    <t>60568-05-0</t>
  </si>
  <si>
    <t>Glufosinate, Ammonium</t>
  </si>
  <si>
    <t>77182-82-2</t>
  </si>
  <si>
    <t>Glutaraldehyde</t>
  </si>
  <si>
    <t>111-30-8</t>
  </si>
  <si>
    <t>Glycidyl</t>
  </si>
  <si>
    <t>765-34-4</t>
  </si>
  <si>
    <t>Glyphosate</t>
  </si>
  <si>
    <t>1071-83-6</t>
  </si>
  <si>
    <t>42874-03-3</t>
  </si>
  <si>
    <t>86-50-0</t>
  </si>
  <si>
    <t>Haloxyfop, Methyl</t>
  </si>
  <si>
    <t>69806-40-2</t>
  </si>
  <si>
    <t>79277-27-3</t>
  </si>
  <si>
    <t>76-44-8</t>
  </si>
  <si>
    <t>Heptachlor Epoxide</t>
  </si>
  <si>
    <t>1024-57-3</t>
  </si>
  <si>
    <t>Hexabromobenzene</t>
  </si>
  <si>
    <t>87-82-1</t>
  </si>
  <si>
    <t>Hexabromodiphenyl ether, 2,2',4,4',5,5'- (BDE-153)</t>
  </si>
  <si>
    <t>68631-49-2</t>
  </si>
  <si>
    <t>118-74-1</t>
  </si>
  <si>
    <t>Hexachlorobutadiene</t>
  </si>
  <si>
    <t>87-68-3</t>
  </si>
  <si>
    <t>Hexachlorocyclohexane, Alpha-</t>
  </si>
  <si>
    <t>319-84-6</t>
  </si>
  <si>
    <t>Hexachlorocyclohexane, Beta-</t>
  </si>
  <si>
    <t>319-85-7</t>
  </si>
  <si>
    <t>Hexachlorocyclohexane, Gamma- (Lindane)</t>
  </si>
  <si>
    <t>58-89-9</t>
  </si>
  <si>
    <t>Hexachlorocyclohexane, Technical</t>
  </si>
  <si>
    <t>608-73-1</t>
  </si>
  <si>
    <t>77-47-4</t>
  </si>
  <si>
    <t>67-72-1</t>
  </si>
  <si>
    <t>Hexachlorophene</t>
  </si>
  <si>
    <t>70-30-4</t>
  </si>
  <si>
    <t>Hexahydro-1,3,5-trinitro-1,3,5-triazine (RDX)</t>
  </si>
  <si>
    <t>121-82-4</t>
  </si>
  <si>
    <t>Hexamethylene Diisocyanate, 1,6-</t>
  </si>
  <si>
    <t>822-06-0</t>
  </si>
  <si>
    <t>Hexane, N-</t>
  </si>
  <si>
    <t>110-54-3</t>
  </si>
  <si>
    <t>Hexanedioic Acid</t>
  </si>
  <si>
    <t>124-04-9</t>
  </si>
  <si>
    <t>Hexanone, 2-</t>
  </si>
  <si>
    <t>591-78-6</t>
  </si>
  <si>
    <t>Hexazinone</t>
  </si>
  <si>
    <t>51235-04-2</t>
  </si>
  <si>
    <t>Hydrazine</t>
  </si>
  <si>
    <t>302-01-2</t>
  </si>
  <si>
    <t>Hydrazine Sulfate</t>
  </si>
  <si>
    <t>10034-93-2</t>
  </si>
  <si>
    <t>Hydrogen Chloride</t>
  </si>
  <si>
    <t>7647-01-0</t>
  </si>
  <si>
    <t>Hydrogen Fluoride</t>
  </si>
  <si>
    <t>7664-39-3</t>
  </si>
  <si>
    <t>Hydrogen Sulfide</t>
  </si>
  <si>
    <t>7783-06-4</t>
  </si>
  <si>
    <t>Hydroquinone</t>
  </si>
  <si>
    <t>123-31-9</t>
  </si>
  <si>
    <t>Imazalil</t>
  </si>
  <si>
    <t>35554-44-0</t>
  </si>
  <si>
    <t>Imazaquin</t>
  </si>
  <si>
    <t>81335-37-7</t>
  </si>
  <si>
    <t>Iodine</t>
  </si>
  <si>
    <t>7553-56-2</t>
  </si>
  <si>
    <t>Iprodione</t>
  </si>
  <si>
    <t>36734-19-7</t>
  </si>
  <si>
    <t>Iron</t>
  </si>
  <si>
    <t>7439-89-6</t>
  </si>
  <si>
    <t>Isobutyl Alcohol</t>
  </si>
  <si>
    <t>78-83-1</t>
  </si>
  <si>
    <t>Isophorone</t>
  </si>
  <si>
    <t>78-59-1</t>
  </si>
  <si>
    <t>Isopropalin</t>
  </si>
  <si>
    <t>33820-53-0</t>
  </si>
  <si>
    <t>Isopropanol</t>
  </si>
  <si>
    <t>67-63-0</t>
  </si>
  <si>
    <t>Isopropyl Methyl Phosphonic Acid</t>
  </si>
  <si>
    <t>1832-54-8</t>
  </si>
  <si>
    <t>Isoxaben</t>
  </si>
  <si>
    <t>82558-50-7</t>
  </si>
  <si>
    <t>JP-7</t>
  </si>
  <si>
    <t>23950-58-5</t>
  </si>
  <si>
    <t>Lactofen</t>
  </si>
  <si>
    <t>77501-63-4</t>
  </si>
  <si>
    <t>Lead Compounds</t>
  </si>
  <si>
    <t>~Lead acetate</t>
  </si>
  <si>
    <t>301-04-2</t>
  </si>
  <si>
    <t>~Lead and Compounds</t>
  </si>
  <si>
    <t>7439-92-1</t>
  </si>
  <si>
    <t>~Lead subacetate</t>
  </si>
  <si>
    <t>1335-32-6</t>
  </si>
  <si>
    <t>~Tetraethyl Lead</t>
  </si>
  <si>
    <t>78-00-2</t>
  </si>
  <si>
    <t>Linuron</t>
  </si>
  <si>
    <t>330-55-2</t>
  </si>
  <si>
    <t>Lithium</t>
  </si>
  <si>
    <t>7439-93-2</t>
  </si>
  <si>
    <t>7791-03-9</t>
  </si>
  <si>
    <t>83055-99-6</t>
  </si>
  <si>
    <t>MCPA</t>
  </si>
  <si>
    <t>94-74-6</t>
  </si>
  <si>
    <t>MCPB</t>
  </si>
  <si>
    <t>94-81-5</t>
  </si>
  <si>
    <t>MCPP</t>
  </si>
  <si>
    <t>93-65-2</t>
  </si>
  <si>
    <t>Malathion</t>
  </si>
  <si>
    <t>121-75-5</t>
  </si>
  <si>
    <t>Maleic Anhydride</t>
  </si>
  <si>
    <t>108-31-6</t>
  </si>
  <si>
    <t>Maleic Hydrazide</t>
  </si>
  <si>
    <t>123-33-1</t>
  </si>
  <si>
    <t>Malononitrile</t>
  </si>
  <si>
    <t>109-77-3</t>
  </si>
  <si>
    <t>Mancozeb</t>
  </si>
  <si>
    <t>8018-01-7</t>
  </si>
  <si>
    <t>Maneb</t>
  </si>
  <si>
    <t>12427-38-2</t>
  </si>
  <si>
    <t>Manganese (Diet)</t>
  </si>
  <si>
    <t>7439-96-5</t>
  </si>
  <si>
    <t>Mephosfolan</t>
  </si>
  <si>
    <t>950-10-7</t>
  </si>
  <si>
    <t>Mepiquat Chloride</t>
  </si>
  <si>
    <t>24307-26-4</t>
  </si>
  <si>
    <t>Mercury Compounds</t>
  </si>
  <si>
    <t>7487-94-7</t>
  </si>
  <si>
    <t>~Mercury (elemental)</t>
  </si>
  <si>
    <t>7439-97-6</t>
  </si>
  <si>
    <t>SSL</t>
  </si>
  <si>
    <t>~Methyl Mercury</t>
  </si>
  <si>
    <t>22967-92-6</t>
  </si>
  <si>
    <t>~Phenylmercuric Acetate</t>
  </si>
  <si>
    <t>62-38-4</t>
  </si>
  <si>
    <t>Merphos</t>
  </si>
  <si>
    <t>150-50-5</t>
  </si>
  <si>
    <t>Merphos Oxide</t>
  </si>
  <si>
    <t>78-48-8</t>
  </si>
  <si>
    <t>Metalaxyl</t>
  </si>
  <si>
    <t>57837-19-1</t>
  </si>
  <si>
    <t>126-98-7</t>
  </si>
  <si>
    <t>Methamidophos</t>
  </si>
  <si>
    <t>10265-92-6</t>
  </si>
  <si>
    <t>Methanol</t>
  </si>
  <si>
    <t>67-56-1</t>
  </si>
  <si>
    <t>Methidathion</t>
  </si>
  <si>
    <t>950-37-8</t>
  </si>
  <si>
    <t>Methomyl</t>
  </si>
  <si>
    <t>16752-77-5</t>
  </si>
  <si>
    <t>Methoxy-5-nitroaniline, 2-</t>
  </si>
  <si>
    <t>99-59-2</t>
  </si>
  <si>
    <t>72-43-5</t>
  </si>
  <si>
    <t>Methoxyethanol Acetate, 2-</t>
  </si>
  <si>
    <t>110-49-6</t>
  </si>
  <si>
    <t>Methoxyethanol, 2-</t>
  </si>
  <si>
    <t>109-86-4</t>
  </si>
  <si>
    <t>Methyl Acetate</t>
  </si>
  <si>
    <t>79-20-9</t>
  </si>
  <si>
    <t>Methyl Acrylate</t>
  </si>
  <si>
    <t>96-33-3</t>
  </si>
  <si>
    <t>Methyl Ethyl Ketone (2-Butanone)</t>
  </si>
  <si>
    <t>78-93-3</t>
  </si>
  <si>
    <t>Methyl Isobutyl Ketone (4-methyl-2-pentanone)</t>
  </si>
  <si>
    <t>108-10-1</t>
  </si>
  <si>
    <t>Methyl Isocyanate</t>
  </si>
  <si>
    <t>624-83-9</t>
  </si>
  <si>
    <t>Methyl Methacrylate</t>
  </si>
  <si>
    <t>80-62-6</t>
  </si>
  <si>
    <t>Methyl Parathion</t>
  </si>
  <si>
    <t>298-00-0</t>
  </si>
  <si>
    <t>Methyl Phosphonic Acid</t>
  </si>
  <si>
    <t>993-13-5</t>
  </si>
  <si>
    <t>Methyl Styrene (Mixed Isomers)</t>
  </si>
  <si>
    <t>25013-15-4</t>
  </si>
  <si>
    <t>Methyl methanesulfonate</t>
  </si>
  <si>
    <t>66-27-3</t>
  </si>
  <si>
    <t>Methyl tert-Butyl Ether (MTBE)</t>
  </si>
  <si>
    <t>1634-04-4</t>
  </si>
  <si>
    <t>Methyl-5-Nitroaniline, 2-</t>
  </si>
  <si>
    <t>99-55-8</t>
  </si>
  <si>
    <t>Methyl-N-nitro-N-nitrosoguanidine, N-</t>
  </si>
  <si>
    <t>70-25-7</t>
  </si>
  <si>
    <t>Methylaniline Hydrochloride, 2-</t>
  </si>
  <si>
    <t>636-21-5</t>
  </si>
  <si>
    <t>Methylarsonic acid</t>
  </si>
  <si>
    <t>124-58-3</t>
  </si>
  <si>
    <t>Methylcholanthrene, 3-</t>
  </si>
  <si>
    <t>56-49-5</t>
  </si>
  <si>
    <t>Methylene Chloride</t>
  </si>
  <si>
    <t>75-09-2</t>
  </si>
  <si>
    <t>Methylene-bis(2-chloroaniline), 4,4'-</t>
  </si>
  <si>
    <t>101-14-4</t>
  </si>
  <si>
    <t>Methylene-bis(N,N-dimethyl) Aniline, 4,4'-</t>
  </si>
  <si>
    <t>101-61-1</t>
  </si>
  <si>
    <t>Methylenebisbenzenamine, 4,4'-</t>
  </si>
  <si>
    <t>101-77-9</t>
  </si>
  <si>
    <t>Methylenediphenyl Diisocyanate</t>
  </si>
  <si>
    <t>101-68-8</t>
  </si>
  <si>
    <t>Methylstyrene, Alpha-</t>
  </si>
  <si>
    <t>98-83-9</t>
  </si>
  <si>
    <t>Metolachlor</t>
  </si>
  <si>
    <t>51218-45-2</t>
  </si>
  <si>
    <t>Metribuzin</t>
  </si>
  <si>
    <t>21087-64-9</t>
  </si>
  <si>
    <t>Mineral oils</t>
  </si>
  <si>
    <t>8012-95-1</t>
  </si>
  <si>
    <t>Mirex</t>
  </si>
  <si>
    <t>2385-85-5</t>
  </si>
  <si>
    <t>Molinate</t>
  </si>
  <si>
    <t>2212-67-1</t>
  </si>
  <si>
    <t>Molybdenum</t>
  </si>
  <si>
    <t>7439-98-7</t>
  </si>
  <si>
    <t>Monochloramine</t>
  </si>
  <si>
    <t>10599-90-3</t>
  </si>
  <si>
    <t>Monomethylaniline</t>
  </si>
  <si>
    <t>100-61-8</t>
  </si>
  <si>
    <t>N,N'-Diphenyl-1,4-benzenediamine</t>
  </si>
  <si>
    <t>74-31-7</t>
  </si>
  <si>
    <t>Naled</t>
  </si>
  <si>
    <t>300-76-5</t>
  </si>
  <si>
    <t>Naphtha, High Flash Aromatic (HFAN)</t>
  </si>
  <si>
    <t>Naphthylamine, 2-</t>
  </si>
  <si>
    <t>91-59-8</t>
  </si>
  <si>
    <t>Napropamide</t>
  </si>
  <si>
    <t>15299-99-7</t>
  </si>
  <si>
    <t>Nickel Carbonyl</t>
  </si>
  <si>
    <t>13463-39-3</t>
  </si>
  <si>
    <t>Nickel Oxide</t>
  </si>
  <si>
    <t>1313-99-1</t>
  </si>
  <si>
    <t>Nickel Refinery Dust</t>
  </si>
  <si>
    <t>Nickel Soluble Salts</t>
  </si>
  <si>
    <t>7440-02-0</t>
  </si>
  <si>
    <t>Nickel Subsulfide</t>
  </si>
  <si>
    <t>12035-72-2</t>
  </si>
  <si>
    <t>Nitrate</t>
  </si>
  <si>
    <t>14797-55-8</t>
  </si>
  <si>
    <t>Nitrite</t>
  </si>
  <si>
    <t>14797-65-0</t>
  </si>
  <si>
    <t>Nitroaniline, 2-</t>
  </si>
  <si>
    <t>88-74-4</t>
  </si>
  <si>
    <t>Nitroaniline, 4-</t>
  </si>
  <si>
    <t>100-01-6</t>
  </si>
  <si>
    <t>98-95-3</t>
  </si>
  <si>
    <t>Nitrocellulose</t>
  </si>
  <si>
    <t>9004-70-0</t>
  </si>
  <si>
    <t>Nitrofurantoin</t>
  </si>
  <si>
    <t>67-20-9</t>
  </si>
  <si>
    <t>Nitrofurazone</t>
  </si>
  <si>
    <t>59-87-0</t>
  </si>
  <si>
    <t>Nitroglycerin</t>
  </si>
  <si>
    <t>55-63-0</t>
  </si>
  <si>
    <t>Nitroguanidine</t>
  </si>
  <si>
    <t>556-88-7</t>
  </si>
  <si>
    <t>Nitromethane</t>
  </si>
  <si>
    <t>75-52-5</t>
  </si>
  <si>
    <t>79-46-9</t>
  </si>
  <si>
    <t>Nitroso-N-ethylurea, N-</t>
  </si>
  <si>
    <t>759-73-9</t>
  </si>
  <si>
    <t>Nitroso-N-methylurea, N-</t>
  </si>
  <si>
    <t>684-93-5</t>
  </si>
  <si>
    <t>Nitroso-di-N-butylamine, N-</t>
  </si>
  <si>
    <t>924-16-3</t>
  </si>
  <si>
    <t>Nitroso-di-N-propylamine, N-</t>
  </si>
  <si>
    <t>621-64-7</t>
  </si>
  <si>
    <t>Nitrosodiethanolamine, N-</t>
  </si>
  <si>
    <t>1116-54-7</t>
  </si>
  <si>
    <t>Nitrosodiethylamine, N-</t>
  </si>
  <si>
    <t>55-18-5</t>
  </si>
  <si>
    <t>Nitrosodimethylamine, N-</t>
  </si>
  <si>
    <t>62-75-9</t>
  </si>
  <si>
    <t>Nitrosodiphenylamine, N-</t>
  </si>
  <si>
    <t>86-30-6</t>
  </si>
  <si>
    <t>Nitrosomethylethylamine, N-</t>
  </si>
  <si>
    <t>10595-95-6</t>
  </si>
  <si>
    <t>Nitrosomorpholine [N-]</t>
  </si>
  <si>
    <t>59-89-2</t>
  </si>
  <si>
    <t>Nitrosopiperidine [N-]</t>
  </si>
  <si>
    <t>100-75-4</t>
  </si>
  <si>
    <t>Nitrosopyrrolidine, N-</t>
  </si>
  <si>
    <t>930-55-2</t>
  </si>
  <si>
    <t>Nitrotoluene, m-</t>
  </si>
  <si>
    <t>99-08-1</t>
  </si>
  <si>
    <t>88-72-2</t>
  </si>
  <si>
    <t>Nitrotoluene, p-</t>
  </si>
  <si>
    <t>99-99-0</t>
  </si>
  <si>
    <t>Nonane, n-</t>
  </si>
  <si>
    <t>111-84-2</t>
  </si>
  <si>
    <t>Norflurazon</t>
  </si>
  <si>
    <t>27314-13-2</t>
  </si>
  <si>
    <t>85509-19-9</t>
  </si>
  <si>
    <t>Octabromodiphenyl Ether</t>
  </si>
  <si>
    <t>32536-52-0</t>
  </si>
  <si>
    <t>2691-41-0</t>
  </si>
  <si>
    <t>Octamethylpyrophosphoramide</t>
  </si>
  <si>
    <t>152-16-9</t>
  </si>
  <si>
    <t>Oryzalin</t>
  </si>
  <si>
    <t>19044-88-3</t>
  </si>
  <si>
    <t>Oxadiazon</t>
  </si>
  <si>
    <t>19666-30-9</t>
  </si>
  <si>
    <t>Oxamyl</t>
  </si>
  <si>
    <t>23135-22-0</t>
  </si>
  <si>
    <t>Paclobutrazol</t>
  </si>
  <si>
    <t>76738-62-0</t>
  </si>
  <si>
    <t>Paraquat Dichloride</t>
  </si>
  <si>
    <t>1910-42-5</t>
  </si>
  <si>
    <t>Parathion</t>
  </si>
  <si>
    <t>56-38-2</t>
  </si>
  <si>
    <t>Pebulate</t>
  </si>
  <si>
    <t>1114-71-2</t>
  </si>
  <si>
    <t>Pendimethalin</t>
  </si>
  <si>
    <t>40487-42-1</t>
  </si>
  <si>
    <t>Pentabromodiphenyl Ether</t>
  </si>
  <si>
    <t>32534-81-9</t>
  </si>
  <si>
    <t>Pentabromodiphenyl ether, 2,2',4,4',5- (BDE-99)</t>
  </si>
  <si>
    <t>60348-60-9</t>
  </si>
  <si>
    <t>Pentachlorobenzene</t>
  </si>
  <si>
    <t>608-93-5</t>
  </si>
  <si>
    <t>Pentachloroethane</t>
  </si>
  <si>
    <t>76-01-7</t>
  </si>
  <si>
    <t>Pentachloronitrobenzene</t>
  </si>
  <si>
    <t>82-68-8</t>
  </si>
  <si>
    <t>Pentachlorophenol</t>
  </si>
  <si>
    <t>87-86-5</t>
  </si>
  <si>
    <t>Pentane, n-</t>
  </si>
  <si>
    <t>109-66-0</t>
  </si>
  <si>
    <t>14797-73-0</t>
  </si>
  <si>
    <t>Permethrin</t>
  </si>
  <si>
    <t>52645-53-1</t>
  </si>
  <si>
    <t>Phenacetin</t>
  </si>
  <si>
    <t>62-44-2</t>
  </si>
  <si>
    <t>Phenmedipham</t>
  </si>
  <si>
    <t>13684-63-4</t>
  </si>
  <si>
    <t>Phenol</t>
  </si>
  <si>
    <t>108-95-2</t>
  </si>
  <si>
    <t>Phenylenediamine, m-</t>
  </si>
  <si>
    <t>108-45-2</t>
  </si>
  <si>
    <t>Phenylenediamine, o-</t>
  </si>
  <si>
    <t>95-54-5</t>
  </si>
  <si>
    <t>Phenylenediamine, p-</t>
  </si>
  <si>
    <t>106-50-3</t>
  </si>
  <si>
    <t>Phenylphenol, 2-</t>
  </si>
  <si>
    <t>90-43-7</t>
  </si>
  <si>
    <t>Phorate</t>
  </si>
  <si>
    <t>298-02-2</t>
  </si>
  <si>
    <t>Phosgene</t>
  </si>
  <si>
    <t>75-44-5</t>
  </si>
  <si>
    <t>Phosmet</t>
  </si>
  <si>
    <t>732-11-6</t>
  </si>
  <si>
    <t>Phosphine</t>
  </si>
  <si>
    <t>7803-51-2</t>
  </si>
  <si>
    <t>Phosphoric Acid</t>
  </si>
  <si>
    <t>7664-38-2</t>
  </si>
  <si>
    <t>Phosphorus, White</t>
  </si>
  <si>
    <t>7723-14-0</t>
  </si>
  <si>
    <t>100-21-0</t>
  </si>
  <si>
    <t>85-44-9</t>
  </si>
  <si>
    <t>Picloram</t>
  </si>
  <si>
    <t>1918-02-1</t>
  </si>
  <si>
    <t>Picramic Acid (2-Amino-4,6-dinitrophenol)</t>
  </si>
  <si>
    <t>96-91-3</t>
  </si>
  <si>
    <t>Pirimiphos, Methyl</t>
  </si>
  <si>
    <t>29232-93-7</t>
  </si>
  <si>
    <t>Polybrominated Biphenyls</t>
  </si>
  <si>
    <t>59536-65-1</t>
  </si>
  <si>
    <t>Polychlorinated Biphenyls (PCBs)</t>
  </si>
  <si>
    <t>~Aroclor 1016</t>
  </si>
  <si>
    <t>12674-11-2</t>
  </si>
  <si>
    <t>~Aroclor 1221</t>
  </si>
  <si>
    <t>11104-28-2</t>
  </si>
  <si>
    <t>~Aroclor 1232</t>
  </si>
  <si>
    <t>11141-16-5</t>
  </si>
  <si>
    <t>~Aroclor 1242</t>
  </si>
  <si>
    <t>53469-21-9</t>
  </si>
  <si>
    <t>~Aroclor 1248</t>
  </si>
  <si>
    <t>12672-29-6</t>
  </si>
  <si>
    <t>~Aroclor 1254</t>
  </si>
  <si>
    <t>11097-69-1</t>
  </si>
  <si>
    <t>~Aroclor 1260</t>
  </si>
  <si>
    <t>11096-82-5</t>
  </si>
  <si>
    <t>~Heptachlorobiphenyl, 2,3,3',4,4',5,5'- (PCB 189)</t>
  </si>
  <si>
    <t>39635-31-9</t>
  </si>
  <si>
    <t>~Hexachlorobiphenyl, 2,3',4,4',5,5'- (PCB 167)</t>
  </si>
  <si>
    <t>52663-72-6</t>
  </si>
  <si>
    <t>~Hexachlorobiphenyl, 2,3,3',4,4',5'- (PCB 157)</t>
  </si>
  <si>
    <t>69782-90-7</t>
  </si>
  <si>
    <t>~Hexachlorobiphenyl, 2,3,3',4,4',5- (PCB 156)</t>
  </si>
  <si>
    <t>38380-08-4</t>
  </si>
  <si>
    <t>~Hexachlorobiphenyl, 3,3',4,4',5,5'- (PCB 169)</t>
  </si>
  <si>
    <t>32774-16-6</t>
  </si>
  <si>
    <t>~Pentachlorobiphenyl, 2',3,4,4',5- (PCB 123)</t>
  </si>
  <si>
    <t>65510-44-3</t>
  </si>
  <si>
    <t>~Pentachlorobiphenyl, 2,3',4,4',5- (PCB 118)</t>
  </si>
  <si>
    <t>31508-00-6</t>
  </si>
  <si>
    <t>~Pentachlorobiphenyl, 2,3,3',4,4'- (PCB 105)</t>
  </si>
  <si>
    <t>32598-14-4</t>
  </si>
  <si>
    <t>~Pentachlorobiphenyl, 2,3,4,4',5- (PCB 114)</t>
  </si>
  <si>
    <t>74472-37-0</t>
  </si>
  <si>
    <t>~Pentachlorobiphenyl, 3,3',4,4',5- (PCB 126)</t>
  </si>
  <si>
    <t>57465-28-8</t>
  </si>
  <si>
    <t>~Polychlorinated Biphenyls (high risk)</t>
  </si>
  <si>
    <t>1336-36-3</t>
  </si>
  <si>
    <t>~Polychlorinated Biphenyls (low risk)</t>
  </si>
  <si>
    <t>~Polychlorinated Biphenyls (lowest risk)</t>
  </si>
  <si>
    <t>~Tetrachlorobiphenyl, 3,3',4,4'- (PCB 77)</t>
  </si>
  <si>
    <t>32598-13-3</t>
  </si>
  <si>
    <t>~Tetrachlorobiphenyl, 3,4,4',5- (PCB 81)</t>
  </si>
  <si>
    <t>70362-50-4</t>
  </si>
  <si>
    <t>Polymeric Methylene Diphenyl Diisocyanate (PMDI)</t>
  </si>
  <si>
    <t>9016-87-9</t>
  </si>
  <si>
    <t>Polynuclear Aromatic Hydrocarbons (PAHs)</t>
  </si>
  <si>
    <t>~Acenaphthene</t>
  </si>
  <si>
    <t>83-32-9</t>
  </si>
  <si>
    <t>~Anthracene</t>
  </si>
  <si>
    <t>120-12-7</t>
  </si>
  <si>
    <t>~Benz[a]anthracene</t>
  </si>
  <si>
    <t>56-55-3</t>
  </si>
  <si>
    <t>~Benzo(j)fluoranthene</t>
  </si>
  <si>
    <t>205-82-3</t>
  </si>
  <si>
    <t>~Benzo[a]pyrene</t>
  </si>
  <si>
    <t>50-32-8</t>
  </si>
  <si>
    <t>~Benzo[b]fluoranthene</t>
  </si>
  <si>
    <t>205-99-2</t>
  </si>
  <si>
    <t>~Benzo[k]fluoranthene</t>
  </si>
  <si>
    <t>207-08-9</t>
  </si>
  <si>
    <t>~Chrysene</t>
  </si>
  <si>
    <t>218-01-9</t>
  </si>
  <si>
    <t>~Dibenz[a,h]anthracene</t>
  </si>
  <si>
    <t>53-70-3</t>
  </si>
  <si>
    <t>~Dibenzo(a,e)pyrene</t>
  </si>
  <si>
    <t>192-65-4</t>
  </si>
  <si>
    <t>~Dimethylbenz(a)anthracene, 7,12-</t>
  </si>
  <si>
    <t>57-97-6</t>
  </si>
  <si>
    <t>~Fluoranthene</t>
  </si>
  <si>
    <t>206-44-0</t>
  </si>
  <si>
    <t>~Fluorene</t>
  </si>
  <si>
    <t>86-73-7</t>
  </si>
  <si>
    <t>~Indeno[1,2,3-cd]pyrene</t>
  </si>
  <si>
    <t>193-39-5</t>
  </si>
  <si>
    <t>~Methylnaphthalene, 1-</t>
  </si>
  <si>
    <t>90-12-0</t>
  </si>
  <si>
    <t>~Methylnaphthalene, 2-</t>
  </si>
  <si>
    <t>91-57-6</t>
  </si>
  <si>
    <t>~Naphthalene</t>
  </si>
  <si>
    <t>91-20-3</t>
  </si>
  <si>
    <t>~Nitropyrene, 4-</t>
  </si>
  <si>
    <t>57835-92-4</t>
  </si>
  <si>
    <t>~Pyrene</t>
  </si>
  <si>
    <t>129-00-0</t>
  </si>
  <si>
    <t>7778-74-7</t>
  </si>
  <si>
    <t>Prochloraz</t>
  </si>
  <si>
    <t>67747-09-5</t>
  </si>
  <si>
    <t>Profluralin</t>
  </si>
  <si>
    <t>26399-36-0</t>
  </si>
  <si>
    <t>Prometon</t>
  </si>
  <si>
    <t>1610-18-0</t>
  </si>
  <si>
    <t>Prometryn</t>
  </si>
  <si>
    <t>7287-19-6</t>
  </si>
  <si>
    <t>Propachlor</t>
  </si>
  <si>
    <t>1918-16-7</t>
  </si>
  <si>
    <t>Propanil</t>
  </si>
  <si>
    <t>709-98-8</t>
  </si>
  <si>
    <t>Propargite</t>
  </si>
  <si>
    <t>2312-35-8</t>
  </si>
  <si>
    <t>Propargyl Alcohol</t>
  </si>
  <si>
    <t>107-19-7</t>
  </si>
  <si>
    <t>Propazine</t>
  </si>
  <si>
    <t>139-40-2</t>
  </si>
  <si>
    <t>Propham</t>
  </si>
  <si>
    <t>122-42-9</t>
  </si>
  <si>
    <t>Propiconazole</t>
  </si>
  <si>
    <t>60207-90-1</t>
  </si>
  <si>
    <t>Propionaldehyde</t>
  </si>
  <si>
    <t>123-38-6</t>
  </si>
  <si>
    <t>Propyl benzene</t>
  </si>
  <si>
    <t>103-65-1</t>
  </si>
  <si>
    <t>Propylene</t>
  </si>
  <si>
    <t>115-07-1</t>
  </si>
  <si>
    <t>Propylene Glycol</t>
  </si>
  <si>
    <t>57-55-6</t>
  </si>
  <si>
    <t>Propylene Glycol Dinitrate</t>
  </si>
  <si>
    <t>6423-43-4</t>
  </si>
  <si>
    <t>Propylene Glycol Monomethyl Ether</t>
  </si>
  <si>
    <t>107-98-2</t>
  </si>
  <si>
    <t>Propylene Oxide</t>
  </si>
  <si>
    <t>75-56-9</t>
  </si>
  <si>
    <t>81335-77-5</t>
  </si>
  <si>
    <t>51630-58-1</t>
  </si>
  <si>
    <t>Pyridine</t>
  </si>
  <si>
    <t>110-86-1</t>
  </si>
  <si>
    <t>Quinalphos</t>
  </si>
  <si>
    <t>13593-03-8</t>
  </si>
  <si>
    <t>Quinoline</t>
  </si>
  <si>
    <t>91-22-5</t>
  </si>
  <si>
    <t>Refractory Ceramic Fibers</t>
  </si>
  <si>
    <t>Resmethrin</t>
  </si>
  <si>
    <t>10453-86-8</t>
  </si>
  <si>
    <t>Ronnel</t>
  </si>
  <si>
    <t>299-84-3</t>
  </si>
  <si>
    <t>Rotenone</t>
  </si>
  <si>
    <t>83-79-4</t>
  </si>
  <si>
    <t>Safrole</t>
  </si>
  <si>
    <t>94-59-7</t>
  </si>
  <si>
    <t>78587-05-0</t>
  </si>
  <si>
    <t>Selenious Acid</t>
  </si>
  <si>
    <t>7783-00-8</t>
  </si>
  <si>
    <t>Selenium</t>
  </si>
  <si>
    <t>7782-49-2</t>
  </si>
  <si>
    <t>Selenium Sulfide</t>
  </si>
  <si>
    <t>7446-34-6</t>
  </si>
  <si>
    <t>Sethoxydim</t>
  </si>
  <si>
    <t>74051-80-2</t>
  </si>
  <si>
    <t>Silica (crystalline, respirable)</t>
  </si>
  <si>
    <t>7631-86-9</t>
  </si>
  <si>
    <t>Silver</t>
  </si>
  <si>
    <t>7440-22-4</t>
  </si>
  <si>
    <t>Simazine</t>
  </si>
  <si>
    <t>122-34-9</t>
  </si>
  <si>
    <t>Sodium Acifluorfen</t>
  </si>
  <si>
    <t>62476-59-9</t>
  </si>
  <si>
    <t>Sodium Azide</t>
  </si>
  <si>
    <t>26628-22-8</t>
  </si>
  <si>
    <t>Sodium Diethyldithiocarbamate</t>
  </si>
  <si>
    <t>148-18-5</t>
  </si>
  <si>
    <t>Sodium Fluoride</t>
  </si>
  <si>
    <t>7681-49-4</t>
  </si>
  <si>
    <t>Sodium Fluoroacetate</t>
  </si>
  <si>
    <t>62-74-8</t>
  </si>
  <si>
    <t>Sodium Metavanadate</t>
  </si>
  <si>
    <t>13718-26-8</t>
  </si>
  <si>
    <t>7601-89-0</t>
  </si>
  <si>
    <t>Stirofos (Tetrachlorovinphos)</t>
  </si>
  <si>
    <t>961-11-5</t>
  </si>
  <si>
    <t>Strontium, Stable</t>
  </si>
  <si>
    <t>7440-24-6</t>
  </si>
  <si>
    <t>Strychnine</t>
  </si>
  <si>
    <t>57-24-9</t>
  </si>
  <si>
    <t>100-42-5</t>
  </si>
  <si>
    <t>Sulfonylbis(4-chlorobenzene), 1,1'-</t>
  </si>
  <si>
    <t>80-07-9</t>
  </si>
  <si>
    <t>Sulfuric Acid</t>
  </si>
  <si>
    <t>7664-93-9</t>
  </si>
  <si>
    <t>88671-89-0</t>
  </si>
  <si>
    <t>TCMTB</t>
  </si>
  <si>
    <t>21564-17-0</t>
  </si>
  <si>
    <t>Tebuthiuron</t>
  </si>
  <si>
    <t>34014-18-1</t>
  </si>
  <si>
    <t>Temephos</t>
  </si>
  <si>
    <t>3383-96-8</t>
  </si>
  <si>
    <t>Terbacil</t>
  </si>
  <si>
    <t>5902-51-2</t>
  </si>
  <si>
    <t>Terbufos</t>
  </si>
  <si>
    <t>13071-79-9</t>
  </si>
  <si>
    <t>Terbutryn</t>
  </si>
  <si>
    <t>886-50-0</t>
  </si>
  <si>
    <t>Tetrabromodiphenyl ether, 2,2',4,4'- (BDE-47)</t>
  </si>
  <si>
    <t>5436-43-1</t>
  </si>
  <si>
    <t>Tetrachlorobenzene, 1,2,4,5-</t>
  </si>
  <si>
    <t>95-94-3</t>
  </si>
  <si>
    <t>630-20-6</t>
  </si>
  <si>
    <t>79-34-5</t>
  </si>
  <si>
    <t>127-18-4</t>
  </si>
  <si>
    <t>Tetrachlorophenol, 2,3,4,6-</t>
  </si>
  <si>
    <t>58-90-2</t>
  </si>
  <si>
    <t>Tetrachlorotoluene, p- alpha, alpha, alpha-</t>
  </si>
  <si>
    <t>5216-25-1</t>
  </si>
  <si>
    <t>Tetraethyl Dithiopyrophosphate</t>
  </si>
  <si>
    <t>3689-24-5</t>
  </si>
  <si>
    <t>Tetrafluoroethane, 1,1,1,2-</t>
  </si>
  <si>
    <t>811-97-2</t>
  </si>
  <si>
    <t>Tetryl (Trinitrophenylmethylnitramine)</t>
  </si>
  <si>
    <t>479-45-8</t>
  </si>
  <si>
    <t>Thallium (Soluble Salts)</t>
  </si>
  <si>
    <t>7440-28-0</t>
  </si>
  <si>
    <t>Thiobencarb</t>
  </si>
  <si>
    <t>28249-77-6</t>
  </si>
  <si>
    <t>Thiodiglycol</t>
  </si>
  <si>
    <t>111-48-8</t>
  </si>
  <si>
    <t>Thiofanox</t>
  </si>
  <si>
    <t>39196-18-4</t>
  </si>
  <si>
    <t>Thiophanate, Methyl</t>
  </si>
  <si>
    <t>23564-05-8</t>
  </si>
  <si>
    <t>Thiram</t>
  </si>
  <si>
    <t>137-26-8</t>
  </si>
  <si>
    <t>Tin</t>
  </si>
  <si>
    <t>7440-31-5</t>
  </si>
  <si>
    <t>Titanium Tetrachloride</t>
  </si>
  <si>
    <t>7550-45-0</t>
  </si>
  <si>
    <t>108-88-3</t>
  </si>
  <si>
    <t>Toluidine, p-</t>
  </si>
  <si>
    <t>106-49-0</t>
  </si>
  <si>
    <t>Toxaphene</t>
  </si>
  <si>
    <t>8001-35-2</t>
  </si>
  <si>
    <t>Tralomethrin</t>
  </si>
  <si>
    <t>66841-25-6</t>
  </si>
  <si>
    <t>Tri-n-butyltin</t>
  </si>
  <si>
    <t>688-73-3</t>
  </si>
  <si>
    <t>Triallate</t>
  </si>
  <si>
    <t>2303-17-5</t>
  </si>
  <si>
    <t>Triasulfuron</t>
  </si>
  <si>
    <t>82097-50-5</t>
  </si>
  <si>
    <t>Tribromobenzene, 1,2,4-</t>
  </si>
  <si>
    <t>615-54-3</t>
  </si>
  <si>
    <t>Tributyl Phosphate</t>
  </si>
  <si>
    <t>126-73-8</t>
  </si>
  <si>
    <t>Tributyltin Compounds</t>
  </si>
  <si>
    <t>Tributyltin Oxide</t>
  </si>
  <si>
    <t>56-35-9</t>
  </si>
  <si>
    <t>76-13-1</t>
  </si>
  <si>
    <t>Trichloroacetic Acid</t>
  </si>
  <si>
    <t>76-03-9</t>
  </si>
  <si>
    <t>Trichloroaniline HCl, 2,4,6-</t>
  </si>
  <si>
    <t>33663-50-2</t>
  </si>
  <si>
    <t>Trichloroaniline, 2,4,6-</t>
  </si>
  <si>
    <t>634-93-5</t>
  </si>
  <si>
    <t>Trichlorobenzene, 1,2,3-</t>
  </si>
  <si>
    <t>87-61-6</t>
  </si>
  <si>
    <t>120-82-1</t>
  </si>
  <si>
    <t>71-55-6</t>
  </si>
  <si>
    <t>79-00-5</t>
  </si>
  <si>
    <t>79-01-6</t>
  </si>
  <si>
    <t>75-69-4</t>
  </si>
  <si>
    <t>Trichlorophenol, 2,4,5-</t>
  </si>
  <si>
    <t>95-95-4</t>
  </si>
  <si>
    <t>Trichlorophenol, 2,4,6-</t>
  </si>
  <si>
    <t>88-06-2</t>
  </si>
  <si>
    <t>Trichlorophenoxyacetic Acid, 2,4,5-</t>
  </si>
  <si>
    <t>93-76-5</t>
  </si>
  <si>
    <t>Trichlorophenoxypropionic acid, -2,4,5</t>
  </si>
  <si>
    <t>93-72-1</t>
  </si>
  <si>
    <t>Trichloropropane, 1,1,2-</t>
  </si>
  <si>
    <t>598-77-6</t>
  </si>
  <si>
    <t>96-18-4</t>
  </si>
  <si>
    <t>Trichloropropene, 1,2,3-</t>
  </si>
  <si>
    <t>96-19-5</t>
  </si>
  <si>
    <t>Tridiphane</t>
  </si>
  <si>
    <t>58138-08-2</t>
  </si>
  <si>
    <t>Triethylamine</t>
  </si>
  <si>
    <t>121-44-8</t>
  </si>
  <si>
    <t>Trifluralin</t>
  </si>
  <si>
    <t>1582-09-8</t>
  </si>
  <si>
    <t>Trimethyl Phosphate</t>
  </si>
  <si>
    <t>512-56-1</t>
  </si>
  <si>
    <t>95-63-6</t>
  </si>
  <si>
    <t>108-67-8</t>
  </si>
  <si>
    <t>Trinitrobenzene, 1,3,5-</t>
  </si>
  <si>
    <t>99-35-4</t>
  </si>
  <si>
    <t>Trinitrotoluene, 2,4,6-</t>
  </si>
  <si>
    <t>118-96-7</t>
  </si>
  <si>
    <t>Triphenylphosphine Oxide</t>
  </si>
  <si>
    <t>791-28-6</t>
  </si>
  <si>
    <t>Tris(1,3-Dichloro-2-propyl) Phosphate</t>
  </si>
  <si>
    <t>13674-87-8</t>
  </si>
  <si>
    <t>Tris(2-chloroethyl)phosphate</t>
  </si>
  <si>
    <t>115-96-8</t>
  </si>
  <si>
    <t>Tris(2-ethylhexyl)phosphate</t>
  </si>
  <si>
    <t>78-42-2</t>
  </si>
  <si>
    <t>Uranium (Soluble Salts)</t>
  </si>
  <si>
    <t>Urethane</t>
  </si>
  <si>
    <t>51-79-6</t>
  </si>
  <si>
    <t>Vanadium Pentoxide</t>
  </si>
  <si>
    <t>1314-62-1</t>
  </si>
  <si>
    <t>Vanadium and Compounds</t>
  </si>
  <si>
    <t>7440-62-2</t>
  </si>
  <si>
    <t>Vernolate</t>
  </si>
  <si>
    <t>1929-77-7</t>
  </si>
  <si>
    <t>Vinclozolin</t>
  </si>
  <si>
    <t>50471-44-8</t>
  </si>
  <si>
    <t>Vinyl Acetate</t>
  </si>
  <si>
    <t>108-05-4</t>
  </si>
  <si>
    <t>Vinyl Bromide</t>
  </si>
  <si>
    <t>593-60-2</t>
  </si>
  <si>
    <t>Vinyl Chloride</t>
  </si>
  <si>
    <t>75-01-4</t>
  </si>
  <si>
    <t>Warfarin</t>
  </si>
  <si>
    <t>81-81-2</t>
  </si>
  <si>
    <t>1330-20-7</t>
  </si>
  <si>
    <t>Xylene, P-</t>
  </si>
  <si>
    <t>106-42-3</t>
  </si>
  <si>
    <t>108-38-3</t>
  </si>
  <si>
    <t>95-47-6</t>
  </si>
  <si>
    <t>7440-66-6</t>
  </si>
  <si>
    <t>Zinc Phosphide</t>
  </si>
  <si>
    <t>1314-84-7</t>
  </si>
  <si>
    <t>Zineb</t>
  </si>
  <si>
    <t>12122-67-7</t>
  </si>
  <si>
    <t>V</t>
  </si>
  <si>
    <t>104-51-8</t>
  </si>
  <si>
    <t>135-98-8</t>
  </si>
  <si>
    <t>98-06-6</t>
  </si>
  <si>
    <t>(ppbv)</t>
  </si>
  <si>
    <t>Depth</t>
  </si>
  <si>
    <t>Concentration (ug/m3)</t>
  </si>
  <si>
    <t>Depth (m)</t>
  </si>
  <si>
    <t>Deff_A</t>
  </si>
  <si>
    <t>Deff_B</t>
  </si>
  <si>
    <t>Deff_C</t>
  </si>
  <si>
    <t>cm2/sec</t>
  </si>
  <si>
    <t>Predicted Vapor Concentration Beneath the Foundation</t>
  </si>
  <si>
    <t>Subslab vapor concentration</t>
  </si>
  <si>
    <t>Css</t>
  </si>
  <si>
    <t>ug/L</t>
  </si>
  <si>
    <t>Emission_Rate</t>
  </si>
  <si>
    <t>US EPA VAPOR INTRUSION ASSESSMENT MODEL (VIA_MODEL.xlsm)</t>
  </si>
  <si>
    <t>Calc: Average vapor flow rate into 
building</t>
  </si>
  <si>
    <r>
      <t>Calc: Henry's Law Constant 
     @ 25</t>
    </r>
    <r>
      <rPr>
        <vertAlign val="superscript"/>
        <sz val="10"/>
        <rFont val="Century Gothic"/>
        <family val="2"/>
      </rPr>
      <t>o</t>
    </r>
    <r>
      <rPr>
        <sz val="10"/>
        <rFont val="Century Gothic"/>
        <family val="2"/>
      </rPr>
      <t>C</t>
    </r>
  </si>
  <si>
    <t>Calc: Henry's Law Constant 
     @ system temperature</t>
  </si>
  <si>
    <t>Chemical Properties:</t>
  </si>
  <si>
    <t>Unit</t>
  </si>
  <si>
    <r>
      <t>a</t>
    </r>
    <r>
      <rPr>
        <sz val="10"/>
        <rFont val="Century Gothic"/>
        <family val="2"/>
      </rPr>
      <t xml:space="preserve"> for diffusive transport from source to building with 
       dirt floor foundation</t>
    </r>
  </si>
  <si>
    <t>0.098 - 0.33</t>
  </si>
  <si>
    <t>0.079 - 0.26</t>
  </si>
  <si>
    <t>0.061 - 0.24</t>
  </si>
  <si>
    <t>0.049 - 0.1</t>
  </si>
  <si>
    <t>0.05 - 0.28</t>
  </si>
  <si>
    <t>0.065 - 0.3</t>
  </si>
  <si>
    <t>0.11 - 0.32</t>
  </si>
  <si>
    <t>0.09 - 0.31</t>
  </si>
  <si>
    <t>0.053 - 0.055</t>
  </si>
  <si>
    <t>0.117 - 0.28</t>
  </si>
  <si>
    <t>0.063 - 0.23</t>
  </si>
  <si>
    <t>0.039 - 0.17</t>
  </si>
  <si>
    <t>0.1 - 1.5</t>
  </si>
  <si>
    <t>nw_range</t>
  </si>
  <si>
    <t>Reference:</t>
  </si>
  <si>
    <t>-Clay</t>
  </si>
  <si>
    <t>-Not Present</t>
  </si>
  <si>
    <t>-Clay Loam</t>
  </si>
  <si>
    <t>-Loam</t>
  </si>
  <si>
    <t>-Loamy Sand</t>
  </si>
  <si>
    <t>-Sand</t>
  </si>
  <si>
    <t>-Sandy Clay</t>
  </si>
  <si>
    <t>-Sandy Clay Loam</t>
  </si>
  <si>
    <t>-Sandy Loam</t>
  </si>
  <si>
    <t>-Silt</t>
  </si>
  <si>
    <t>-Silt Loam</t>
  </si>
  <si>
    <t>-Silty Clay</t>
  </si>
  <si>
    <t>-Silty Clay Loam</t>
  </si>
  <si>
    <t>-SCS Soil Name</t>
  </si>
  <si>
    <t>References</t>
  </si>
  <si>
    <t>1. Weaver J.W. and Tillman F.D., 2005, Uncertainty and the Johnson-Ettinger Model for Vapor Intrusion Calculations, EPA/600/R-05/110, September.</t>
  </si>
  <si>
    <t>2. McKone T.E. and Enoch K.G., 2002, CalTOXTM, A Multimedia Total Exposure Model Version 4.0, Ernest Orlando Lawrence Berkeley National Laboratory, August.</t>
  </si>
  <si>
    <t>Total CV</t>
  </si>
  <si>
    <t>Total Coefficient of Variation (CV)</t>
  </si>
  <si>
    <t>range</t>
  </si>
  <si>
    <t>80 - 200</t>
  </si>
  <si>
    <t>-Foundation Type</t>
  </si>
  <si>
    <t>-Basement w/ slab</t>
  </si>
  <si>
    <t>-Basement w/ dirt floor</t>
  </si>
  <si>
    <t>-Slab-on-grade</t>
  </si>
  <si>
    <t>Stratum C (Soil layer below Stratum B):</t>
  </si>
  <si>
    <t>0.1 - 2.44</t>
  </si>
  <si>
    <t>REFERENCE SOURCES</t>
  </si>
  <si>
    <t>-</t>
  </si>
  <si>
    <t>no reference</t>
  </si>
  <si>
    <r>
      <t>CalTOX</t>
    </r>
    <r>
      <rPr>
        <vertAlign val="superscript"/>
        <sz val="10"/>
        <rFont val="Century Gothic"/>
        <family val="2"/>
      </rPr>
      <t>TM</t>
    </r>
    <r>
      <rPr>
        <sz val="10"/>
        <rFont val="Century Gothic"/>
        <family val="2"/>
      </rPr>
      <t>, Version 4.0</t>
    </r>
  </si>
  <si>
    <t>USEPA, 2004</t>
  </si>
  <si>
    <t>Soil gas concentration</t>
  </si>
  <si>
    <t>Depth below grade to soil gas sample</t>
  </si>
  <si>
    <t>Average vadose zone temperature</t>
  </si>
  <si>
    <t>Stratum containing soil vapor sample</t>
  </si>
  <si>
    <t>Height of capillary fringe</t>
  </si>
  <si>
    <t>Capillary zone total porosity</t>
  </si>
  <si>
    <t>References:</t>
  </si>
  <si>
    <t>2.13 - 3.05</t>
  </si>
  <si>
    <t>2.44 - 4.88</t>
  </si>
  <si>
    <t>0.00019-0.0019</t>
  </si>
  <si>
    <t>3. Tillman F.D. and Weaver J.W., 2006, Uncertainly from synergistic effects of multiple parameters in the Johnson and Ettinger (1991) vapor intrusion model, Atmospheric Environment, 40, 4098-4112.</t>
  </si>
  <si>
    <t>Weaver and Tillman (2005)</t>
  </si>
  <si>
    <t>Tillman and Weaver (2006)</t>
  </si>
  <si>
    <t>0.0001-0.001</t>
  </si>
  <si>
    <t>Notes:</t>
  </si>
  <si>
    <t>Preview</t>
  </si>
  <si>
    <t>Predicted indoor air concentration due to vapor intrusion</t>
  </si>
  <si>
    <t>Vary - 50</t>
  </si>
  <si>
    <t>0.0001 - 0.05</t>
  </si>
  <si>
    <t>Johnson (2002)</t>
  </si>
  <si>
    <t>(dimensionless)</t>
  </si>
  <si>
    <t>Commercial (not applicable for this model)</t>
  </si>
  <si>
    <t>Pe (Peclet Number) for transport through the foundation 
       (advection / diffusion)</t>
  </si>
  <si>
    <t>Collins, W.D., 1925, Temperature of Water Available for Industrial Use in the United States, United States Geological Survey, Water Supply Paper 520-F.</t>
  </si>
  <si>
    <t>Pet. HC Flag</t>
  </si>
  <si>
    <t>Yes/No</t>
  </si>
  <si>
    <t>No</t>
  </si>
  <si>
    <t>Aroclor 1016</t>
  </si>
  <si>
    <t>Aroclor 1221</t>
  </si>
  <si>
    <t>Aroclor 1232</t>
  </si>
  <si>
    <t>Aroclor 1242</t>
  </si>
  <si>
    <t>Aroclor 1248</t>
  </si>
  <si>
    <t>Aroclor 1254</t>
  </si>
  <si>
    <t>Aroclor 1260</t>
  </si>
  <si>
    <t>Heptachlorobiphenyl, 2,3,3',4,4',5,5'- (PCB 189)</t>
  </si>
  <si>
    <t>Hexachlorobiphenyl, 2,3',4,4',5,5'- (PCB 167)</t>
  </si>
  <si>
    <t>Hexachlorobiphenyl, 2,3,3',4,4',5'- (PCB 157)</t>
  </si>
  <si>
    <t>Hexachlorobiphenyl, 2,3,3',4,4',5- (PCB 156)</t>
  </si>
  <si>
    <t>Hexachlorobiphenyl, 3,3',4,4',5,5'- (PCB 169)</t>
  </si>
  <si>
    <t>Pentachlorobiphenyl, 2',3,4,4',5- (PCB 123)</t>
  </si>
  <si>
    <t>Pentachlorobiphenyl, 2,3',4,4',5- (PCB 118)</t>
  </si>
  <si>
    <t>Pentachlorobiphenyl, 2,3,3',4,4'- (PCB 105)</t>
  </si>
  <si>
    <t>Pentachlorobiphenyl, 2,3,4,4',5- (PCB 114)</t>
  </si>
  <si>
    <t>Pentachlorobiphenyl, 3,3',4,4',5- (PCB 126)</t>
  </si>
  <si>
    <t>Tetrachlorobiphenyl, 3,4,4',5- (PCB 81)</t>
  </si>
  <si>
    <t xml:space="preserve"> </t>
  </si>
  <si>
    <t>(mm Hg)</t>
  </si>
  <si>
    <t>van Genuchten curve shape parameter (dimensionless)</t>
  </si>
  <si>
    <t>van Genuchten parameter  = 1/(1-N)</t>
  </si>
  <si>
    <t>Saturated hydraulic conductivity (class average)</t>
  </si>
  <si>
    <t>The van Genuchten water retention curve parameters are discussed in the User’s Guide</t>
  </si>
  <si>
    <t>Residual water content (Van Genuchten soil water retention parameter)</t>
  </si>
  <si>
    <r>
      <t>K</t>
    </r>
    <r>
      <rPr>
        <b/>
        <vertAlign val="subscript"/>
        <sz val="11"/>
        <rFont val="Calibri"/>
        <family val="2"/>
      </rPr>
      <t>s</t>
    </r>
  </si>
  <si>
    <t>Calc: % of pure component saturated vapor concentration</t>
  </si>
  <si>
    <t>(%)</t>
  </si>
  <si>
    <t>%Sat</t>
  </si>
  <si>
    <t>van Genuchten parameter - Point of inflection in the water retention curve where dn/dh is maximal, with n equal to the water filled porosity in the capillary zone and h equal to air-entry pressure head (cm).</t>
  </si>
  <si>
    <t>Table of Inputs and Outputs for Multiple Chemicals</t>
  </si>
  <si>
    <t>Concentration (µg/L) or (µg/m3)</t>
  </si>
  <si>
    <t>Input Chemical Concentrations for Multiple Chemicals</t>
  </si>
  <si>
    <t>Vapor Pressure</t>
  </si>
  <si>
    <t xml:space="preserve">U.S. EPA 1995,  Review of Mathematical Modeling for Evaluating Soil Vapor Extraction Systems. EPA/540/R-95-513. Office of Research and Development, Washington, DC.  </t>
  </si>
  <si>
    <t>Collins (1925); U.S. EPA (1995)(map)</t>
  </si>
  <si>
    <t>Map of average groundwater temperatures from U.S. EPA (1995) available in the User's Guide for Evaluating Subsurface Vapor Intrusion into Buildings</t>
  </si>
  <si>
    <t>Unit Converter</t>
  </si>
  <si>
    <t>New Unit</t>
  </si>
  <si>
    <t>Exterior Soil Gas</t>
  </si>
  <si>
    <t>Sub-slab Soil Gas</t>
  </si>
  <si>
    <t>Old Unit</t>
  </si>
  <si>
    <t>(ft)</t>
  </si>
  <si>
    <t>(ft2)</t>
  </si>
  <si>
    <t>Note: 
-Yellow highlighted cells indicate parameters that typically are changed or must be inputted by the user.
-Dotted outline cells indicate default values that may be changed with justification.
-Toxicity values are taken from Regional Screening Level tables.  These tables are updated semi-annually and may not reflect the most current toxicity information.</t>
  </si>
  <si>
    <t>Site Name/Run Number:</t>
  </si>
  <si>
    <t>Model Input</t>
  </si>
  <si>
    <t>Model Output</t>
  </si>
  <si>
    <t>Measured Soil Gas Concentation (ug/m3)</t>
  </si>
  <si>
    <t>Input Measured Soil Gas Concentrations</t>
  </si>
  <si>
    <t>Note: If site-specific data on soil gas concentrations by depth are available, enter those concentrations in the cells below.  These data will be plotted on the Concentration versus Depth Profile graph in the Model spreadsheet.  Up to 25 concentrations may be entered by the user.</t>
  </si>
  <si>
    <t>Concentration versus Depth Profile</t>
  </si>
  <si>
    <t>MMOAF</t>
  </si>
  <si>
    <t>Mutagenic unit risk factor</t>
  </si>
  <si>
    <t>Mutagenic mode-of-action factor</t>
  </si>
  <si>
    <t>Closed crawl space w/ slab</t>
  </si>
  <si>
    <t>Closed crawl space w/ dirt floor</t>
  </si>
  <si>
    <t>-Closed crawl space w/ slab</t>
  </si>
  <si>
    <t>-Closed crawl space w/ dirt floor</t>
  </si>
  <si>
    <t>Red text indicates value added or changed by IEc</t>
  </si>
  <si>
    <t>Permeability Coefficient</t>
  </si>
  <si>
    <r>
      <t>K</t>
    </r>
    <r>
      <rPr>
        <b/>
        <vertAlign val="subscript"/>
        <sz val="11"/>
        <rFont val="Calibri"/>
        <family val="2"/>
      </rPr>
      <t>p</t>
    </r>
    <r>
      <rPr>
        <sz val="11"/>
        <rFont val="Calibri"/>
        <family val="2"/>
      </rPr>
      <t xml:space="preserve">
(cm/hr)</t>
    </r>
  </si>
  <si>
    <t>KPREF</t>
  </si>
  <si>
    <t>WATER9</t>
  </si>
  <si>
    <t>CRC89</t>
  </si>
  <si>
    <t>RAGSE</t>
  </si>
  <si>
    <t>LANGE</t>
  </si>
  <si>
    <t>Aldicarb sulfoxide</t>
  </si>
  <si>
    <t>1646-87-3</t>
  </si>
  <si>
    <t>PHYSPROP</t>
  </si>
  <si>
    <t>PERRY</t>
  </si>
  <si>
    <t>Anthraquinone, 9,10-</t>
  </si>
  <si>
    <t>84-65-1</t>
  </si>
  <si>
    <t>Benzenediamine-2-methyl sulfate, 1,4-</t>
  </si>
  <si>
    <t>6369-59-1</t>
  </si>
  <si>
    <t>Yaws 2008</t>
  </si>
  <si>
    <t>Boron Trichloride</t>
  </si>
  <si>
    <t>10294-34-5</t>
  </si>
  <si>
    <t>Bromochloromethane</t>
  </si>
  <si>
    <t>74-97-5</t>
  </si>
  <si>
    <t>Chloro-2-methylaniline, 4-</t>
  </si>
  <si>
    <t>95-69-2</t>
  </si>
  <si>
    <t>Chloroethanol, 2-</t>
  </si>
  <si>
    <t>107-07-3</t>
  </si>
  <si>
    <t>YAWS</t>
  </si>
  <si>
    <t>Cyclohexene</t>
  </si>
  <si>
    <t>110-83-8</t>
  </si>
  <si>
    <t>~Tetrahydrofuran</t>
  </si>
  <si>
    <t>109-99-9</t>
  </si>
  <si>
    <t>Hexamethylphosphoramide</t>
  </si>
  <si>
    <t>680-31-9</t>
  </si>
  <si>
    <t>Manganese (Non-diet)</t>
  </si>
  <si>
    <t>~Mercuric Chloride (and other Mercury salts)</t>
  </si>
  <si>
    <t>Methyl Hydrazine</t>
  </si>
  <si>
    <t>60-34-4</t>
  </si>
  <si>
    <t>Methyl-1,4-benzenediamine dihydrochloride, 2-</t>
  </si>
  <si>
    <t>615-45-2</t>
  </si>
  <si>
    <t>Methylbenzene,1-4-diamine monohydrochloride, 2-</t>
  </si>
  <si>
    <t>74612-12-7</t>
  </si>
  <si>
    <t>Methylbenzene-1,4-diamine sulfate, 2-</t>
  </si>
  <si>
    <t>615-50-9</t>
  </si>
  <si>
    <t>Nitrate + Nitrite (as N)</t>
  </si>
  <si>
    <t>117-84-0</t>
  </si>
  <si>
    <t>Pentaerythritol tetranitrate (PETN)</t>
  </si>
  <si>
    <t>78-11-5</t>
  </si>
  <si>
    <t>Perchlorates</t>
  </si>
  <si>
    <t>~Ammonium Perchlorate</t>
  </si>
  <si>
    <t>~Lithium Perchlorate</t>
  </si>
  <si>
    <t>~Perchlorate and Perchlorate Salts</t>
  </si>
  <si>
    <t>~Potassium Perchlorate</t>
  </si>
  <si>
    <t>~Sodium Perchlorate</t>
  </si>
  <si>
    <t>Phenothiazine</t>
  </si>
  <si>
    <t>92-84-2</t>
  </si>
  <si>
    <t>Phosphates, Inorganic</t>
  </si>
  <si>
    <t>~Aluminum metaphosphate</t>
  </si>
  <si>
    <t>13776-88-0</t>
  </si>
  <si>
    <t>~Ammonium polyphosphate</t>
  </si>
  <si>
    <t>68333-79-9</t>
  </si>
  <si>
    <t>~Calcium pyrophosphate</t>
  </si>
  <si>
    <t>7790-76-3</t>
  </si>
  <si>
    <t>~Diammonium phosphate</t>
  </si>
  <si>
    <t>7783-28-0</t>
  </si>
  <si>
    <t>~Dicalcium phosphate</t>
  </si>
  <si>
    <t>7757-93-9</t>
  </si>
  <si>
    <t>~Dimagnesium phosphate</t>
  </si>
  <si>
    <t>7782-75-4</t>
  </si>
  <si>
    <t>~Dipotassium phosphate</t>
  </si>
  <si>
    <t>7758-11-4</t>
  </si>
  <si>
    <t>~Disodium phosphate</t>
  </si>
  <si>
    <t>7558-79-4</t>
  </si>
  <si>
    <t>~Monoaluminum phosphate</t>
  </si>
  <si>
    <t>13530-50-2</t>
  </si>
  <si>
    <t>~Monoammonium phosphate</t>
  </si>
  <si>
    <t>7722-76-1</t>
  </si>
  <si>
    <t>~Monocalcium phosphate</t>
  </si>
  <si>
    <t>7758-23-8</t>
  </si>
  <si>
    <t>~Monomagnesium phosphate</t>
  </si>
  <si>
    <t>7757-86-0</t>
  </si>
  <si>
    <t>~Monopotassium phosphate</t>
  </si>
  <si>
    <t>7778-77-0</t>
  </si>
  <si>
    <t>~Monosodium phosphate</t>
  </si>
  <si>
    <t>7558-80-7</t>
  </si>
  <si>
    <t>~Polyphosphoric acid</t>
  </si>
  <si>
    <t>8017-16-1</t>
  </si>
  <si>
    <t>~Potassium tripolyphosphate</t>
  </si>
  <si>
    <t>13845-36-8</t>
  </si>
  <si>
    <t>~Sodium acid pyrophosphate</t>
  </si>
  <si>
    <t>7758-16-9</t>
  </si>
  <si>
    <t>~Sodium aluminum phosphate (acidic)</t>
  </si>
  <si>
    <t>7785-88-8</t>
  </si>
  <si>
    <t>~Sodium aluminum phosphate (anhydrous)</t>
  </si>
  <si>
    <t>10279-59-1</t>
  </si>
  <si>
    <t>~Sodium aluminum phosphate (tetrahydrate)</t>
  </si>
  <si>
    <t>10305-76-7</t>
  </si>
  <si>
    <t>~Sodium hexametaphosphate</t>
  </si>
  <si>
    <t>10124-56-8</t>
  </si>
  <si>
    <t>~Sodium polyphosphate</t>
  </si>
  <si>
    <t>68915-31-1</t>
  </si>
  <si>
    <t>~Sodium trimetaphosphate</t>
  </si>
  <si>
    <t>7785-84-4</t>
  </si>
  <si>
    <t>~Sodium tripolyphosphate</t>
  </si>
  <si>
    <t>7758-29-4</t>
  </si>
  <si>
    <t>~Tetrapotassium phosphate</t>
  </si>
  <si>
    <t>7320-34-5</t>
  </si>
  <si>
    <t>~Tetrasodium pyrophosphate</t>
  </si>
  <si>
    <t>7722-88-5</t>
  </si>
  <si>
    <t>~Trialuminum sodium tetra decahydrogenoctaorthophosphate (dihydrate)</t>
  </si>
  <si>
    <t>15136-87-5</t>
  </si>
  <si>
    <t>~Tricalcium phosphate</t>
  </si>
  <si>
    <t>7758-87-4</t>
  </si>
  <si>
    <t>~Trimagnesium phosphate</t>
  </si>
  <si>
    <t>7757-87-1</t>
  </si>
  <si>
    <t>~Tripotassium phosphate</t>
  </si>
  <si>
    <t>7778-53-2</t>
  </si>
  <si>
    <t>~Trisodium phosphate</t>
  </si>
  <si>
    <t>7601-54-9</t>
  </si>
  <si>
    <t>Sulfolane</t>
  </si>
  <si>
    <t>126-33-0</t>
  </si>
  <si>
    <t>Thallium (I) Nitrate</t>
  </si>
  <si>
    <t>10102-45-1</t>
  </si>
  <si>
    <t>Thallium Acetate</t>
  </si>
  <si>
    <t>563-68-8</t>
  </si>
  <si>
    <t>Thallium Carbonate</t>
  </si>
  <si>
    <t>6533-73-9</t>
  </si>
  <si>
    <t>Thallium Chloride</t>
  </si>
  <si>
    <t>7791-12-0</t>
  </si>
  <si>
    <t>Thallium Sulfate</t>
  </si>
  <si>
    <t>7446-18-6</t>
  </si>
  <si>
    <t>Toluene-2,5-diamine</t>
  </si>
  <si>
    <t>95-70-5</t>
  </si>
  <si>
    <t>Triacetin</t>
  </si>
  <si>
    <t>102-76-1</t>
  </si>
  <si>
    <t>Trimethylbenzene, 1,2,3-</t>
  </si>
  <si>
    <t>526-73-8</t>
  </si>
  <si>
    <t>Tris(1-chloro-2-propyl)phosphate</t>
  </si>
  <si>
    <t>13674-84-5</t>
  </si>
  <si>
    <t>Xylenes</t>
  </si>
  <si>
    <t>Zinc and Compounds</t>
  </si>
  <si>
    <t>Zirconium</t>
  </si>
  <si>
    <t>7440-67-7</t>
  </si>
  <si>
    <t>k
e
y</t>
  </si>
  <si>
    <t>muta-
gen</t>
  </si>
  <si>
    <t>Change made</t>
  </si>
  <si>
    <t>English/metric converter added</t>
  </si>
  <si>
    <t>User now has option to select either sub-slab soil gas or exterior soil gas</t>
  </si>
  <si>
    <t>Flag and Comment fields updated to include sub-slab soil gas</t>
  </si>
  <si>
    <t>Added "mutagenic unit risk factor" (MURF)</t>
  </si>
  <si>
    <t>User now has option to select "Closed crawl space with slab" or "Closed crawl space with dirt floor" for the foundation type</t>
  </si>
  <si>
    <t>Changed VLOOKUP to INDEX/MATCH function</t>
  </si>
  <si>
    <t>Added "MEASURED_SOIL_GAS_CONC." tab for user to enter measured soil gas concentration; graph will display both measured and calculated values</t>
  </si>
  <si>
    <t>Source Medium</t>
  </si>
  <si>
    <t>Soil gas to indoor air attenuation coefficient</t>
  </si>
  <si>
    <t>Row name</t>
  </si>
  <si>
    <t>Added separate formulas for vinyl chloride and trichloroethylene (from VISL calculator spreadsheets) and if chemical is a mutagen (exposure duration of 76 years instead of 30)</t>
  </si>
  <si>
    <t>If chemical is mutagenic, equation uses averaging time of 76 years (not 30)</t>
  </si>
  <si>
    <t>ParametersSummary</t>
  </si>
  <si>
    <t>ToxSummary</t>
  </si>
  <si>
    <t>Added updates table from VISL calculator; model now pulls from this table in place of params_sl_table</t>
  </si>
  <si>
    <t>Added updates table from VISL calculator; model now pulls from this table in place of resair_sl_table</t>
  </si>
  <si>
    <t>ParametersSummary tab</t>
  </si>
  <si>
    <t>ToxSummary tab</t>
  </si>
  <si>
    <t>Added "Mutagenic mode-of-action factor" of 76</t>
  </si>
  <si>
    <t>Receptors tab</t>
  </si>
  <si>
    <t>Receptors</t>
  </si>
  <si>
    <t>Added RECEPTORS tab from the mutagenic mode of action spreadsheets</t>
  </si>
  <si>
    <t>Converter button and tab</t>
  </si>
  <si>
    <t>Graph and Measured_Soil_Gas_Conc. tab</t>
  </si>
  <si>
    <t>Mutagenic compound</t>
  </si>
  <si>
    <t>Mut</t>
  </si>
  <si>
    <t>Date of Change</t>
  </si>
  <si>
    <t>Graph</t>
  </si>
  <si>
    <t>Changed graph from line graph to scatter plot</t>
  </si>
  <si>
    <t>86-91</t>
  </si>
  <si>
    <t>Model output</t>
  </si>
  <si>
    <t>Highlighted cells in blue</t>
  </si>
  <si>
    <t>Notes</t>
  </si>
  <si>
    <t>Updated note</t>
  </si>
  <si>
    <t>(oC)</t>
  </si>
  <si>
    <t>(ug/m3)-1</t>
  </si>
  <si>
    <t>Henry's Law Constant @ 25oC</t>
  </si>
  <si>
    <t>(atm-m3/mol)</t>
  </si>
  <si>
    <t>Calc: Henry's Law Constant 
     @ 25oC</t>
  </si>
  <si>
    <t>Chemical Name:   Bis(2-chloroethyl)ether     CAS No. 111-44-4</t>
  </si>
  <si>
    <t>Depth below grade to soil gas sample:   5.00  meters</t>
  </si>
  <si>
    <t>(g/cm3)</t>
  </si>
  <si>
    <t>Stratum containing soil gas sample</t>
  </si>
  <si>
    <t>If user selects sub-slab soil gas, coefficient is equal to Qsoil_Qb</t>
  </si>
  <si>
    <t>Changed air exchange rate from 0.5 to 0.45 based on 2011 EPA Exposure Factors Handbook (median value across all U.S. regions)</t>
  </si>
  <si>
    <t>38 / BLDG_DATA tab</t>
  </si>
  <si>
    <t>USEPA, 2011</t>
  </si>
  <si>
    <t>Crawl space w/ slab</t>
  </si>
  <si>
    <t>Crawl space w/ dirt floor</t>
  </si>
  <si>
    <t>0.5 -1.30</t>
  </si>
  <si>
    <t>0.5 - 1.30</t>
  </si>
  <si>
    <t xml:space="preserve">Indoor air exchange rate </t>
  </si>
  <si>
    <t>Flag and Comment fields updated show warning and comment (columns J and K) if ach&gt;1.5 to be consistent with Table 6c in User's Guide; previous version showed warning and comment only if ach&gt;2.0</t>
  </si>
  <si>
    <t>Flag and Comment fields updated to include the following default ranges: crawlspaces 0.5 - 1.3 m (previously 0.5 - 2.0 m) and basements 2.44 - 4.88 m (previously 2.0 - 4.88 m) to be consistent with Table 6c in User's Guide.</t>
  </si>
  <si>
    <t>Removed RECEPTORS tab from the mutagenic mode of action spreadsheets</t>
  </si>
  <si>
    <t>Subslab vapor concentration (ppbv)</t>
  </si>
  <si>
    <t>Target indoor air concentration (ppbv)</t>
  </si>
  <si>
    <t>Groundwater/soil gas conc</t>
  </si>
  <si>
    <t>Changed VLOOKUP to INDEX/MATCH function (Flag and Comment fields)</t>
  </si>
  <si>
    <t>Changed VLOOKUP to INDEX/MATCH function (Default, Range, and CV fields)</t>
  </si>
  <si>
    <t>Changed VLOOKUP to INDEX/MATCH function (Default and CV fields)</t>
  </si>
  <si>
    <t>Changed VLOOKUP to INDEX/MATCH function (Value and Default fields)</t>
  </si>
  <si>
    <t>Changed VLOOKUP to INDEX/MATCH function (CV)</t>
  </si>
  <si>
    <t>source</t>
  </si>
  <si>
    <t>Pure Component Water Solubility</t>
  </si>
  <si>
    <t>Henry's Law Constant @25°C</t>
  </si>
  <si>
    <r>
      <t>Henry's Law Constant @25°C</t>
    </r>
    <r>
      <rPr>
        <b/>
        <vertAlign val="superscript"/>
        <sz val="10"/>
        <color indexed="8"/>
        <rFont val="Arial"/>
        <family val="2"/>
      </rPr>
      <t>g</t>
    </r>
  </si>
  <si>
    <r>
      <t xml:space="preserve">Diffusivity in air </t>
    </r>
    <r>
      <rPr>
        <b/>
        <vertAlign val="superscript"/>
        <sz val="10"/>
        <color indexed="8"/>
        <rFont val="Arial"/>
        <family val="2"/>
      </rPr>
      <t>m</t>
    </r>
  </si>
  <si>
    <r>
      <t xml:space="preserve">Diffusivity in water </t>
    </r>
    <r>
      <rPr>
        <b/>
        <vertAlign val="superscript"/>
        <sz val="10"/>
        <color indexed="8"/>
        <rFont val="Arial"/>
        <family val="2"/>
      </rPr>
      <t>m</t>
    </r>
  </si>
  <si>
    <t>Normal Boiling Point</t>
  </si>
  <si>
    <t>Critical Temperature</t>
  </si>
  <si>
    <r>
      <t xml:space="preserve">Organic Carbon Partition Coefficient </t>
    </r>
    <r>
      <rPr>
        <b/>
        <vertAlign val="superscript"/>
        <sz val="10"/>
        <color indexed="8"/>
        <rFont val="Arial"/>
        <family val="2"/>
      </rPr>
      <t>m</t>
    </r>
  </si>
  <si>
    <t>VP</t>
  </si>
  <si>
    <t>Hc25</t>
  </si>
  <si>
    <t>H'25</t>
  </si>
  <si>
    <t>Da</t>
  </si>
  <si>
    <t>Dw</t>
  </si>
  <si>
    <t>Tboil</t>
  </si>
  <si>
    <t>Tcrit</t>
  </si>
  <si>
    <r>
      <t>DH</t>
    </r>
    <r>
      <rPr>
        <vertAlign val="subscript"/>
        <sz val="10"/>
        <color indexed="8"/>
        <rFont val="Arial"/>
        <family val="2"/>
      </rPr>
      <t>v,b</t>
    </r>
  </si>
  <si>
    <t>Koc</t>
  </si>
  <si>
    <t>Alphabetized List of Compounds</t>
  </si>
  <si>
    <t>(g/mole)</t>
  </si>
  <si>
    <r>
      <t>(atm-m</t>
    </r>
    <r>
      <rPr>
        <vertAlign val="superscript"/>
        <sz val="10"/>
        <color indexed="8"/>
        <rFont val="Arial"/>
        <family val="2"/>
      </rPr>
      <t>3</t>
    </r>
    <r>
      <rPr>
        <sz val="10"/>
        <color indexed="8"/>
        <rFont val="Arial"/>
        <family val="2"/>
      </rPr>
      <t>/mol)</t>
    </r>
  </si>
  <si>
    <r>
      <t>(cm</t>
    </r>
    <r>
      <rPr>
        <vertAlign val="superscript"/>
        <sz val="10"/>
        <color indexed="8"/>
        <rFont val="Arial"/>
        <family val="2"/>
      </rPr>
      <t>2</t>
    </r>
    <r>
      <rPr>
        <sz val="10"/>
        <color indexed="8"/>
        <rFont val="Arial"/>
        <family val="2"/>
      </rPr>
      <t>/s)</t>
    </r>
  </si>
  <si>
    <r>
      <t>(</t>
    </r>
    <r>
      <rPr>
        <vertAlign val="superscript"/>
        <sz val="10"/>
        <color indexed="8"/>
        <rFont val="Arial"/>
        <family val="2"/>
      </rPr>
      <t>o</t>
    </r>
    <r>
      <rPr>
        <sz val="10"/>
        <color indexed="8"/>
        <rFont val="Arial"/>
        <family val="2"/>
      </rPr>
      <t>K)</t>
    </r>
  </si>
  <si>
    <r>
      <t>(cm</t>
    </r>
    <r>
      <rPr>
        <vertAlign val="superscript"/>
        <sz val="10"/>
        <color indexed="8"/>
        <rFont val="Arial"/>
        <family val="2"/>
      </rPr>
      <t>3</t>
    </r>
    <r>
      <rPr>
        <sz val="10"/>
        <color indexed="8"/>
        <rFont val="Arial"/>
        <family val="2"/>
      </rPr>
      <t>/g)</t>
    </r>
  </si>
  <si>
    <t>Alternative Chemical Name 1</t>
  </si>
  <si>
    <t>Alternative Chemical Name 2</t>
  </si>
  <si>
    <t>No DHv,b</t>
  </si>
  <si>
    <t>1,1'-Biphenyl</t>
  </si>
  <si>
    <t>Bis(2-chloroisopropyl)ether</t>
  </si>
  <si>
    <t>hhc</t>
  </si>
  <si>
    <t>1-Bromo-2-chloroethane</t>
  </si>
  <si>
    <t>1-Chloro-1,1-difluoroethane</t>
  </si>
  <si>
    <t>2-Chloro-1,3-butadiene</t>
  </si>
  <si>
    <t>Chloroprene</t>
  </si>
  <si>
    <t>4-Chlorobenzotrifluoride</t>
  </si>
  <si>
    <t>Methyl chloride</t>
  </si>
  <si>
    <t>No Tboil</t>
  </si>
  <si>
    <t>No Tcrit</t>
  </si>
  <si>
    <t>1,2-Dibromo-3-chloropropane</t>
  </si>
  <si>
    <t>1,2-Dibromoethane</t>
  </si>
  <si>
    <t>Ethylene dibromide</t>
  </si>
  <si>
    <t>1,4-Dichloro-2-butene</t>
  </si>
  <si>
    <t>cis-1,4-Dichloro-2-butene</t>
  </si>
  <si>
    <t>trans-1,4-Dichloro-2-butene</t>
  </si>
  <si>
    <t>1,1-Difluoroethane</t>
  </si>
  <si>
    <t>jc</t>
  </si>
  <si>
    <t>1,2-Epoxybutane</t>
  </si>
  <si>
    <t>Chloroethane</t>
  </si>
  <si>
    <t>1,6-Hexamethylene Diisocyanate</t>
  </si>
  <si>
    <t>2-Hexanone</t>
  </si>
  <si>
    <t>2-Butanone</t>
  </si>
  <si>
    <t>4-Methyl-2-pentanone</t>
  </si>
  <si>
    <t>N-Nitroso-di-n-butylamine</t>
  </si>
  <si>
    <t>Chloroethene</t>
  </si>
  <si>
    <t>j</t>
  </si>
  <si>
    <t>~Thiocyanates</t>
  </si>
  <si>
    <t>~Thiocyanic Acid</t>
  </si>
  <si>
    <t>Dinitrotoluene, Technical grade</t>
  </si>
  <si>
    <t>Tricresyl Phosphate (TCP)</t>
  </si>
  <si>
    <t>1330-78-5</t>
  </si>
  <si>
    <t>PPRTV</t>
  </si>
  <si>
    <t>Yaws</t>
  </si>
  <si>
    <r>
      <t>(mg/m</t>
    </r>
    <r>
      <rPr>
        <vertAlign val="superscript"/>
        <sz val="10"/>
        <color indexed="8"/>
        <rFont val="Arial"/>
        <family val="2"/>
      </rPr>
      <t>3</t>
    </r>
    <r>
      <rPr>
        <sz val="10"/>
        <color indexed="8"/>
        <rFont val="Arial"/>
        <family val="2"/>
      </rPr>
      <t>)</t>
    </r>
    <r>
      <rPr>
        <vertAlign val="superscript"/>
        <sz val="10"/>
        <color indexed="8"/>
        <rFont val="Arial"/>
        <family val="2"/>
      </rPr>
      <t>-1</t>
    </r>
  </si>
  <si>
    <r>
      <t>(mg/m</t>
    </r>
    <r>
      <rPr>
        <vertAlign val="superscript"/>
        <sz val="10"/>
        <color indexed="8"/>
        <rFont val="Arial"/>
        <family val="2"/>
      </rPr>
      <t>3</t>
    </r>
    <r>
      <rPr>
        <sz val="10"/>
        <color indexed="8"/>
        <rFont val="Arial"/>
        <family val="2"/>
      </rPr>
      <t>)</t>
    </r>
  </si>
  <si>
    <t>CHEM_DATA tab</t>
  </si>
  <si>
    <t>Chem Data</t>
  </si>
  <si>
    <t>Brought in chemical list from VISL Calculator (for chemicals that were sufficiently volatile and toxic to pose human health risk); updated model references accordingly.</t>
  </si>
  <si>
    <t>Cyanide (CN-)</t>
  </si>
  <si>
    <t>Tetrahydrofuran</t>
  </si>
  <si>
    <t>Hydrogen Cyanide</t>
  </si>
  <si>
    <t>Average vadose zone or groundwater temperature</t>
  </si>
  <si>
    <r>
      <t>(</t>
    </r>
    <r>
      <rPr>
        <sz val="11"/>
        <rFont val="Calibri"/>
        <family val="2"/>
      </rPr>
      <t>°</t>
    </r>
    <r>
      <rPr>
        <sz val="11"/>
        <rFont val="Century Gothic"/>
        <family val="2"/>
      </rPr>
      <t>F)</t>
    </r>
  </si>
  <si>
    <r>
      <t>(</t>
    </r>
    <r>
      <rPr>
        <sz val="11"/>
        <rFont val="Calibri"/>
        <family val="2"/>
      </rPr>
      <t>°</t>
    </r>
    <r>
      <rPr>
        <sz val="11"/>
        <rFont val="Century Gothic"/>
        <family val="2"/>
      </rPr>
      <t>C)</t>
    </r>
  </si>
  <si>
    <t>Value in English Units</t>
  </si>
  <si>
    <t>Added converter from F to C, updated input cells based on previous changes to model (several rows shifted due to updates in the Model sheet)</t>
  </si>
  <si>
    <t>Unit Converter tab</t>
  </si>
  <si>
    <t>Changed Qsoil/Qbuilding default values to 0.003 from 0.02 based on decision by EPA.</t>
  </si>
  <si>
    <t>Chemical List</t>
  </si>
  <si>
    <t>Note: Parameters other than the chemical concentration must be entered in the MODEL sheet and must be the same for all chemicals. Warnings and errors are displayed in only on the MODEL sheet.</t>
  </si>
  <si>
    <t>Updated chemical list.</t>
  </si>
  <si>
    <t>Updated VBA code - changed row references to reflect changes made in MODEL sheet.</t>
  </si>
  <si>
    <t>Updated HC Flag column based on data from ATSDR and PubChem.</t>
  </si>
  <si>
    <r>
      <t>Henry's Law Constant @ 25</t>
    </r>
    <r>
      <rPr>
        <vertAlign val="superscript"/>
        <sz val="10"/>
        <rFont val="Arial"/>
        <family val="2"/>
      </rPr>
      <t>o</t>
    </r>
    <r>
      <rPr>
        <sz val="10"/>
        <rFont val="Arial"/>
        <family val="2"/>
      </rPr>
      <t>C</t>
    </r>
  </si>
  <si>
    <t>MULTI_CHEM_INPUT tab</t>
  </si>
  <si>
    <t>MULTI_CHEM_OUTPUT tab</t>
  </si>
  <si>
    <t>Column A</t>
  </si>
  <si>
    <t>Multiple Chemical Output sheet</t>
  </si>
  <si>
    <t>Row number or sheet name</t>
  </si>
  <si>
    <t xml:space="preserve">Deleted sheet </t>
  </si>
  <si>
    <t>resair_sl_table tab</t>
  </si>
  <si>
    <t>params_sl_table tab</t>
  </si>
  <si>
    <t>Deleted sheet (ToxSummary contains more recent screening level data)</t>
  </si>
  <si>
    <t>Deleted sheet (ParametersSummary contains more recent screening level data)</t>
  </si>
  <si>
    <t>Change_log tab</t>
  </si>
  <si>
    <t>Deleted sheet (as it had not been updated since 2011)</t>
  </si>
  <si>
    <t>Chem_Data_Old tab</t>
  </si>
  <si>
    <t>USEPA, 2012</t>
  </si>
  <si>
    <r>
      <t>CalTOX</t>
    </r>
    <r>
      <rPr>
        <vertAlign val="superscript"/>
        <sz val="10"/>
        <rFont val="Arial"/>
        <family val="2"/>
      </rPr>
      <t>TM</t>
    </r>
    <r>
      <rPr>
        <sz val="10"/>
        <rFont val="Arial"/>
        <family val="2"/>
      </rPr>
      <t xml:space="preserve"> Version 4.0, McKone T.E. and Enoch K.G., 2002, </t>
    </r>
    <r>
      <rPr>
        <sz val="10"/>
        <rFont val="Arial"/>
        <family val="2"/>
      </rPr>
      <t>A Multimedia Total Exposure Model Version 4.0, Ernest Orlando Lawrence Berkeley National Laboratory, August.</t>
    </r>
  </si>
  <si>
    <t>Tillman F.D. and Weaver J.W., 2006, Uncertainly from synergistic effects of multiple parameters in the Johnson and Ettinger (1991) vapor intrusion model, Atmospheric Environment, 40, 4098-4112.</t>
  </si>
  <si>
    <t>Weaver J.W. and Tillman F.D., 2005, Uncertainty and the Johnson-Ettinger Model for Vapor Intrusion Calculations, EPA/600/R-05/110, September.</t>
  </si>
  <si>
    <t>Johnson P.C., 2002, Identification of Critical Parameters for the Johnson and Ettinger (1991) Vapor Intrusion Model, American Petroleum Institute (API), No. 17, May.</t>
  </si>
  <si>
    <t>Reference Sources tab</t>
  </si>
  <si>
    <t>Updated references</t>
  </si>
  <si>
    <t>CHEM_CV_DATA</t>
  </si>
  <si>
    <t xml:space="preserve">Added CV values for chemicals added based on SL tables from CalTox Version 4.  </t>
  </si>
  <si>
    <t>Converted Value</t>
  </si>
  <si>
    <t>75-85-4</t>
  </si>
  <si>
    <t>Amyl Alcohol, tert-</t>
  </si>
  <si>
    <t>Butylated hydroxytoluene</t>
  </si>
  <si>
    <t>128-37-0</t>
  </si>
  <si>
    <t>Dibenzothiophene</t>
  </si>
  <si>
    <t>132-65-0</t>
  </si>
  <si>
    <t>Ethyl Chloride (Chloroethane)</t>
  </si>
  <si>
    <t>Octahydro-1,3,5,7-tetranitro-1,3,5,7-tetrazocine (HMX)</t>
  </si>
  <si>
    <t>Phthalates</t>
  </si>
  <si>
    <t>~Bis(2-ethylhexyl)phthalate</t>
  </si>
  <si>
    <t>~Butylphthalyl Butylglycolate</t>
  </si>
  <si>
    <t>~Dibutyl Phthalate</t>
  </si>
  <si>
    <t>~Diethyl Phthalate</t>
  </si>
  <si>
    <t>~Dimethylterephthalate</t>
  </si>
  <si>
    <t>~Octyl Phthalate, di-N-</t>
  </si>
  <si>
    <t>~Phthalic Acid, P-</t>
  </si>
  <si>
    <t>~Phthalic Anhydride</t>
  </si>
  <si>
    <t>~Chloronaphthalene, Beta-</t>
  </si>
  <si>
    <t>Total Petroleum Hydrocarbons (Aliphatic High)</t>
  </si>
  <si>
    <t>Total Petroleum Hydrocarbons (Aliphatic Low)</t>
  </si>
  <si>
    <t>Total Petroleum Hydrocarbons (Aliphatic Medium)</t>
  </si>
  <si>
    <t>Total Petroleum Hydrocarbons (Aromatic High)</t>
  </si>
  <si>
    <t>Total Petroleum Hydrocarbons (Aromatic Low)</t>
  </si>
  <si>
    <t>Total Petroleum Hydrocarbons (Aromatic Medium)</t>
  </si>
  <si>
    <t>Updated equation to calculate incremental cancer risk for vinyl chloride based on VISL</t>
  </si>
  <si>
    <t>CHEM_DATA</t>
  </si>
  <si>
    <t>Added tert-amyl alcohol and ethyl acetate to Chem List</t>
  </si>
  <si>
    <t>Exposure duration changed to 26 years from 30 years based on updated guidance from EPA</t>
  </si>
  <si>
    <t>EXPOSURE_DATA</t>
  </si>
  <si>
    <t>Azodicarbonamide</t>
  </si>
  <si>
    <t>123-77-3</t>
  </si>
  <si>
    <t>GuideChem</t>
  </si>
  <si>
    <t>CHEM GUIDE</t>
  </si>
  <si>
    <t>USDA ARS</t>
  </si>
  <si>
    <t>Guanidine</t>
  </si>
  <si>
    <t>113-00-8</t>
  </si>
  <si>
    <t>Guanidine Chloride</t>
  </si>
  <si>
    <t>50-01-1</t>
  </si>
  <si>
    <t>~Aroclor 5460</t>
  </si>
  <si>
    <t>11126-42-4</t>
  </si>
  <si>
    <t>Updated to May 2014 RSL table</t>
  </si>
  <si>
    <t>Abf</t>
  </si>
  <si>
    <t>For chemicals not listed in CalTox version 4, entered CV values as "NA".</t>
  </si>
  <si>
    <t>Added warning and comment for total CV value to display when user selects chemical that does not have CV values for chemical properties.</t>
  </si>
  <si>
    <t>Benz[a]anthracene</t>
  </si>
  <si>
    <t>TCDD, 2,3,7,8-</t>
  </si>
  <si>
    <t>Anthracene</t>
  </si>
  <si>
    <t>Chloronaphthalene, Beta-</t>
  </si>
  <si>
    <t>Cyanogen</t>
  </si>
  <si>
    <t>Cyanogen Chloride</t>
  </si>
  <si>
    <t>Dimethylterephthalate</t>
  </si>
  <si>
    <t>Methylnaphthalene, 1-</t>
  </si>
  <si>
    <t>Cyanogen Bromide</t>
  </si>
  <si>
    <t>Dibromobenzene, 1,3-</t>
  </si>
  <si>
    <t>Tetraethyl Lead</t>
  </si>
  <si>
    <t>Perfluorobutane Sulfonate</t>
  </si>
  <si>
    <t>Aroclor 5460</t>
  </si>
  <si>
    <t>Thiocyanic Acid</t>
  </si>
  <si>
    <t>Sulfur Trioxide</t>
  </si>
  <si>
    <t>108-36-1</t>
  </si>
  <si>
    <t>375-73-5</t>
  </si>
  <si>
    <t>64742-95-6</t>
  </si>
  <si>
    <t>7446-11-9</t>
  </si>
  <si>
    <t>Toxnet HSDB</t>
  </si>
  <si>
    <t>PubChem</t>
  </si>
  <si>
    <t>PhysProp</t>
  </si>
  <si>
    <t>NIOSH</t>
  </si>
  <si>
    <t>ATSDR Profile</t>
  </si>
  <si>
    <t>MSDS</t>
  </si>
  <si>
    <t>EPI (converted)</t>
  </si>
  <si>
    <t>TOXNET (converted)</t>
  </si>
  <si>
    <t>TOXNET (range)</t>
  </si>
  <si>
    <t>TOXNET (converted) (range)</t>
  </si>
  <si>
    <t>EPISUITE</t>
  </si>
  <si>
    <t>NIST</t>
  </si>
  <si>
    <t>TOXNET</t>
  </si>
  <si>
    <t>Weast</t>
  </si>
  <si>
    <t>CRC</t>
  </si>
  <si>
    <t>Approx. from Tcrit=1.5xTBoil</t>
  </si>
  <si>
    <t>DECHEMA</t>
  </si>
  <si>
    <t>hc</t>
  </si>
  <si>
    <t>Weiss</t>
  </si>
  <si>
    <t>MSDS (converted)</t>
  </si>
  <si>
    <t xml:space="preserve">Perry </t>
  </si>
  <si>
    <t>NIST (converted)</t>
  </si>
  <si>
    <t>Merck</t>
  </si>
  <si>
    <t>Incremental Unit Risk</t>
  </si>
  <si>
    <t>IUR</t>
  </si>
  <si>
    <t>Benfluralin</t>
  </si>
  <si>
    <t>Carbonyl Sulfide</t>
  </si>
  <si>
    <t>Lewisite</t>
  </si>
  <si>
    <t>Trifluoroethane, 1,1,1-</t>
  </si>
  <si>
    <t>Trimethylpentene, 2,4,4-</t>
  </si>
  <si>
    <t>Tris(2,3-dibromopropyl)phosphate</t>
  </si>
  <si>
    <t>463-58-1</t>
  </si>
  <si>
    <t>541-25-3</t>
  </si>
  <si>
    <t>420-46-2</t>
  </si>
  <si>
    <t>25167-70-8</t>
  </si>
  <si>
    <t>126-72-7</t>
  </si>
  <si>
    <t>Not Available</t>
  </si>
  <si>
    <t>Value for Ratio</t>
  </si>
  <si>
    <t>Value for Set</t>
  </si>
  <si>
    <t>Table for Custom Mode</t>
  </si>
  <si>
    <t>Calculated</t>
  </si>
  <si>
    <t>Calc: Average vapor flow rate into building</t>
  </si>
  <si>
    <t>Azinphos-methyl</t>
  </si>
  <si>
    <t>Barium Chromate</t>
  </si>
  <si>
    <t>10294-40-3</t>
  </si>
  <si>
    <t>Bensulfuron-methyl</t>
  </si>
  <si>
    <t>Calcium Chromate</t>
  </si>
  <si>
    <t>13765-19-0</t>
  </si>
  <si>
    <t>Chlorthal-dimethyl</t>
  </si>
  <si>
    <t>Clofentezine</t>
  </si>
  <si>
    <t>Cyfluthrin</t>
  </si>
  <si>
    <t>Cyhalothrin</t>
  </si>
  <si>
    <t>Daminozide</t>
  </si>
  <si>
    <t>Dicrotophos</t>
  </si>
  <si>
    <t>Ethanol, 2-(2-methoxyethoxy)-</t>
  </si>
  <si>
    <t>111-77-3</t>
  </si>
  <si>
    <t>Fenvalerate</t>
  </si>
  <si>
    <t>Flusilazole</t>
  </si>
  <si>
    <t>Hexythiazox</t>
  </si>
  <si>
    <t>Hydramethylnon</t>
  </si>
  <si>
    <t>Imazethapyr</t>
  </si>
  <si>
    <t>~Lead Chromate</t>
  </si>
  <si>
    <t>7758-97-6</t>
  </si>
  <si>
    <t>~Lead Phosphate</t>
  </si>
  <si>
    <t>7446-27-7</t>
  </si>
  <si>
    <t>Metsulfuron-methyl</t>
  </si>
  <si>
    <t>Myclobutanil</t>
  </si>
  <si>
    <t>Nickel Acetate</t>
  </si>
  <si>
    <t>373-02-4</t>
  </si>
  <si>
    <t>Nickel Carbonate</t>
  </si>
  <si>
    <t>3333-67-3</t>
  </si>
  <si>
    <t>Nickel Hydroxide</t>
  </si>
  <si>
    <t>12054-48-7</t>
  </si>
  <si>
    <t>Nickelocene</t>
  </si>
  <si>
    <t>1271-28-9</t>
  </si>
  <si>
    <t>Oxyfluorfen</t>
  </si>
  <si>
    <t>Picric Acid (2,4,6-Trinitrophenol)</t>
  </si>
  <si>
    <t>88-89-1</t>
  </si>
  <si>
    <t>Potassium Perfluorobutane Sulfonate</t>
  </si>
  <si>
    <t>29420-49-3</t>
  </si>
  <si>
    <t>Propyzamide</t>
  </si>
  <si>
    <t>Quizalofop-ethyl</t>
  </si>
  <si>
    <t>Sodium Dichromate</t>
  </si>
  <si>
    <t>10588-01-9</t>
  </si>
  <si>
    <t>Sodium Tungstate</t>
  </si>
  <si>
    <t>13472-45-2</t>
  </si>
  <si>
    <t>Sodium Tungstate Dihydrate</t>
  </si>
  <si>
    <t>10213-10-2</t>
  </si>
  <si>
    <t>Strontium Chromate</t>
  </si>
  <si>
    <t>7789-06-2</t>
  </si>
  <si>
    <t>Styrene-Acrylonitrile (SAN) Trimer</t>
  </si>
  <si>
    <t>Sulfurous acid, 2-chloroethyl 2-[4-(1,1-dimethylethyl)phenoxy]-1-methylethyl ester</t>
  </si>
  <si>
    <t>Thifensulfuron-methyl</t>
  </si>
  <si>
    <t>Triadimefon</t>
  </si>
  <si>
    <t>Tribenuron-methyl</t>
  </si>
  <si>
    <t>Triethylene Glycol</t>
  </si>
  <si>
    <t>112-27-6</t>
  </si>
  <si>
    <t>Tungsten</t>
  </si>
  <si>
    <t>7440-33-7</t>
  </si>
  <si>
    <t>Toxicity and Chemical-specific Information</t>
  </si>
  <si>
    <t>GIABS</t>
  </si>
  <si>
    <t>ABS</t>
  </si>
  <si>
    <t>key</t>
  </si>
  <si>
    <t>Screening Levels</t>
  </si>
  <si>
    <t>Protection of Ground Water SSLs</t>
  </si>
  <si>
    <t>Resident Soil
(mg/kg)</t>
  </si>
  <si>
    <t>Industrial Soil
(mg/kg)</t>
  </si>
  <si>
    <t>Tapwater
(ug/L)</t>
  </si>
  <si>
    <t>MCL
(ug/L)</t>
  </si>
  <si>
    <t>Risk-based
SSL
(mg/kg)</t>
  </si>
  <si>
    <t>MCL-based
SSL
(mg/kg)</t>
  </si>
  <si>
    <t>c**</t>
  </si>
  <si>
    <t>c*</t>
  </si>
  <si>
    <t>nms</t>
  </si>
  <si>
    <t>nm</t>
  </si>
  <si>
    <t>ns</t>
  </si>
  <si>
    <t>c</t>
  </si>
  <si>
    <t>c*R</t>
  </si>
  <si>
    <t>cR</t>
  </si>
  <si>
    <t>8.0E+01(F)</t>
  </si>
  <si>
    <t>1.5E+01(F)</t>
  </si>
  <si>
    <t>Key: I = IRIS; P = PPRTV; A = ATSDR; C = Cal EPA; X = APPENDIX PPRTV SCREEN (See FAQ #27); H = HEAST; F = See FAQ; J = New Jersey; O = EPA Office of Water; E = see user guide Section 2.3.5; L = see user guide on lead; M = mutagen; S = see user guide Section 5; V = volatile; R = RBA applied (See User Guide for Arsenic notice) ; c = cancer; n = noncancer; * = where: n SL &lt; 100X c SL; ** = where n SL &lt; 10X c SL; SSL values are based on DAF=1; m = Concentration may exceed ceiling limit (See User Guide); s = Concentration may exceed Csat (See User Guide)</t>
  </si>
  <si>
    <t>(1 / hr)</t>
  </si>
  <si>
    <t>US EPA RSLs</t>
  </si>
  <si>
    <t>U.S. EPA RSLs ( Regional Screening Tables).  Updated biannually, available online at http://www.epa.gov/risk/regional-screening-table (current values from November 2015 released)</t>
  </si>
  <si>
    <t>US EPA 2014</t>
  </si>
  <si>
    <t>U.S. EPA, 2004, User’s Guide for Evaluating Subsurface Vapor Intrusion Into Buildings. Office of Emergency and Remedial Response, February.</t>
  </si>
  <si>
    <t>U.S. EPA 2011. Exposure factors handbook: 2011 edition, National Center for Environmental Assessment, Washington, DC; EPA/600/R-09/052F. Available from the National Technical Information Service, Springfield, VA, and online at http://www.epa.gov/ncea/efh.</t>
  </si>
  <si>
    <t>U.S. EPA 2012, EPA’s Vapor Intrusion Database: Evaluation and Characterization of Attenuation Factors for Chlorinated Volatile Organic Compounds and Residential Buildings. Office of Solid Waste and Emergency Response.  Washington, D.C. EPA 530-R-10-002. March 16.</t>
  </si>
  <si>
    <t>U.S. EPA 2014, OSWER Directive 9200.1-120. Human Health Evaluation Manual, Supplemental Guidance: Update of Standard Default Exposure Factors. Available online at http://www.epa.gov/sites/production/files/2015-11/documents/oswer_directive_9200.1-120_exposurefactors_corrected2.pdf</t>
  </si>
  <si>
    <t>CASRN</t>
  </si>
  <si>
    <t>BANANAS</t>
  </si>
  <si>
    <t>Advection is the dominant mechanism across the foundation.</t>
  </si>
  <si>
    <t>Diffusion through soil is the overall rate limiting process.</t>
  </si>
  <si>
    <t>Hb, Ls, DeffT, ach</t>
  </si>
  <si>
    <t>Qsoil_Qb, Lf, DeffA, eta</t>
  </si>
  <si>
    <t>Diffusion through soil and advection through foundation both control intrusion.</t>
  </si>
  <si>
    <t>Hb, Ls, DeffT, ach, Qsoil_Qb</t>
  </si>
  <si>
    <t>Lf, DeffA, eta</t>
  </si>
  <si>
    <t>Commercial</t>
  </si>
  <si>
    <t>No tox data available</t>
  </si>
  <si>
    <t>80-1000</t>
  </si>
  <si>
    <t xml:space="preserve">Contact Information: </t>
  </si>
  <si>
    <t>Office of Superfund Remediation &amp; Technology Innovation</t>
  </si>
  <si>
    <t>Instructions for spreadsheet use:</t>
  </si>
  <si>
    <t>1. The MODEL tab in the spreadsheet contains the model input and output. For multiple chemicals separate input and output sheets are provided.  The other folders contain the look-up information used in the model.</t>
  </si>
  <si>
    <t>4. The dotted-line outlined boxes are cells for which the spreadsheet provides defaults. These default values should be changed if there are site-specific measurements that support the change. If values are entered that are outside the typical range of values, a warning message appears in the “Comment” field of the spreadsheet. Whenever possible, enter site specific data, to ensure the accuracy of the model predictions.</t>
  </si>
  <si>
    <t>5. All other cells are locked to prevent accidentally writing over defaults, ranges, or warning messages.</t>
  </si>
  <si>
    <t>6. The bottom portion of the spreadsheet contains all intermediate fate and transport calculations, as well as the predicted attenuation factor, indoor air concentration, and risk estimates.</t>
  </si>
  <si>
    <t>7. Please read the User’s Guide for more information.</t>
  </si>
  <si>
    <t>Spreadsheets in this workbook</t>
  </si>
  <si>
    <t>README – instructions and quick workbook overview</t>
  </si>
  <si>
    <t>Data Entry and Analysis Spreadsheets:</t>
  </si>
  <si>
    <t>MODEL: Main data entry and output sheet</t>
  </si>
  <si>
    <t>MEASURED_SOIL_GAS_CONC: Data entry for site specific soil gas concentrations (optional)</t>
  </si>
  <si>
    <t>MULTI_CHEM_OUTPUT: Output from the MULTI_CHEM_INPUT page</t>
  </si>
  <si>
    <t>Converter: Data Entry Tool for Conversion from English to Metric Distance Measurements</t>
  </si>
  <si>
    <t xml:space="preserve">SOIL_DATA: Table of soil properties </t>
  </si>
  <si>
    <t>CHEM_DATA: Table of physchem data</t>
  </si>
  <si>
    <t>BLDG_DATA: Table of Building Properties</t>
  </si>
  <si>
    <t>SOIL_CV_DATA: Table of Coefficients of Variation for Soil Properties</t>
  </si>
  <si>
    <t>BLDG_CV_DATA: Table of Coefficients of Variation for Building Data</t>
  </si>
  <si>
    <t>Reference Sources: Reference List for Default Values, Ranges, and CV values</t>
  </si>
  <si>
    <t>Parameters Summary: Chemical Properties table from EPA RSLs</t>
  </si>
  <si>
    <t>ToxSummary: Toxicity data from EPA RSLs</t>
  </si>
  <si>
    <t>Version Notes: Listing of changes and updates to model</t>
  </si>
  <si>
    <t>Spreadsheet features included in this version</t>
  </si>
  <si>
    <t>1. All the model spreadsheets have been combined into a single interface.</t>
  </si>
  <si>
    <t>3. Incremental risks as well as risk-based screening levels are provided in the output.</t>
  </si>
  <si>
    <t>4. Default parameters updated to address recent research and policy.</t>
  </si>
  <si>
    <t>5. Results based on default parameters are provided for comparison to results based on site-specific parameters.</t>
  </si>
  <si>
    <t>6. The parametric analysis described in Johnson (2002), “Identification of Critical Parameters for the Johnson and Ettinger (1991) Vapor Intrusion Model,” has been incorporated into this spreadsheet.</t>
  </si>
  <si>
    <t>7. Significant changes have been made in this version regarding Qsoil and Qsoil/Qbuilding. Please read the section on Qsoil in the user’s guide.</t>
  </si>
  <si>
    <t>9. Concentration profile. A plot of concentration versus depth is included in the model output.</t>
  </si>
  <si>
    <t>10. The concentrations for multiple chemicals can be input for a specific sample on the Multi_Chem_Input sheet.  All other input parameters must be entered on the Model sheet.</t>
  </si>
  <si>
    <r>
      <t xml:space="preserve">To run this workbook, </t>
    </r>
    <r>
      <rPr>
        <b/>
        <sz val="10"/>
        <color rgb="FFFF0000"/>
        <rFont val="Arial"/>
        <family val="2"/>
      </rPr>
      <t>MACROS MUST BE ENABLED</t>
    </r>
    <r>
      <rPr>
        <sz val="10"/>
        <rFont val="Arial"/>
        <family val="2"/>
      </rPr>
      <t>. If you have had the workbook open for an extended time, you may notice that the macros (resetting to defaults, toggling between scenarios) no longer function. In this case, save your work, close, and reopen the workbook. This is a known issue with Excel.</t>
    </r>
  </si>
  <si>
    <r>
      <t xml:space="preserve">3. The solid-line and bold-line outlined boxes, with yellow fill, are cells for which you </t>
    </r>
    <r>
      <rPr>
        <b/>
        <sz val="10"/>
        <color rgb="FFFF0000"/>
        <rFont val="Arial"/>
        <family val="2"/>
      </rPr>
      <t>must</t>
    </r>
    <r>
      <rPr>
        <sz val="10"/>
        <rFont val="Arial"/>
        <family val="2"/>
      </rPr>
      <t xml:space="preserve"> provide site-specific information. The text entry cells all have drop down lists and are shown in bold-line outlined boxes. The numeric entry cells all allow direct entry of numeric values. If inconsistent values are entered, an error message appears in the “Comment” field of the spreadsheet.</t>
    </r>
  </si>
  <si>
    <r>
      <t xml:space="preserve">Supporting Spreadsheets: These spreadsheets contain the reference information used to populate defaults and ranges on the model tab. </t>
    </r>
    <r>
      <rPr>
        <b/>
        <i/>
        <sz val="10"/>
        <rFont val="Arial"/>
        <family val="2"/>
      </rPr>
      <t>These should not be modified and are locked; if you want to change values, please do this on the model tab.</t>
    </r>
  </si>
  <si>
    <r>
      <t xml:space="preserve">Note: All other inputs </t>
    </r>
    <r>
      <rPr>
        <b/>
        <i/>
        <sz val="11"/>
        <rFont val="Century Gothic"/>
        <family val="2"/>
      </rPr>
      <t>must</t>
    </r>
    <r>
      <rPr>
        <i/>
        <sz val="11"/>
        <rFont val="Century Gothic"/>
        <family val="2"/>
      </rPr>
      <t xml:space="preserve"> be entered in model sheet.  For multi-chemical mode,</t>
    </r>
    <r>
      <rPr>
        <b/>
        <i/>
        <sz val="11"/>
        <rFont val="Century Gothic"/>
        <family val="2"/>
      </rPr>
      <t xml:space="preserve"> all inputs except concentration must be the same for all chemicals</t>
    </r>
    <r>
      <rPr>
        <i/>
        <sz val="11"/>
        <rFont val="Century Gothic"/>
        <family val="2"/>
      </rPr>
      <t>.  Model calculations will be completed and added to MULTI_CHEM_OUTPUT sheet for those chemicals with a concentration entered.</t>
    </r>
  </si>
  <si>
    <t>USEPA, 2004 (residential), DOE 2012 (commercial)</t>
  </si>
  <si>
    <t>mIURTCE_R</t>
  </si>
  <si>
    <t>mIURTCE_C</t>
  </si>
  <si>
    <t>IURTCE_R</t>
  </si>
  <si>
    <t>IURTCE_C</t>
  </si>
  <si>
    <t>Model</t>
  </si>
  <si>
    <t>corrected equations for calculating risk based indoor air levels</t>
  </si>
  <si>
    <t>mIURTCE</t>
  </si>
  <si>
    <r>
      <rPr>
        <b/>
        <sz val="10"/>
        <rFont val="Century Gothic"/>
        <family val="2"/>
      </rPr>
      <t>Range</t>
    </r>
    <r>
      <rPr>
        <sz val="10"/>
        <rFont val="Century Gothic"/>
        <family val="2"/>
      </rPr>
      <t xml:space="preserve"> is based on the reasonable range of Qsoil/Qbuilding values, as reported in the literature.</t>
    </r>
  </si>
  <si>
    <t>Potential Span</t>
  </si>
  <si>
    <t>Example, Run 1</t>
  </si>
  <si>
    <t>Input Min</t>
  </si>
  <si>
    <t>Input Max</t>
  </si>
  <si>
    <t>Default Min</t>
  </si>
  <si>
    <t>Default Max</t>
  </si>
  <si>
    <t>Range Min</t>
  </si>
  <si>
    <t>Range Max</t>
  </si>
  <si>
    <t>Default Range</t>
  </si>
  <si>
    <t>Predicted Vapor Conc. Beneath Foundation</t>
  </si>
  <si>
    <t>HQ</t>
  </si>
  <si>
    <t>Cancer_Risk</t>
  </si>
  <si>
    <t>WATER9 (U.S. EPA, 2001)</t>
  </si>
  <si>
    <t>Ma  et al 2010</t>
  </si>
  <si>
    <t>PHYSPROP VP/S</t>
  </si>
  <si>
    <t>CHR Australia</t>
  </si>
  <si>
    <t xml:space="preserve"> Guelfo and Higgins</t>
  </si>
  <si>
    <t>Model, Multi Chem Input, Multi Chem Output</t>
  </si>
  <si>
    <t>Range Columns</t>
  </si>
  <si>
    <t>Added range functionality</t>
  </si>
  <si>
    <t>ToxSummary, Parameters Summary</t>
  </si>
  <si>
    <t>Updated to match 2017 RSLs</t>
  </si>
  <si>
    <t>Readme</t>
  </si>
  <si>
    <t>Updated with more information</t>
  </si>
  <si>
    <t>2. The top portion of the MODEL sheet contains the input parameters.  User's should enter site specific parameter values whenever possible!</t>
  </si>
  <si>
    <t>7. A preview pane is displayed at the top of the model spreadsheet, with the predicted indoor air concentration and attenuation factors from the user specific parameters and defaults.</t>
  </si>
  <si>
    <t xml:space="preserve">8. The reported ranges, throughout the spreadsheet, are based on minimum and maximum values of Qsoil/Qbuilding, as reported in the literature. </t>
  </si>
  <si>
    <r>
      <t xml:space="preserve">MULTI_CHEM_INPUT: Data entry page for evaluating multiple chemicals at once. </t>
    </r>
    <r>
      <rPr>
        <b/>
        <sz val="10"/>
        <rFont val="Arial"/>
        <family val="2"/>
      </rPr>
      <t>Note that all building and site parameters must first be entered on the main “model” tab</t>
    </r>
    <r>
      <rPr>
        <sz val="10"/>
        <rFont val="Arial"/>
        <family val="2"/>
      </rPr>
      <t>. This sheet is only for entering measured chemical concentrations.</t>
    </r>
  </si>
  <si>
    <t>8. Uncertainty: where available, CVs are reported for default parameters. The spreadsheet also calculates a potential range for attenuation factors, indoor air concentrations, and risk based of the range of Qsoil/Qbuilding values described in the literature.</t>
  </si>
  <si>
    <t>2. Chemical lists and toxicity data were updated to coincide with the May 2017 RSLs.</t>
  </si>
  <si>
    <t>Passwords:</t>
  </si>
  <si>
    <t>To unlock individual worksheets: "J&amp;E"</t>
  </si>
  <si>
    <t>To unlock the macros: "BETA"</t>
  </si>
  <si>
    <r>
      <t>HLC
(atm-m</t>
    </r>
    <r>
      <rPr>
        <b/>
        <vertAlign val="superscript"/>
        <sz val="12"/>
        <color indexed="62"/>
        <rFont val="Arial"/>
        <family val="2"/>
      </rPr>
      <t>3</t>
    </r>
    <r>
      <rPr>
        <b/>
        <sz val="12"/>
        <color indexed="62"/>
        <rFont val="Arial"/>
        <family val="2"/>
      </rPr>
      <t>/mole)</t>
    </r>
  </si>
  <si>
    <r>
      <t>Density
(g/cm</t>
    </r>
    <r>
      <rPr>
        <b/>
        <vertAlign val="superscript"/>
        <sz val="12"/>
        <color indexed="62"/>
        <rFont val="Arial"/>
        <family val="2"/>
      </rPr>
      <t>3</t>
    </r>
    <r>
      <rPr>
        <b/>
        <sz val="12"/>
        <color indexed="62"/>
        <rFont val="Arial"/>
        <family val="2"/>
      </rPr>
      <t>)</t>
    </r>
  </si>
  <si>
    <r>
      <t>Dia
(cm</t>
    </r>
    <r>
      <rPr>
        <b/>
        <vertAlign val="superscript"/>
        <sz val="12"/>
        <color indexed="62"/>
        <rFont val="Arial"/>
        <family val="2"/>
      </rPr>
      <t>2</t>
    </r>
    <r>
      <rPr>
        <b/>
        <sz val="12"/>
        <color indexed="62"/>
        <rFont val="Arial"/>
        <family val="2"/>
      </rPr>
      <t>/s)</t>
    </r>
  </si>
  <si>
    <r>
      <t>Diw
(cm</t>
    </r>
    <r>
      <rPr>
        <b/>
        <vertAlign val="superscript"/>
        <sz val="12"/>
        <color indexed="62"/>
        <rFont val="Arial"/>
        <family val="2"/>
      </rPr>
      <t>2</t>
    </r>
    <r>
      <rPr>
        <b/>
        <sz val="12"/>
        <color indexed="62"/>
        <rFont val="Arial"/>
        <family val="2"/>
      </rPr>
      <t>/s)</t>
    </r>
  </si>
  <si>
    <r>
      <t>D</t>
    </r>
    <r>
      <rPr>
        <b/>
        <vertAlign val="subscript"/>
        <sz val="12"/>
        <color indexed="62"/>
        <rFont val="Arial"/>
        <family val="2"/>
      </rPr>
      <t>ia</t>
    </r>
    <r>
      <rPr>
        <b/>
        <sz val="12"/>
        <color indexed="62"/>
        <rFont val="Arial"/>
        <family val="2"/>
      </rPr>
      <t xml:space="preserve"> and D</t>
    </r>
    <r>
      <rPr>
        <b/>
        <vertAlign val="subscript"/>
        <sz val="12"/>
        <color indexed="62"/>
        <rFont val="Arial"/>
        <family val="2"/>
      </rPr>
      <t>iw</t>
    </r>
    <r>
      <rPr>
        <b/>
        <sz val="12"/>
        <color indexed="62"/>
        <rFont val="Arial"/>
        <family val="2"/>
      </rPr>
      <t xml:space="preserve"> Ref</t>
    </r>
  </si>
  <si>
    <r>
      <t>K</t>
    </r>
    <r>
      <rPr>
        <b/>
        <vertAlign val="subscript"/>
        <sz val="12"/>
        <color indexed="62"/>
        <rFont val="Arial"/>
        <family val="2"/>
      </rPr>
      <t>oc</t>
    </r>
    <r>
      <rPr>
        <b/>
        <sz val="12"/>
        <color indexed="62"/>
        <rFont val="Arial"/>
        <family val="2"/>
      </rPr>
      <t xml:space="preserve">
(L/kg)</t>
    </r>
  </si>
  <si>
    <r>
      <t>K</t>
    </r>
    <r>
      <rPr>
        <b/>
        <vertAlign val="subscript"/>
        <sz val="12"/>
        <color indexed="62"/>
        <rFont val="Arial"/>
        <family val="2"/>
      </rPr>
      <t>oc</t>
    </r>
    <r>
      <rPr>
        <b/>
        <sz val="12"/>
        <color indexed="62"/>
        <rFont val="Arial"/>
        <family val="2"/>
      </rPr>
      <t xml:space="preserve"> Ref</t>
    </r>
  </si>
  <si>
    <r>
      <t>K</t>
    </r>
    <r>
      <rPr>
        <b/>
        <vertAlign val="subscript"/>
        <sz val="12"/>
        <color indexed="62"/>
        <rFont val="Arial"/>
        <family val="2"/>
      </rPr>
      <t>p</t>
    </r>
    <r>
      <rPr>
        <b/>
        <sz val="12"/>
        <color indexed="62"/>
        <rFont val="Arial"/>
        <family val="2"/>
      </rPr>
      <t xml:space="preserve">
(cm/hr)</t>
    </r>
  </si>
  <si>
    <r>
      <t>K</t>
    </r>
    <r>
      <rPr>
        <b/>
        <vertAlign val="subscript"/>
        <sz val="12"/>
        <color indexed="62"/>
        <rFont val="Arial"/>
        <family val="2"/>
      </rPr>
      <t>p</t>
    </r>
    <r>
      <rPr>
        <b/>
        <sz val="12"/>
        <color indexed="62"/>
        <rFont val="Arial"/>
        <family val="2"/>
      </rPr>
      <t xml:space="preserve"> Ref</t>
    </r>
  </si>
  <si>
    <t>Aminophenol, o-</t>
  </si>
  <si>
    <t>95-55-6</t>
  </si>
  <si>
    <t>ChemNet</t>
  </si>
  <si>
    <t>LookChem</t>
  </si>
  <si>
    <t>Butanoic acid, 4-(2,4-dichlorophenoxy)-</t>
  </si>
  <si>
    <t>Chlorobenzene sulfonic acid, p-</t>
  </si>
  <si>
    <t>98-66-8</t>
  </si>
  <si>
    <t>E1790664</t>
  </si>
  <si>
    <t>IRIS Profile</t>
  </si>
  <si>
    <t>E1790660</t>
  </si>
  <si>
    <t>E17136615</t>
  </si>
  <si>
    <t>E1615210</t>
  </si>
  <si>
    <t>Guanidine Nitrate</t>
  </si>
  <si>
    <t>506-93-4</t>
  </si>
  <si>
    <t>Heptane, N-</t>
  </si>
  <si>
    <t>142-82-5</t>
  </si>
  <si>
    <t>E1737665</t>
  </si>
  <si>
    <t>EPA HCD</t>
  </si>
  <si>
    <t>Mercaptobenzothiazole, 2-</t>
  </si>
  <si>
    <t>149-30-4</t>
  </si>
  <si>
    <t>ChemID</t>
  </si>
  <si>
    <t>HSDB</t>
  </si>
  <si>
    <t>ChemicalBook</t>
  </si>
  <si>
    <t>WebBook</t>
  </si>
  <si>
    <t>E715532</t>
  </si>
  <si>
    <t>E701177</t>
  </si>
  <si>
    <t>Perfluorobutane sulfonic acid (PFBS)</t>
  </si>
  <si>
    <t>Perfluorobutanesulfonate</t>
  </si>
  <si>
    <t>45187-15-3</t>
  </si>
  <si>
    <t>EPA SRS</t>
  </si>
  <si>
    <t>Phenol, 2-(1-methylethoxy)-, methylcarbamate</t>
  </si>
  <si>
    <t>Phenyl Isothiocyanate</t>
  </si>
  <si>
    <t>103-72-0</t>
  </si>
  <si>
    <t>Spectrum Chemical</t>
  </si>
  <si>
    <t>~Butyl Benzyl Phthalate</t>
  </si>
  <si>
    <t>l</t>
  </si>
  <si>
    <t>E715557</t>
  </si>
  <si>
    <t>Thallic Oxide</t>
  </si>
  <si>
    <t>1314-32-5</t>
  </si>
  <si>
    <t>Thallium Selenite</t>
  </si>
  <si>
    <t>12039-52-0</t>
  </si>
  <si>
    <t>Toluene-2,4-diisocyanate</t>
  </si>
  <si>
    <t>584-84-9</t>
  </si>
  <si>
    <t>Toluene-2,6-diisocyanate</t>
  </si>
  <si>
    <t>91-08-7</t>
  </si>
  <si>
    <t>Toluidine, o- (Methylaniline, 2-)</t>
  </si>
  <si>
    <t>95-53-4</t>
  </si>
  <si>
    <t>E1790670</t>
  </si>
  <si>
    <t>E1790666</t>
  </si>
  <si>
    <t>SURROGATE</t>
  </si>
  <si>
    <t>E1790668</t>
  </si>
  <si>
    <t>E1790676</t>
  </si>
  <si>
    <t>E1790672</t>
  </si>
  <si>
    <t>E1790674</t>
  </si>
  <si>
    <t>Tribromophenol, 2,4,6-</t>
  </si>
  <si>
    <t>118-79-6</t>
  </si>
  <si>
    <t>E1790678</t>
  </si>
  <si>
    <t>E715565</t>
  </si>
  <si>
    <r>
      <t>SFO
(mg/kg-day)</t>
    </r>
    <r>
      <rPr>
        <b/>
        <vertAlign val="superscript"/>
        <sz val="12"/>
        <rFont val="Arial"/>
        <family val="2"/>
      </rPr>
      <t>-1</t>
    </r>
  </si>
  <si>
    <r>
      <t>IUR
(ug/m</t>
    </r>
    <r>
      <rPr>
        <b/>
        <vertAlign val="superscript"/>
        <sz val="12"/>
        <rFont val="Arial"/>
        <family val="2"/>
      </rPr>
      <t>3</t>
    </r>
    <r>
      <rPr>
        <sz val="12"/>
        <rFont val="Arial"/>
        <family val="2"/>
      </rPr>
      <t>)</t>
    </r>
    <r>
      <rPr>
        <b/>
        <vertAlign val="superscript"/>
        <sz val="12"/>
        <rFont val="Arial"/>
        <family val="2"/>
      </rPr>
      <t>-1</t>
    </r>
  </si>
  <si>
    <r>
      <t>RfD</t>
    </r>
    <r>
      <rPr>
        <b/>
        <vertAlign val="subscript"/>
        <sz val="12"/>
        <rFont val="Arial"/>
        <family val="2"/>
      </rPr>
      <t>o</t>
    </r>
    <r>
      <rPr>
        <sz val="12"/>
        <rFont val="Arial"/>
        <family val="2"/>
      </rPr>
      <t xml:space="preserve">
(mg/kg-day)</t>
    </r>
  </si>
  <si>
    <r>
      <t>RfC</t>
    </r>
    <r>
      <rPr>
        <b/>
        <vertAlign val="subscript"/>
        <sz val="12"/>
        <rFont val="Arial"/>
        <family val="2"/>
      </rPr>
      <t>i</t>
    </r>
    <r>
      <rPr>
        <sz val="12"/>
        <rFont val="Arial"/>
        <family val="2"/>
      </rPr>
      <t xml:space="preserve">
(mg/m</t>
    </r>
    <r>
      <rPr>
        <b/>
        <vertAlign val="superscript"/>
        <sz val="12"/>
        <rFont val="Arial"/>
        <family val="2"/>
      </rPr>
      <t>3</t>
    </r>
    <r>
      <rPr>
        <sz val="12"/>
        <rFont val="Arial"/>
        <family val="2"/>
      </rPr>
      <t>)</t>
    </r>
  </si>
  <si>
    <t>v
o
l</t>
  </si>
  <si>
    <r>
      <t>C</t>
    </r>
    <r>
      <rPr>
        <b/>
        <vertAlign val="subscript"/>
        <sz val="12"/>
        <rFont val="Arial"/>
        <family val="2"/>
      </rPr>
      <t>sat</t>
    </r>
    <r>
      <rPr>
        <sz val="12"/>
        <rFont val="Arial"/>
        <family val="2"/>
      </rPr>
      <t xml:space="preserve">
(mg/kg)</t>
    </r>
  </si>
  <si>
    <r>
      <t>Resident Air
(ug/m</t>
    </r>
    <r>
      <rPr>
        <b/>
        <vertAlign val="superscript"/>
        <sz val="12"/>
        <rFont val="Arial"/>
        <family val="2"/>
      </rPr>
      <t>3</t>
    </r>
    <r>
      <rPr>
        <sz val="12"/>
        <rFont val="Arial"/>
        <family val="2"/>
      </rPr>
      <t>)</t>
    </r>
  </si>
  <si>
    <r>
      <t>Industrial Air
(ug/m</t>
    </r>
    <r>
      <rPr>
        <b/>
        <vertAlign val="superscript"/>
        <sz val="12"/>
        <rFont val="Arial"/>
        <family val="2"/>
      </rPr>
      <t>3</t>
    </r>
    <r>
      <rPr>
        <sz val="12"/>
        <rFont val="Arial"/>
        <family val="2"/>
      </rPr>
      <t>)</t>
    </r>
  </si>
  <si>
    <t>O</t>
  </si>
  <si>
    <t>Questions? Please refer to the EPA VI webpage and the J&amp;E user’s guide, available at https://www.epa.gov/vaporintrusion/epa-spreadsheet-modeling-subsurface-vapor-intrusion</t>
  </si>
  <si>
    <t xml:space="preserve">This spreadsheet is an updated version of the J&amp;E spreadsheet model. </t>
  </si>
  <si>
    <t xml:space="preserve">https://www.epa.gov/vaporintrusion/vapor-intrusion-screening-levels-visls </t>
  </si>
  <si>
    <r>
      <rPr>
        <b/>
        <sz val="10"/>
        <rFont val="Arial"/>
        <family val="2"/>
      </rPr>
      <t>Note</t>
    </r>
    <r>
      <rPr>
        <sz val="10"/>
        <rFont val="Arial"/>
        <family val="2"/>
      </rPr>
      <t>:</t>
    </r>
    <r>
      <rPr>
        <b/>
        <sz val="10"/>
        <color rgb="FFFF0000"/>
        <rFont val="Arial"/>
        <family val="2"/>
      </rPr>
      <t xml:space="preserve"> The J&amp;E model does not replace the EPA VISLs. </t>
    </r>
    <r>
      <rPr>
        <sz val="10"/>
        <rFont val="Arial"/>
        <family val="2"/>
      </rPr>
      <t>For initial site screening, please refer to the VISL spreadsheet tool:</t>
    </r>
  </si>
  <si>
    <r>
      <t>(mg/m</t>
    </r>
    <r>
      <rPr>
        <vertAlign val="superscript"/>
        <sz val="10"/>
        <color indexed="8"/>
        <rFont val="Century Gothic"/>
        <family val="2"/>
      </rPr>
      <t>3</t>
    </r>
    <r>
      <rPr>
        <sz val="10"/>
        <color indexed="8"/>
        <rFont val="Century Gothic"/>
        <family val="2"/>
      </rPr>
      <t>)</t>
    </r>
  </si>
  <si>
    <t>Change Log</t>
  </si>
  <si>
    <t>MODEL</t>
  </si>
  <si>
    <t>Corrected units typo for RfC, fixed HQ calculation</t>
  </si>
  <si>
    <t>Note:</t>
  </si>
  <si>
    <t>Trichloro Ethylene is a special case:</t>
  </si>
  <si>
    <t>mIURTCE_R_GW</t>
  </si>
  <si>
    <t>mIURTCE_C_GW</t>
  </si>
  <si>
    <t>IURTCE_R_GW</t>
  </si>
  <si>
    <t>IURTCE_C_GW</t>
  </si>
  <si>
    <t>Range Columns, Building Parameters</t>
  </si>
  <si>
    <t>Added error handling for function names incompatible with older versions of excel; corrected building property default population for commercial scenario</t>
  </si>
  <si>
    <t>Bug fix to incremental cancer risk</t>
  </si>
  <si>
    <t>G153 - J153</t>
  </si>
  <si>
    <t>Rich Kapuscinski</t>
  </si>
  <si>
    <t xml:space="preserve">703-305-7411 </t>
  </si>
  <si>
    <t>Email: Kapuscinski.Rich@epa.gov</t>
  </si>
  <si>
    <t>Bromo-3-fluorobenzene, 1-</t>
  </si>
  <si>
    <t>Bromo-4-fluorobenzene, 1-</t>
  </si>
  <si>
    <t>Bromopropane, 1-</t>
  </si>
  <si>
    <t>Difluoropropane, 2,2-</t>
  </si>
  <si>
    <t>Diphenyl Ether</t>
  </si>
  <si>
    <t>Heptanal, n-</t>
  </si>
  <si>
    <t>Methyl-2-Pentanol, 4-</t>
  </si>
  <si>
    <t>1073-06-9</t>
  </si>
  <si>
    <t>460-00-4</t>
  </si>
  <si>
    <t>106-94-5</t>
  </si>
  <si>
    <t>420-45-1</t>
  </si>
  <si>
    <t>101-84-8</t>
  </si>
  <si>
    <t>111-71-7</t>
  </si>
  <si>
    <t>108-11-2</t>
  </si>
  <si>
    <t>No MW</t>
  </si>
  <si>
    <t>No S</t>
  </si>
  <si>
    <t>No Hc25</t>
  </si>
  <si>
    <t>No HLC</t>
  </si>
  <si>
    <t>NCBI</t>
  </si>
  <si>
    <t>No Da</t>
  </si>
  <si>
    <t>No Dw</t>
  </si>
  <si>
    <t>No KoC</t>
  </si>
  <si>
    <t>CA</t>
  </si>
  <si>
    <t>see note</t>
  </si>
  <si>
    <t>Mutagen START HERE</t>
  </si>
  <si>
    <t>MODEL, CHEM_DATA</t>
  </si>
  <si>
    <t>Updated chemical list with all volatiles from current RSLs, updated physchem props and tox data to match Fall 2017 RSL tables</t>
  </si>
  <si>
    <t>w</t>
  </si>
  <si>
    <t>Yes</t>
  </si>
  <si>
    <t>ww</t>
  </si>
  <si>
    <t>VC</t>
  </si>
  <si>
    <t>Dichloropropene, cis-1,3-</t>
  </si>
  <si>
    <t>Dichloropropene, trans-1,3-</t>
  </si>
  <si>
    <t>Xylenes, o,p-</t>
  </si>
  <si>
    <t>Xylenes, m,p-</t>
  </si>
  <si>
    <t>10061-01-5</t>
  </si>
  <si>
    <t>10061-02-6</t>
  </si>
  <si>
    <t>179601-23-1</t>
  </si>
  <si>
    <t>136777-61-2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</si>
</sst>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64" formatCode="0.000"/>
    <numFmt numFmtId="165" formatCode="0.0000"/>
    <numFmt numFmtId="166" formatCode="0.0E+00"/>
    <numFmt numFmtId="167" formatCode="0.00000"/>
    <numFmt numFmtId="168" formatCode="0.0"/>
    <numFmt numFmtId="169" formatCode="0E+00"/>
    <numFmt numFmtId="170" formatCode="0.000%"/>
    <numFmt numFmtId="171" formatCode="[$-409]mmm\-yy;@"/>
    <numFmt numFmtId="172" formatCode="0.000000"/>
    <numFmt numFmtId="173" formatCode="0.000000000"/>
    <numFmt numFmtId="174" formatCode="0.000000000000000000"/>
  </numFmts>
  <fonts count="9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MS Sans Serif"/>
      <family val="2"/>
    </font>
    <font>
      <sz val="10"/>
      <name val="Symbol"/>
      <family val="1"/>
      <charset val="2"/>
    </font>
    <font>
      <sz val="10"/>
      <color indexed="8"/>
      <name val="Arial"/>
      <family val="2"/>
    </font>
    <font>
      <b/>
      <sz val="10"/>
      <name val="Arial"/>
      <family val="2"/>
    </font>
    <font>
      <sz val="10"/>
      <name val="Arial"/>
      <family val="2"/>
    </font>
    <font>
      <b/>
      <sz val="10"/>
      <color indexed="8"/>
      <name val="Arial"/>
      <family val="2"/>
    </font>
    <font>
      <b/>
      <sz val="10"/>
      <name val="MS Sans Serif"/>
      <family val="2"/>
    </font>
    <font>
      <b/>
      <sz val="10"/>
      <name val="Symbol"/>
      <family val="1"/>
      <charset val="2"/>
    </font>
    <font>
      <b/>
      <vertAlign val="subscript"/>
      <sz val="10"/>
      <name val="Arial"/>
      <family val="2"/>
    </font>
    <font>
      <b/>
      <vertAlign val="subscript"/>
      <sz val="10"/>
      <name val="MS Sans Serif"/>
      <family val="2"/>
    </font>
    <font>
      <b/>
      <vertAlign val="superscript"/>
      <sz val="10"/>
      <name val="MS Sans Serif"/>
      <family val="2"/>
    </font>
    <font>
      <b/>
      <sz val="14"/>
      <name val="Century Gothic"/>
      <family val="2"/>
    </font>
    <font>
      <b/>
      <sz val="10"/>
      <name val="Century Gothic"/>
      <family val="2"/>
    </font>
    <font>
      <sz val="10"/>
      <name val="Century Gothic"/>
      <family val="2"/>
    </font>
    <font>
      <sz val="12"/>
      <name val="Century Gothic"/>
      <family val="2"/>
    </font>
    <font>
      <b/>
      <sz val="12"/>
      <name val="Century Gothic"/>
      <family val="2"/>
    </font>
    <font>
      <b/>
      <u/>
      <sz val="12"/>
      <name val="Century Gothic"/>
      <family val="2"/>
    </font>
    <font>
      <b/>
      <u/>
      <sz val="14"/>
      <name val="Century Gothic"/>
      <family val="2"/>
    </font>
    <font>
      <sz val="14"/>
      <name val="Century Gothic"/>
      <family val="2"/>
    </font>
    <font>
      <sz val="10"/>
      <color indexed="10"/>
      <name val="Century Gothic"/>
      <family val="2"/>
    </font>
    <font>
      <sz val="10"/>
      <color indexed="8"/>
      <name val="Century Gothic"/>
      <family val="2"/>
    </font>
    <font>
      <vertAlign val="superscript"/>
      <sz val="10"/>
      <name val="Century Gothic"/>
      <family val="2"/>
    </font>
    <font>
      <vertAlign val="superscript"/>
      <sz val="10"/>
      <color indexed="8"/>
      <name val="Century Gothic"/>
      <family val="2"/>
    </font>
    <font>
      <i/>
      <sz val="10"/>
      <name val="Century Gothic"/>
      <family val="2"/>
    </font>
    <font>
      <b/>
      <u/>
      <sz val="10"/>
      <name val="Century Gothic"/>
      <family val="2"/>
    </font>
    <font>
      <b/>
      <sz val="12"/>
      <color indexed="8"/>
      <name val="Century Gothic"/>
      <family val="2"/>
    </font>
    <font>
      <b/>
      <sz val="9"/>
      <name val="Century Gothic"/>
      <family val="2"/>
    </font>
    <font>
      <sz val="8"/>
      <name val="Arial"/>
      <family val="2"/>
    </font>
    <font>
      <vertAlign val="superscript"/>
      <sz val="10"/>
      <name val="Arial"/>
      <family val="2"/>
    </font>
    <font>
      <sz val="10"/>
      <color rgb="FFFF0000"/>
      <name val="Arial"/>
      <family val="2"/>
    </font>
    <font>
      <sz val="9"/>
      <name val="Geneva"/>
    </font>
    <font>
      <sz val="18"/>
      <name val="Century Gothic"/>
      <family val="2"/>
    </font>
    <font>
      <i/>
      <sz val="11"/>
      <name val="Century Gothic"/>
      <family val="2"/>
    </font>
    <font>
      <sz val="10"/>
      <color indexed="81"/>
      <name val="Tahoma"/>
      <family val="2"/>
    </font>
    <font>
      <sz val="14"/>
      <color rgb="FF800000"/>
      <name val="Arial Black"/>
      <family val="2"/>
    </font>
    <font>
      <sz val="12"/>
      <color rgb="FF800000"/>
      <name val="Arial Black"/>
      <family val="2"/>
    </font>
    <font>
      <sz val="11"/>
      <name val="Calibri"/>
      <family val="2"/>
    </font>
    <font>
      <sz val="10"/>
      <color rgb="FF000000"/>
      <name val="Arial"/>
      <family val="2"/>
    </font>
    <font>
      <b/>
      <sz val="10"/>
      <color indexed="8"/>
      <name val="Century Gothic"/>
      <family val="2"/>
    </font>
    <font>
      <sz val="10"/>
      <name val="Arial"/>
      <family val="2"/>
    </font>
    <font>
      <b/>
      <sz val="11"/>
      <name val="Calibri"/>
      <family val="2"/>
    </font>
    <font>
      <b/>
      <vertAlign val="subscript"/>
      <sz val="11"/>
      <name val="Calibri"/>
      <family val="2"/>
    </font>
    <font>
      <sz val="10"/>
      <name val="Calibri"/>
      <family val="2"/>
      <scheme val="minor"/>
    </font>
    <font>
      <sz val="10"/>
      <name val="Calibri"/>
      <family val="2"/>
    </font>
    <font>
      <b/>
      <sz val="16"/>
      <name val="Arial"/>
      <family val="2"/>
    </font>
    <font>
      <sz val="10"/>
      <color rgb="FF151515"/>
      <name val="Arial"/>
      <family val="2"/>
    </font>
    <font>
      <sz val="10"/>
      <name val="Aerial"/>
    </font>
    <font>
      <b/>
      <sz val="16"/>
      <name val="Century Gothic"/>
      <family val="2"/>
    </font>
    <font>
      <b/>
      <sz val="11"/>
      <name val="Century Gothic"/>
      <family val="2"/>
    </font>
    <font>
      <sz val="11"/>
      <color indexed="8"/>
      <name val="Century Gothic"/>
      <family val="2"/>
    </font>
    <font>
      <sz val="11"/>
      <name val="Century Gothic"/>
      <family val="2"/>
    </font>
    <font>
      <sz val="16"/>
      <name val="Arial"/>
      <family val="2"/>
    </font>
    <font>
      <sz val="11"/>
      <name val="Calibri"/>
      <family val="2"/>
      <scheme val="minor"/>
    </font>
    <font>
      <b/>
      <vertAlign val="superscript"/>
      <sz val="10"/>
      <color indexed="8"/>
      <name val="Arial"/>
      <family val="2"/>
    </font>
    <font>
      <vertAlign val="subscript"/>
      <sz val="10"/>
      <color indexed="8"/>
      <name val="Arial"/>
      <family val="2"/>
    </font>
    <font>
      <vertAlign val="superscript"/>
      <sz val="10"/>
      <color indexed="8"/>
      <name val="Arial"/>
      <family val="2"/>
    </font>
    <font>
      <u/>
      <sz val="9"/>
      <color theme="10"/>
      <name val="Arial"/>
      <family val="2"/>
    </font>
    <font>
      <b/>
      <i/>
      <sz val="10"/>
      <name val="Arial"/>
      <family val="2"/>
    </font>
    <font>
      <b/>
      <sz val="12"/>
      <color rgb="FF000000"/>
      <name val="Arial"/>
      <family val="2"/>
    </font>
    <font>
      <sz val="12"/>
      <color rgb="FFFF0000"/>
      <name val="Arial"/>
      <family val="2"/>
    </font>
    <font>
      <b/>
      <sz val="14"/>
      <color rgb="FFCCFFCC"/>
      <name val="Century Gothic"/>
      <family val="2"/>
    </font>
    <font>
      <b/>
      <sz val="14"/>
      <color rgb="FFFF0000"/>
      <name val="Century Gothic"/>
      <family val="2"/>
    </font>
    <font>
      <sz val="8"/>
      <color rgb="FF000000"/>
      <name val="Segoe UI"/>
      <family val="2"/>
    </font>
    <font>
      <b/>
      <sz val="9"/>
      <color rgb="FF000000"/>
      <name val="Arial"/>
      <family val="2"/>
    </font>
    <font>
      <sz val="9"/>
      <color rgb="FF000000"/>
      <name val="Arial"/>
      <family val="2"/>
    </font>
    <font>
      <sz val="10"/>
      <color theme="0"/>
      <name val="Century Gothic"/>
      <family val="2"/>
    </font>
    <font>
      <b/>
      <sz val="12"/>
      <color rgb="FFFF0000"/>
      <name val="Century Gothic"/>
      <family val="2"/>
    </font>
    <font>
      <u/>
      <sz val="10"/>
      <color theme="10"/>
      <name val="Arial"/>
      <family val="2"/>
    </font>
    <font>
      <b/>
      <sz val="10"/>
      <color rgb="FFFF0000"/>
      <name val="Arial"/>
      <family val="2"/>
    </font>
    <font>
      <i/>
      <sz val="10"/>
      <name val="Arial"/>
      <family val="2"/>
    </font>
    <font>
      <b/>
      <sz val="12"/>
      <name val="Arial"/>
      <family val="2"/>
    </font>
    <font>
      <b/>
      <i/>
      <sz val="11"/>
      <name val="Century Gothic"/>
      <family val="2"/>
    </font>
    <font>
      <sz val="12"/>
      <name val="Arial"/>
      <family val="2"/>
    </font>
    <font>
      <sz val="10"/>
      <color theme="1"/>
      <name val="Century Gothic"/>
      <family val="2"/>
    </font>
    <font>
      <u/>
      <sz val="10"/>
      <name val="Arial"/>
      <family val="2"/>
    </font>
    <font>
      <b/>
      <sz val="10"/>
      <color rgb="FFFF0000"/>
      <name val="Century Gothic"/>
      <family val="2"/>
    </font>
    <font>
      <b/>
      <sz val="12"/>
      <color theme="4" tint="-0.249977111117893"/>
      <name val="Arial"/>
      <family val="2"/>
    </font>
    <font>
      <b/>
      <vertAlign val="superscript"/>
      <sz val="12"/>
      <color indexed="62"/>
      <name val="Arial"/>
      <family val="2"/>
    </font>
    <font>
      <b/>
      <sz val="12"/>
      <color indexed="62"/>
      <name val="Arial"/>
      <family val="2"/>
    </font>
    <font>
      <b/>
      <vertAlign val="subscript"/>
      <sz val="12"/>
      <color indexed="62"/>
      <name val="Arial"/>
      <family val="2"/>
    </font>
    <font>
      <sz val="12"/>
      <color indexed="8"/>
      <name val="Arial"/>
      <family val="2"/>
    </font>
    <font>
      <b/>
      <vertAlign val="superscript"/>
      <sz val="12"/>
      <name val="Arial"/>
      <family val="2"/>
    </font>
    <font>
      <b/>
      <vertAlign val="subscript"/>
      <sz val="12"/>
      <name val="Arial"/>
      <family val="2"/>
    </font>
    <font>
      <sz val="10"/>
      <color rgb="FFFF0000"/>
      <name val="Century Gothic"/>
      <family val="2"/>
    </font>
  </fonts>
  <fills count="22">
    <fill>
      <patternFill patternType="none"/>
    </fill>
    <fill>
      <patternFill patternType="gray125"/>
    </fill>
    <fill>
      <patternFill patternType="solid">
        <fgColor indexed="9"/>
        <bgColor indexed="64"/>
      </patternFill>
    </fill>
    <fill>
      <patternFill patternType="solid">
        <fgColor indexed="42"/>
        <bgColor indexed="64"/>
      </patternFill>
    </fill>
    <fill>
      <patternFill patternType="solid">
        <fgColor indexed="43"/>
        <bgColor indexed="64"/>
      </patternFill>
    </fill>
    <fill>
      <patternFill patternType="solid">
        <fgColor rgb="FFCCFF99"/>
        <bgColor indexed="64"/>
      </patternFill>
    </fill>
    <fill>
      <patternFill patternType="solid">
        <fgColor rgb="FFFFFF99"/>
        <bgColor indexed="64"/>
      </patternFill>
    </fill>
    <fill>
      <patternFill patternType="solid">
        <fgColor rgb="FFCCFFFF"/>
        <bgColor indexed="64"/>
      </patternFill>
    </fill>
    <fill>
      <patternFill patternType="solid">
        <fgColor theme="3" tint="0.79998168889431442"/>
        <bgColor indexed="64"/>
      </patternFill>
    </fill>
    <fill>
      <patternFill patternType="solid">
        <fgColor rgb="FFCC99FF"/>
        <bgColor indexed="64"/>
      </patternFill>
    </fill>
    <fill>
      <patternFill patternType="solid">
        <fgColor rgb="FFFFFFFF"/>
        <bgColor indexed="64"/>
      </patternFill>
    </fill>
    <fill>
      <patternFill patternType="solid">
        <fgColor rgb="FFFFCC99"/>
        <bgColor indexed="64"/>
      </patternFill>
    </fill>
    <fill>
      <patternFill patternType="solid">
        <fgColor theme="8" tint="0.59999389629810485"/>
        <bgColor indexed="64"/>
      </patternFill>
    </fill>
    <fill>
      <patternFill patternType="solid">
        <fgColor rgb="FFFF99CC"/>
        <bgColor indexed="64"/>
      </patternFill>
    </fill>
    <fill>
      <patternFill patternType="solid">
        <fgColor rgb="FFCCCCFF"/>
        <bgColor indexed="64"/>
      </patternFill>
    </fill>
    <fill>
      <patternFill patternType="solid">
        <fgColor rgb="FFFF9900"/>
        <bgColor indexed="64"/>
      </patternFill>
    </fill>
    <fill>
      <patternFill patternType="solid">
        <fgColor theme="0" tint="-0.14999847407452621"/>
        <bgColor indexed="64"/>
      </patternFill>
    </fill>
    <fill>
      <patternFill patternType="solid">
        <fgColor rgb="FFCCFFCC"/>
        <bgColor indexed="64"/>
      </patternFill>
    </fill>
    <fill>
      <patternFill patternType="solid">
        <fgColor theme="0"/>
        <bgColor indexed="64"/>
      </patternFill>
    </fill>
    <fill>
      <patternFill patternType="solid">
        <fgColor indexed="65"/>
        <bgColor indexed="64"/>
      </patternFill>
    </fill>
    <fill>
      <patternFill patternType="solid">
        <fgColor rgb="FFFFFFCC"/>
        <bgColor indexed="64"/>
      </patternFill>
    </fill>
    <fill>
      <patternFill patternType="solid">
        <fgColor rgb="FF9966FF"/>
        <bgColor indexed="64"/>
      </patternFill>
    </fill>
  </fills>
  <borders count="6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hair">
        <color indexed="64"/>
      </left>
      <right style="hair">
        <color indexed="64"/>
      </right>
      <top style="hair">
        <color indexed="64"/>
      </top>
      <bottom style="hair">
        <color indexed="64"/>
      </bottom>
      <diagonal/>
    </border>
    <border>
      <left/>
      <right style="thin">
        <color indexed="64"/>
      </right>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hair">
        <color indexed="64"/>
      </right>
      <top/>
      <bottom style="hair">
        <color indexed="64"/>
      </bottom>
      <diagonal/>
    </border>
    <border>
      <left style="hair">
        <color indexed="64"/>
      </left>
      <right/>
      <top/>
      <bottom style="thin">
        <color indexed="64"/>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style="medium">
        <color rgb="FF000000"/>
      </left>
      <right style="medium">
        <color rgb="FF000000"/>
      </right>
      <top style="medium">
        <color rgb="FF000000"/>
      </top>
      <bottom style="medium">
        <color rgb="FF000000"/>
      </bottom>
      <diagonal/>
    </border>
    <border>
      <left/>
      <right/>
      <top/>
      <bottom style="medium">
        <color rgb="FF000000"/>
      </bottom>
      <diagonal/>
    </border>
    <border>
      <left/>
      <right style="medium">
        <color rgb="FF000000"/>
      </right>
      <top style="medium">
        <color rgb="FF000000"/>
      </top>
      <bottom style="medium">
        <color rgb="FF000000"/>
      </bottom>
      <diagonal/>
    </border>
    <border>
      <left/>
      <right style="medium">
        <color rgb="FF000000"/>
      </right>
      <top/>
      <bottom/>
      <diagonal/>
    </border>
    <border>
      <left/>
      <right style="medium">
        <color rgb="FF000000"/>
      </right>
      <top/>
      <bottom style="medium">
        <color rgb="FF000000"/>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theme="0"/>
      </left>
      <right style="thin">
        <color indexed="64"/>
      </right>
      <top style="thin">
        <color theme="0"/>
      </top>
      <bottom style="thin">
        <color theme="0"/>
      </bottom>
      <diagonal/>
    </border>
    <border>
      <left/>
      <right style="thin">
        <color indexed="64"/>
      </right>
      <top/>
      <bottom style="thin">
        <color theme="0"/>
      </bottom>
      <diagonal/>
    </border>
    <border>
      <left/>
      <right style="thin">
        <color indexed="64"/>
      </right>
      <top style="thin">
        <color theme="0"/>
      </top>
      <bottom style="thin">
        <color indexed="64"/>
      </bottom>
      <diagonal/>
    </border>
    <border>
      <left style="thin">
        <color indexed="64"/>
      </left>
      <right style="thin">
        <color theme="0"/>
      </right>
      <top/>
      <bottom style="thin">
        <color theme="0"/>
      </bottom>
      <diagonal/>
    </border>
    <border>
      <left style="thin">
        <color indexed="64"/>
      </left>
      <right style="thin">
        <color theme="0"/>
      </right>
      <top style="thin">
        <color theme="0"/>
      </top>
      <bottom style="thin">
        <color theme="0"/>
      </bottom>
      <diagonal/>
    </border>
    <border>
      <left style="thin">
        <color theme="0"/>
      </left>
      <right style="thin">
        <color indexed="64"/>
      </right>
      <top style="thin">
        <color theme="0"/>
      </top>
      <bottom style="thin">
        <color indexed="64"/>
      </bottom>
      <diagonal/>
    </border>
    <border>
      <left style="thick">
        <color indexed="64"/>
      </left>
      <right style="thick">
        <color indexed="64"/>
      </right>
      <top style="thick">
        <color indexed="64"/>
      </top>
      <bottom style="thick">
        <color indexed="64"/>
      </bottom>
      <diagonal/>
    </border>
    <border>
      <left style="thin">
        <color indexed="64"/>
      </left>
      <right/>
      <top style="thin">
        <color indexed="64"/>
      </top>
      <bottom style="thin">
        <color theme="0" tint="-0.14996795556505021"/>
      </bottom>
      <diagonal/>
    </border>
    <border>
      <left style="thin">
        <color indexed="64"/>
      </left>
      <right/>
      <top style="thin">
        <color theme="0" tint="-0.14996795556505021"/>
      </top>
      <bottom style="thin">
        <color theme="0" tint="-0.14996795556505021"/>
      </bottom>
      <diagonal/>
    </border>
    <border>
      <left style="thin">
        <color indexed="64"/>
      </left>
      <right/>
      <top style="thin">
        <color theme="0" tint="-0.14996795556505021"/>
      </top>
      <bottom style="thin">
        <color indexed="64"/>
      </bottom>
      <diagonal/>
    </border>
    <border>
      <left style="thin">
        <color indexed="64"/>
      </left>
      <right style="thin">
        <color indexed="64"/>
      </right>
      <top style="thin">
        <color indexed="64"/>
      </top>
      <bottom style="thin">
        <color theme="0" tint="-0.14996795556505021"/>
      </bottom>
      <diagonal/>
    </border>
    <border>
      <left style="thin">
        <color indexed="64"/>
      </left>
      <right style="thin">
        <color indexed="64"/>
      </right>
      <top style="thin">
        <color theme="0" tint="-0.14996795556505021"/>
      </top>
      <bottom style="thin">
        <color theme="0" tint="-0.14996795556505021"/>
      </bottom>
      <diagonal/>
    </border>
    <border>
      <left style="thin">
        <color indexed="64"/>
      </left>
      <right style="thin">
        <color indexed="64"/>
      </right>
      <top style="thin">
        <color theme="0" tint="-0.14996795556505021"/>
      </top>
      <bottom style="thin">
        <color indexed="64"/>
      </bottom>
      <diagonal/>
    </border>
    <border>
      <left style="hair">
        <color indexed="64"/>
      </left>
      <right style="hair">
        <color indexed="64"/>
      </right>
      <top style="hair">
        <color indexed="64"/>
      </top>
      <bottom/>
      <diagonal/>
    </border>
    <border>
      <left style="hair">
        <color indexed="64"/>
      </left>
      <right style="hair">
        <color indexed="64"/>
      </right>
      <top/>
      <bottom style="thin">
        <color indexed="64"/>
      </bottom>
      <diagonal/>
    </border>
    <border>
      <left style="medium">
        <color rgb="FF000000"/>
      </left>
      <right/>
      <top/>
      <bottom/>
      <diagonal/>
    </border>
    <border>
      <left style="medium">
        <color rgb="FF000000"/>
      </left>
      <right/>
      <top/>
      <bottom style="medium">
        <color rgb="FF000000"/>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bottom/>
      <diagonal/>
    </border>
    <border>
      <left style="hair">
        <color indexed="64"/>
      </left>
      <right style="hair">
        <color indexed="64"/>
      </right>
      <top style="thick">
        <color indexed="64"/>
      </top>
      <bottom style="hair">
        <color indexed="64"/>
      </bottom>
      <diagonal/>
    </border>
    <border>
      <left style="thin">
        <color indexed="64"/>
      </left>
      <right/>
      <top/>
      <bottom style="thin">
        <color theme="0" tint="-0.14996795556505021"/>
      </bottom>
      <diagonal/>
    </border>
    <border>
      <left style="thin">
        <color indexed="64"/>
      </left>
      <right style="thin">
        <color indexed="64"/>
      </right>
      <top/>
      <bottom style="thin">
        <color theme="0" tint="-0.14996795556505021"/>
      </bottom>
      <diagonal/>
    </border>
    <border>
      <left style="medium">
        <color auto="1"/>
      </left>
      <right style="medium">
        <color auto="1"/>
      </right>
      <top style="medium">
        <color auto="1"/>
      </top>
      <bottom style="medium">
        <color auto="1"/>
      </bottom>
      <diagonal/>
    </border>
    <border>
      <left style="hair">
        <color indexed="64"/>
      </left>
      <right/>
      <top style="hair">
        <color indexed="64"/>
      </top>
      <bottom style="hair">
        <color indexed="64"/>
      </bottom>
      <diagonal/>
    </border>
    <border>
      <left/>
      <right/>
      <top style="hair">
        <color indexed="64"/>
      </top>
      <bottom/>
      <diagonal/>
    </border>
    <border>
      <left/>
      <right style="hair">
        <color indexed="64"/>
      </right>
      <top/>
      <bottom/>
      <diagonal/>
    </border>
    <border>
      <left/>
      <right style="thin">
        <color indexed="64"/>
      </right>
      <top/>
      <bottom style="hair">
        <color indexed="64"/>
      </bottom>
      <diagonal/>
    </border>
    <border>
      <left/>
      <right style="thin">
        <color indexed="64"/>
      </right>
      <top style="hair">
        <color indexed="64"/>
      </top>
      <bottom/>
      <diagonal/>
    </border>
    <border>
      <left style="hair">
        <color indexed="64"/>
      </left>
      <right style="thin">
        <color indexed="64"/>
      </right>
      <top style="hair">
        <color indexed="64"/>
      </top>
      <bottom style="hair">
        <color indexed="64"/>
      </bottom>
      <diagonal/>
    </border>
    <border>
      <left style="thick">
        <color indexed="64"/>
      </left>
      <right style="thick">
        <color indexed="64"/>
      </right>
      <top style="thick">
        <color indexed="64"/>
      </top>
      <bottom/>
      <diagonal/>
    </border>
    <border>
      <left/>
      <right style="hair">
        <color indexed="64"/>
      </right>
      <top/>
      <bottom style="thin">
        <color indexed="64"/>
      </bottom>
      <diagonal/>
    </border>
    <border>
      <left/>
      <right style="medium">
        <color indexed="64"/>
      </right>
      <top/>
      <bottom style="thin">
        <color indexed="64"/>
      </bottom>
      <diagonal/>
    </border>
    <border>
      <left style="medium">
        <color indexed="64"/>
      </left>
      <right/>
      <top/>
      <bottom style="thin">
        <color indexed="64"/>
      </bottom>
      <diagonal/>
    </border>
    <border>
      <left/>
      <right style="thin">
        <color indexed="64"/>
      </right>
      <top style="medium">
        <color indexed="64"/>
      </top>
      <bottom/>
      <diagonal/>
    </border>
    <border>
      <left style="dotted">
        <color indexed="64"/>
      </left>
      <right/>
      <top/>
      <bottom/>
      <diagonal/>
    </border>
    <border>
      <left style="dotted">
        <color indexed="64"/>
      </left>
      <right/>
      <top style="dotted">
        <color indexed="64"/>
      </top>
      <bottom style="dotted">
        <color indexed="64"/>
      </bottom>
      <diagonal/>
    </border>
  </borders>
  <cellStyleXfs count="10">
    <xf numFmtId="0" fontId="0" fillId="0" borderId="0"/>
    <xf numFmtId="0" fontId="11" fillId="0" borderId="0"/>
    <xf numFmtId="0" fontId="5" fillId="0" borderId="0"/>
    <xf numFmtId="0" fontId="11" fillId="0" borderId="0"/>
    <xf numFmtId="0" fontId="4" fillId="0" borderId="0"/>
    <xf numFmtId="0" fontId="11" fillId="0" borderId="0"/>
    <xf numFmtId="0" fontId="3" fillId="0" borderId="0"/>
    <xf numFmtId="9" fontId="46" fillId="0" borderId="0" applyFont="0" applyFill="0" applyBorder="0" applyAlignment="0" applyProtection="0"/>
    <xf numFmtId="0" fontId="37" fillId="0" borderId="0"/>
    <xf numFmtId="0" fontId="63" fillId="0" borderId="0" applyNumberFormat="0" applyFill="0" applyBorder="0" applyAlignment="0" applyProtection="0">
      <alignment vertical="top"/>
      <protection locked="0"/>
    </xf>
  </cellStyleXfs>
  <cellXfs count="979">
    <xf numFmtId="0" fontId="0" fillId="0" borderId="0" xfId="0"/>
    <xf numFmtId="0" fontId="0" fillId="0" borderId="0" xfId="0" applyAlignment="1">
      <alignment horizontal="left"/>
    </xf>
    <xf numFmtId="0" fontId="0" fillId="0" borderId="0" xfId="0" applyBorder="1" applyAlignment="1">
      <alignment horizontal="center"/>
    </xf>
    <xf numFmtId="0" fontId="0" fillId="0" borderId="0" xfId="0" applyAlignment="1">
      <alignment horizontal="center"/>
    </xf>
    <xf numFmtId="0" fontId="10" fillId="0" borderId="0" xfId="0" applyFont="1"/>
    <xf numFmtId="0" fontId="11" fillId="2" borderId="0" xfId="0" applyFont="1" applyFill="1" applyBorder="1" applyAlignment="1">
      <alignment vertical="center"/>
    </xf>
    <xf numFmtId="0" fontId="11" fillId="2" borderId="0" xfId="0" applyFont="1" applyFill="1" applyBorder="1" applyAlignment="1">
      <alignment horizontal="center" vertical="center"/>
    </xf>
    <xf numFmtId="0" fontId="11" fillId="2" borderId="0" xfId="0" applyFont="1" applyFill="1" applyBorder="1" applyAlignment="1">
      <alignment horizontal="left" vertical="center"/>
    </xf>
    <xf numFmtId="0" fontId="9" fillId="2" borderId="0" xfId="0" applyNumberFormat="1" applyFont="1" applyFill="1" applyBorder="1" applyAlignment="1">
      <alignment horizontal="center" vertical="center"/>
    </xf>
    <xf numFmtId="0" fontId="0" fillId="2" borderId="0" xfId="0" applyFill="1" applyAlignment="1">
      <alignment horizontal="left"/>
    </xf>
    <xf numFmtId="0" fontId="0" fillId="2" borderId="0" xfId="0" applyFill="1"/>
    <xf numFmtId="0" fontId="10" fillId="2" borderId="0" xfId="0" applyFont="1" applyFill="1" applyBorder="1" applyAlignment="1">
      <alignment horizontal="left"/>
    </xf>
    <xf numFmtId="0" fontId="7" fillId="2" borderId="11" xfId="0" applyFont="1" applyFill="1" applyBorder="1" applyProtection="1"/>
    <xf numFmtId="2" fontId="7" fillId="2" borderId="0" xfId="0" applyNumberFormat="1" applyFont="1" applyFill="1" applyBorder="1" applyAlignment="1" applyProtection="1">
      <alignment horizontal="left"/>
    </xf>
    <xf numFmtId="0" fontId="7" fillId="2" borderId="12" xfId="0" applyFont="1" applyFill="1" applyBorder="1" applyProtection="1"/>
    <xf numFmtId="2" fontId="7" fillId="2" borderId="13" xfId="0" applyNumberFormat="1" applyFont="1" applyFill="1" applyBorder="1" applyAlignment="1" applyProtection="1">
      <alignment horizontal="left"/>
    </xf>
    <xf numFmtId="0" fontId="6" fillId="2" borderId="0" xfId="0" applyFont="1" applyFill="1" applyBorder="1" applyAlignment="1">
      <alignment horizontal="center"/>
    </xf>
    <xf numFmtId="0" fontId="13" fillId="2" borderId="0" xfId="0" applyFont="1" applyFill="1" applyBorder="1" applyAlignment="1" applyProtection="1">
      <alignment horizontal="center"/>
    </xf>
    <xf numFmtId="164" fontId="14" fillId="2" borderId="0" xfId="0" applyNumberFormat="1" applyFont="1" applyFill="1" applyBorder="1" applyAlignment="1" applyProtection="1">
      <alignment horizontal="center"/>
    </xf>
    <xf numFmtId="2" fontId="13" fillId="2" borderId="0" xfId="0" applyNumberFormat="1" applyFont="1" applyFill="1" applyBorder="1" applyAlignment="1" applyProtection="1">
      <alignment horizontal="center"/>
    </xf>
    <xf numFmtId="2" fontId="14" fillId="2" borderId="0" xfId="0" applyNumberFormat="1" applyFont="1" applyFill="1" applyBorder="1" applyAlignment="1" applyProtection="1">
      <alignment horizontal="center"/>
    </xf>
    <xf numFmtId="0" fontId="18" fillId="2" borderId="0" xfId="0" applyFont="1" applyFill="1" applyBorder="1" applyAlignment="1" applyProtection="1">
      <alignment horizontal="left" vertical="center"/>
    </xf>
    <xf numFmtId="0" fontId="19" fillId="2" borderId="0" xfId="0" applyFont="1" applyFill="1" applyAlignment="1" applyProtection="1">
      <alignment horizontal="left" vertical="center"/>
    </xf>
    <xf numFmtId="0" fontId="19" fillId="2" borderId="0" xfId="0" applyFont="1" applyFill="1" applyAlignment="1" applyProtection="1">
      <alignment horizontal="center" vertical="center"/>
    </xf>
    <xf numFmtId="0" fontId="20" fillId="2" borderId="0" xfId="0" applyFont="1" applyFill="1" applyAlignment="1" applyProtection="1">
      <alignment horizontal="center" vertical="center"/>
    </xf>
    <xf numFmtId="0" fontId="20" fillId="2" borderId="0" xfId="0" applyFont="1" applyFill="1" applyAlignment="1" applyProtection="1">
      <alignment horizontal="left"/>
    </xf>
    <xf numFmtId="0" fontId="20" fillId="2" borderId="0" xfId="0" applyFont="1" applyFill="1" applyBorder="1" applyAlignment="1" applyProtection="1">
      <alignment horizontal="center" vertical="center"/>
    </xf>
    <xf numFmtId="0" fontId="20" fillId="2" borderId="0" xfId="0" applyFont="1" applyFill="1" applyProtection="1"/>
    <xf numFmtId="0" fontId="20" fillId="0" borderId="0" xfId="0" applyFont="1" applyProtection="1"/>
    <xf numFmtId="0" fontId="20" fillId="2" borderId="0" xfId="0" applyFont="1" applyFill="1" applyAlignment="1" applyProtection="1">
      <alignment vertical="center"/>
    </xf>
    <xf numFmtId="0" fontId="21" fillId="0" borderId="0" xfId="0" applyFont="1" applyFill="1" applyAlignment="1" applyProtection="1">
      <alignment vertical="center"/>
    </xf>
    <xf numFmtId="0" fontId="22" fillId="2" borderId="0" xfId="0" applyFont="1" applyFill="1" applyAlignment="1" applyProtection="1">
      <alignment vertical="center"/>
    </xf>
    <xf numFmtId="0" fontId="21" fillId="2" borderId="0" xfId="0" applyFont="1" applyFill="1" applyAlignment="1" applyProtection="1">
      <alignment vertical="center"/>
    </xf>
    <xf numFmtId="0" fontId="21" fillId="2" borderId="0" xfId="0" applyFont="1" applyFill="1" applyAlignment="1" applyProtection="1">
      <alignment horizontal="center" vertical="center"/>
    </xf>
    <xf numFmtId="0" fontId="20" fillId="0" borderId="0" xfId="0" applyFont="1" applyFill="1" applyAlignment="1" applyProtection="1">
      <alignment vertical="center"/>
    </xf>
    <xf numFmtId="0" fontId="20" fillId="2" borderId="0" xfId="0" applyFont="1" applyFill="1" applyAlignment="1" applyProtection="1">
      <alignment horizontal="left" vertical="center"/>
    </xf>
    <xf numFmtId="0" fontId="20" fillId="2" borderId="0" xfId="0" applyFont="1" applyFill="1" applyBorder="1" applyAlignment="1" applyProtection="1">
      <alignment vertical="center"/>
    </xf>
    <xf numFmtId="0" fontId="25" fillId="3" borderId="9" xfId="0" applyFont="1" applyFill="1" applyBorder="1" applyAlignment="1" applyProtection="1">
      <alignment horizontal="left" vertical="center"/>
    </xf>
    <xf numFmtId="0" fontId="20" fillId="0" borderId="0" xfId="0" applyFont="1" applyFill="1" applyBorder="1" applyAlignment="1" applyProtection="1">
      <alignment vertical="center"/>
    </xf>
    <xf numFmtId="0" fontId="24" fillId="3" borderId="8" xfId="0" applyFont="1" applyFill="1" applyBorder="1" applyAlignment="1" applyProtection="1">
      <alignment vertical="center"/>
    </xf>
    <xf numFmtId="0" fontId="20" fillId="3" borderId="9" xfId="0" applyFont="1" applyFill="1" applyBorder="1" applyAlignment="1" applyProtection="1">
      <alignment vertical="center"/>
    </xf>
    <xf numFmtId="0" fontId="23" fillId="2" borderId="11" xfId="0" applyFont="1" applyFill="1" applyBorder="1" applyAlignment="1" applyProtection="1">
      <alignment horizontal="left" vertical="center"/>
    </xf>
    <xf numFmtId="0" fontId="26" fillId="2" borderId="0" xfId="0" applyFont="1" applyFill="1" applyBorder="1" applyAlignment="1" applyProtection="1">
      <alignment horizontal="center" vertical="center"/>
    </xf>
    <xf numFmtId="0" fontId="26" fillId="2" borderId="17" xfId="0" applyFont="1" applyFill="1" applyBorder="1" applyAlignment="1" applyProtection="1">
      <alignment vertical="center"/>
    </xf>
    <xf numFmtId="0" fontId="20" fillId="2" borderId="11" xfId="0" applyFont="1" applyFill="1" applyBorder="1" applyAlignment="1" applyProtection="1">
      <alignment horizontal="left" vertical="center"/>
    </xf>
    <xf numFmtId="0" fontId="20" fillId="2" borderId="11" xfId="0" applyFont="1" applyFill="1" applyBorder="1" applyAlignment="1" applyProtection="1">
      <alignment vertical="center"/>
    </xf>
    <xf numFmtId="11" fontId="27" fillId="2" borderId="0" xfId="0" applyNumberFormat="1" applyFont="1" applyFill="1" applyBorder="1" applyAlignment="1" applyProtection="1">
      <alignment horizontal="center" vertical="center" wrapText="1"/>
    </xf>
    <xf numFmtId="0" fontId="19" fillId="2" borderId="11" xfId="0" applyFont="1" applyFill="1" applyBorder="1" applyAlignment="1" applyProtection="1">
      <alignment horizontal="left" vertical="center"/>
    </xf>
    <xf numFmtId="0" fontId="20" fillId="2" borderId="0" xfId="0" applyFont="1" applyFill="1" applyBorder="1" applyProtection="1"/>
    <xf numFmtId="11" fontId="27" fillId="2" borderId="0" xfId="0" applyNumberFormat="1" applyFont="1" applyFill="1" applyBorder="1" applyAlignment="1" applyProtection="1">
      <alignment horizontal="center" vertical="center"/>
    </xf>
    <xf numFmtId="0" fontId="26" fillId="2" borderId="0" xfId="0" applyFont="1" applyFill="1" applyBorder="1" applyAlignment="1" applyProtection="1">
      <alignment vertical="center"/>
    </xf>
    <xf numFmtId="0" fontId="19" fillId="2" borderId="0" xfId="0" applyFont="1" applyFill="1" applyBorder="1" applyAlignment="1" applyProtection="1">
      <alignment vertical="center"/>
    </xf>
    <xf numFmtId="1" fontId="20" fillId="2" borderId="0" xfId="0" applyNumberFormat="1" applyFont="1" applyFill="1" applyBorder="1" applyAlignment="1" applyProtection="1">
      <alignment horizontal="center" vertical="center" wrapText="1"/>
    </xf>
    <xf numFmtId="0" fontId="26" fillId="2" borderId="0" xfId="0" applyNumberFormat="1" applyFont="1" applyFill="1" applyBorder="1" applyAlignment="1" applyProtection="1">
      <alignment horizontal="center" vertical="center" wrapText="1"/>
    </xf>
    <xf numFmtId="0" fontId="22" fillId="2" borderId="11" xfId="0" applyFont="1" applyFill="1" applyBorder="1" applyAlignment="1" applyProtection="1">
      <alignment horizontal="left" vertical="center"/>
    </xf>
    <xf numFmtId="0" fontId="24" fillId="3" borderId="11" xfId="0" applyFont="1" applyFill="1" applyBorder="1" applyAlignment="1" applyProtection="1">
      <alignment horizontal="left" vertical="center"/>
    </xf>
    <xf numFmtId="0" fontId="20" fillId="3" borderId="0" xfId="0" applyFont="1" applyFill="1" applyBorder="1" applyAlignment="1" applyProtection="1">
      <alignment horizontal="left" vertical="center"/>
    </xf>
    <xf numFmtId="11" fontId="27" fillId="3" borderId="0" xfId="0" applyNumberFormat="1" applyFont="1" applyFill="1" applyBorder="1" applyAlignment="1" applyProtection="1">
      <alignment horizontal="center" vertical="center"/>
    </xf>
    <xf numFmtId="0" fontId="27" fillId="3" borderId="0" xfId="0" applyNumberFormat="1" applyFont="1" applyFill="1" applyBorder="1" applyAlignment="1" applyProtection="1">
      <alignment horizontal="center" vertical="center" wrapText="1"/>
    </xf>
    <xf numFmtId="0" fontId="20" fillId="3" borderId="17" xfId="0" applyFont="1" applyFill="1" applyBorder="1" applyAlignment="1" applyProtection="1">
      <alignment vertical="center"/>
    </xf>
    <xf numFmtId="164" fontId="20" fillId="2" borderId="0" xfId="0" applyNumberFormat="1" applyFont="1" applyFill="1" applyBorder="1" applyAlignment="1" applyProtection="1">
      <alignment horizontal="center" vertical="center" shrinkToFit="1"/>
    </xf>
    <xf numFmtId="0" fontId="22" fillId="2" borderId="12" xfId="0" applyFont="1" applyFill="1" applyBorder="1" applyAlignment="1" applyProtection="1">
      <alignment horizontal="left" vertical="center"/>
    </xf>
    <xf numFmtId="0" fontId="26" fillId="2" borderId="19" xfId="0" applyFont="1" applyFill="1" applyBorder="1" applyAlignment="1" applyProtection="1">
      <alignment vertical="center"/>
    </xf>
    <xf numFmtId="0" fontId="24" fillId="3" borderId="11" xfId="0" applyFont="1" applyFill="1" applyBorder="1" applyAlignment="1" applyProtection="1">
      <alignment vertical="center"/>
    </xf>
    <xf numFmtId="0" fontId="20" fillId="3" borderId="0" xfId="0" applyFont="1" applyFill="1" applyBorder="1" applyAlignment="1" applyProtection="1">
      <alignment vertical="center"/>
    </xf>
    <xf numFmtId="0" fontId="20" fillId="3" borderId="0" xfId="0" applyFont="1" applyFill="1" applyBorder="1" applyAlignment="1" applyProtection="1">
      <alignment horizontal="center" vertical="center"/>
    </xf>
    <xf numFmtId="2" fontId="20" fillId="3" borderId="17" xfId="0" applyNumberFormat="1" applyFont="1" applyFill="1" applyBorder="1" applyAlignment="1" applyProtection="1">
      <alignment horizontal="center" vertical="center" wrapText="1"/>
    </xf>
    <xf numFmtId="2" fontId="20" fillId="2" borderId="0" xfId="0" applyNumberFormat="1" applyFont="1" applyFill="1" applyBorder="1" applyAlignment="1" applyProtection="1">
      <alignment horizontal="center" vertical="center" wrapText="1"/>
    </xf>
    <xf numFmtId="11" fontId="27" fillId="2" borderId="0" xfId="0" applyNumberFormat="1" applyFont="1" applyFill="1" applyBorder="1" applyAlignment="1" applyProtection="1">
      <alignment horizontal="left" vertical="center"/>
    </xf>
    <xf numFmtId="0" fontId="19" fillId="2" borderId="12" xfId="0" applyFont="1" applyFill="1" applyBorder="1" applyAlignment="1" applyProtection="1">
      <alignment horizontal="left" vertical="center"/>
    </xf>
    <xf numFmtId="11" fontId="27" fillId="2" borderId="13" xfId="0" applyNumberFormat="1" applyFont="1" applyFill="1" applyBorder="1" applyAlignment="1" applyProtection="1">
      <alignment horizontal="left" vertical="center"/>
    </xf>
    <xf numFmtId="0" fontId="26" fillId="2" borderId="13" xfId="0" applyFont="1" applyFill="1" applyBorder="1" applyAlignment="1" applyProtection="1">
      <alignment vertical="center"/>
    </xf>
    <xf numFmtId="0" fontId="20" fillId="3" borderId="9" xfId="0" applyFont="1" applyFill="1" applyBorder="1" applyAlignment="1" applyProtection="1">
      <alignment horizontal="left" vertical="center"/>
    </xf>
    <xf numFmtId="0" fontId="20" fillId="2" borderId="12" xfId="0" applyFont="1" applyFill="1" applyBorder="1" applyAlignment="1" applyProtection="1">
      <alignment vertical="center"/>
    </xf>
    <xf numFmtId="0" fontId="20" fillId="2" borderId="13" xfId="0" applyFont="1" applyFill="1" applyBorder="1" applyAlignment="1" applyProtection="1">
      <alignment vertical="center"/>
    </xf>
    <xf numFmtId="165" fontId="20" fillId="2" borderId="0" xfId="0" applyNumberFormat="1" applyFont="1" applyFill="1" applyBorder="1" applyAlignment="1" applyProtection="1">
      <alignment horizontal="center" vertical="center"/>
    </xf>
    <xf numFmtId="0" fontId="20" fillId="2" borderId="13" xfId="0" applyFont="1" applyFill="1" applyBorder="1" applyAlignment="1" applyProtection="1">
      <alignment horizontal="center" vertical="center"/>
    </xf>
    <xf numFmtId="0" fontId="20" fillId="3" borderId="0" xfId="0" applyFont="1" applyFill="1" applyBorder="1" applyProtection="1"/>
    <xf numFmtId="0" fontId="20" fillId="3" borderId="0" xfId="0" applyFont="1" applyFill="1" applyBorder="1" applyAlignment="1" applyProtection="1">
      <alignment horizontal="center"/>
    </xf>
    <xf numFmtId="0" fontId="30" fillId="2" borderId="13" xfId="0" applyFont="1" applyFill="1" applyBorder="1" applyAlignment="1" applyProtection="1">
      <alignment vertical="center"/>
    </xf>
    <xf numFmtId="2" fontId="20" fillId="2" borderId="13" xfId="0" applyNumberFormat="1" applyFont="1" applyFill="1" applyBorder="1" applyAlignment="1" applyProtection="1">
      <alignment horizontal="center" vertical="center" wrapText="1"/>
    </xf>
    <xf numFmtId="11" fontId="20" fillId="2" borderId="0" xfId="0" applyNumberFormat="1" applyFont="1" applyFill="1" applyBorder="1" applyAlignment="1" applyProtection="1">
      <alignment horizontal="center" vertical="center" wrapText="1"/>
    </xf>
    <xf numFmtId="164" fontId="20" fillId="2" borderId="0" xfId="0" applyNumberFormat="1" applyFont="1" applyFill="1" applyBorder="1" applyAlignment="1" applyProtection="1">
      <alignment horizontal="center" vertical="center" wrapText="1"/>
    </xf>
    <xf numFmtId="0" fontId="31" fillId="3" borderId="11" xfId="0" applyFont="1" applyFill="1" applyBorder="1" applyAlignment="1" applyProtection="1">
      <alignment vertical="center"/>
    </xf>
    <xf numFmtId="0" fontId="20" fillId="2" borderId="11" xfId="0" applyFont="1" applyFill="1" applyBorder="1" applyAlignment="1" applyProtection="1">
      <alignment horizontal="center" vertical="center"/>
    </xf>
    <xf numFmtId="11" fontId="20" fillId="2" borderId="0" xfId="0" applyNumberFormat="1" applyFont="1" applyFill="1" applyBorder="1" applyAlignment="1" applyProtection="1">
      <alignment vertical="center"/>
    </xf>
    <xf numFmtId="0" fontId="27" fillId="2" borderId="0" xfId="0" applyFont="1" applyFill="1" applyBorder="1" applyAlignment="1" applyProtection="1">
      <alignment horizontal="center" vertical="center"/>
    </xf>
    <xf numFmtId="0" fontId="18" fillId="3" borderId="14" xfId="0" applyFont="1" applyFill="1" applyBorder="1" applyAlignment="1" applyProtection="1">
      <alignment vertical="center"/>
    </xf>
    <xf numFmtId="0" fontId="20" fillId="3" borderId="15" xfId="0" applyFont="1" applyFill="1" applyBorder="1" applyAlignment="1" applyProtection="1">
      <alignment vertical="center"/>
    </xf>
    <xf numFmtId="0" fontId="19" fillId="2" borderId="13" xfId="0" applyFont="1" applyFill="1" applyBorder="1" applyAlignment="1" applyProtection="1">
      <alignment horizontal="left" vertical="center"/>
    </xf>
    <xf numFmtId="0" fontId="20" fillId="2" borderId="13" xfId="0" applyFont="1" applyFill="1" applyBorder="1" applyAlignment="1" applyProtection="1">
      <alignment horizontal="left" vertical="center"/>
    </xf>
    <xf numFmtId="164" fontId="20" fillId="2" borderId="13" xfId="0" applyNumberFormat="1" applyFont="1" applyFill="1" applyBorder="1" applyAlignment="1" applyProtection="1">
      <alignment horizontal="center" vertical="center" wrapText="1"/>
    </xf>
    <xf numFmtId="11" fontId="27" fillId="3" borderId="0" xfId="0" applyNumberFormat="1" applyFont="1" applyFill="1" applyBorder="1" applyAlignment="1" applyProtection="1">
      <alignment horizontal="center" vertical="center" wrapText="1"/>
    </xf>
    <xf numFmtId="0" fontId="27" fillId="2" borderId="0" xfId="0" applyNumberFormat="1" applyFont="1" applyFill="1" applyBorder="1" applyAlignment="1" applyProtection="1">
      <alignment horizontal="center" vertical="center"/>
    </xf>
    <xf numFmtId="0" fontId="20" fillId="0" borderId="0" xfId="0" applyFont="1" applyAlignment="1" applyProtection="1">
      <alignment horizontal="center"/>
    </xf>
    <xf numFmtId="0" fontId="20" fillId="0" borderId="0" xfId="0" applyFont="1" applyFill="1" applyProtection="1"/>
    <xf numFmtId="0" fontId="20" fillId="0" borderId="0" xfId="0" applyFont="1" applyAlignment="1" applyProtection="1">
      <alignment vertical="center"/>
    </xf>
    <xf numFmtId="0" fontId="20" fillId="0" borderId="0" xfId="0" applyFont="1" applyFill="1" applyAlignment="1" applyProtection="1">
      <alignment horizontal="center" vertical="center"/>
    </xf>
    <xf numFmtId="0" fontId="22" fillId="2" borderId="0" xfId="0" applyFont="1" applyFill="1" applyBorder="1" applyAlignment="1" applyProtection="1">
      <alignment horizontal="left" vertical="center"/>
    </xf>
    <xf numFmtId="0" fontId="22" fillId="2" borderId="0" xfId="0" applyFont="1" applyFill="1" applyBorder="1" applyAlignment="1" applyProtection="1">
      <alignment vertical="center"/>
    </xf>
    <xf numFmtId="0" fontId="21" fillId="2" borderId="0" xfId="0" applyFont="1" applyFill="1" applyBorder="1" applyAlignment="1" applyProtection="1">
      <alignment horizontal="left" vertical="center"/>
    </xf>
    <xf numFmtId="0" fontId="21" fillId="2" borderId="11" xfId="0" applyFont="1" applyFill="1" applyBorder="1" applyAlignment="1" applyProtection="1">
      <alignment horizontal="left" vertical="center"/>
    </xf>
    <xf numFmtId="0" fontId="21" fillId="2" borderId="0" xfId="0" applyFont="1" applyFill="1" applyBorder="1" applyAlignment="1" applyProtection="1">
      <alignment vertical="center"/>
    </xf>
    <xf numFmtId="0" fontId="21" fillId="2" borderId="11" xfId="0" applyFont="1" applyFill="1" applyBorder="1" applyAlignment="1" applyProtection="1">
      <alignment vertical="center"/>
    </xf>
    <xf numFmtId="0" fontId="19" fillId="2" borderId="0" xfId="0" applyFont="1" applyFill="1" applyBorder="1" applyAlignment="1" applyProtection="1">
      <alignment horizontal="center" vertical="center"/>
    </xf>
    <xf numFmtId="0" fontId="22" fillId="2" borderId="0" xfId="0" applyFont="1" applyFill="1" applyBorder="1" applyAlignment="1" applyProtection="1">
      <alignment horizontal="center" vertical="center"/>
    </xf>
    <xf numFmtId="11" fontId="32" fillId="2" borderId="0" xfId="0" applyNumberFormat="1" applyFont="1" applyFill="1" applyBorder="1" applyAlignment="1" applyProtection="1">
      <alignment horizontal="center" vertical="center" wrapText="1"/>
    </xf>
    <xf numFmtId="3" fontId="22" fillId="2" borderId="0" xfId="0" applyNumberFormat="1" applyFont="1" applyFill="1" applyBorder="1" applyAlignment="1" applyProtection="1">
      <alignment horizontal="center" vertical="center"/>
    </xf>
    <xf numFmtId="0" fontId="33" fillId="2" borderId="0" xfId="0" applyFont="1" applyFill="1" applyBorder="1" applyAlignment="1" applyProtection="1">
      <alignment vertical="center"/>
    </xf>
    <xf numFmtId="0" fontId="6" fillId="2" borderId="11" xfId="0" applyFont="1" applyFill="1" applyBorder="1"/>
    <xf numFmtId="0" fontId="6" fillId="2" borderId="0" xfId="0" applyFont="1" applyFill="1" applyBorder="1"/>
    <xf numFmtId="0" fontId="13" fillId="2" borderId="12" xfId="0" applyFont="1" applyFill="1" applyBorder="1" applyProtection="1"/>
    <xf numFmtId="0" fontId="13" fillId="2" borderId="13" xfId="0" applyFont="1" applyFill="1" applyBorder="1" applyAlignment="1" applyProtection="1">
      <alignment horizontal="left"/>
    </xf>
    <xf numFmtId="2" fontId="13" fillId="2" borderId="13" xfId="0" applyNumberFormat="1" applyFont="1" applyFill="1" applyBorder="1" applyAlignment="1" applyProtection="1">
      <alignment horizontal="center"/>
    </xf>
    <xf numFmtId="0" fontId="13" fillId="2" borderId="13" xfId="0" applyFont="1" applyFill="1" applyBorder="1" applyAlignment="1" applyProtection="1">
      <alignment horizontal="center"/>
    </xf>
    <xf numFmtId="164" fontId="13" fillId="2" borderId="13" xfId="0" applyNumberFormat="1" applyFont="1" applyFill="1" applyBorder="1" applyAlignment="1" applyProtection="1">
      <alignment horizontal="center"/>
    </xf>
    <xf numFmtId="164" fontId="7" fillId="2" borderId="0" xfId="0" applyNumberFormat="1" applyFont="1" applyFill="1" applyBorder="1" applyAlignment="1" applyProtection="1">
      <alignment horizontal="center"/>
    </xf>
    <xf numFmtId="0" fontId="7" fillId="2" borderId="0" xfId="0" applyFont="1" applyFill="1" applyBorder="1" applyAlignment="1" applyProtection="1">
      <alignment horizontal="center"/>
    </xf>
    <xf numFmtId="2" fontId="7" fillId="2" borderId="0" xfId="0" applyNumberFormat="1" applyFont="1" applyFill="1" applyBorder="1" applyAlignment="1" applyProtection="1">
      <alignment horizontal="center"/>
    </xf>
    <xf numFmtId="167" fontId="7" fillId="2" borderId="0" xfId="0" applyNumberFormat="1" applyFont="1" applyFill="1" applyBorder="1" applyAlignment="1" applyProtection="1">
      <alignment horizontal="center"/>
    </xf>
    <xf numFmtId="165" fontId="7" fillId="2" borderId="0" xfId="0" applyNumberFormat="1" applyFont="1" applyFill="1" applyBorder="1" applyAlignment="1" applyProtection="1">
      <alignment horizontal="center"/>
    </xf>
    <xf numFmtId="164" fontId="7" fillId="2" borderId="13" xfId="0" applyNumberFormat="1" applyFont="1" applyFill="1" applyBorder="1" applyAlignment="1" applyProtection="1">
      <alignment horizontal="center"/>
    </xf>
    <xf numFmtId="0" fontId="7" fillId="2" borderId="13" xfId="0" applyFont="1" applyFill="1" applyBorder="1" applyAlignment="1" applyProtection="1">
      <alignment horizontal="center"/>
    </xf>
    <xf numFmtId="2" fontId="7" fillId="2" borderId="13" xfId="0" applyNumberFormat="1" applyFont="1" applyFill="1" applyBorder="1" applyAlignment="1" applyProtection="1">
      <alignment horizontal="center"/>
    </xf>
    <xf numFmtId="167" fontId="7" fillId="2" borderId="13" xfId="0" applyNumberFormat="1" applyFont="1" applyFill="1" applyBorder="1" applyAlignment="1" applyProtection="1">
      <alignment horizontal="center"/>
    </xf>
    <xf numFmtId="165" fontId="7" fillId="2" borderId="13" xfId="0" applyNumberFormat="1" applyFont="1" applyFill="1" applyBorder="1" applyAlignment="1" applyProtection="1">
      <alignment horizontal="center"/>
    </xf>
    <xf numFmtId="0" fontId="10" fillId="2" borderId="13" xfId="0" applyFont="1" applyFill="1" applyBorder="1" applyAlignment="1">
      <alignment vertical="center"/>
    </xf>
    <xf numFmtId="0" fontId="10" fillId="2" borderId="13" xfId="0" applyFont="1" applyFill="1" applyBorder="1" applyAlignment="1">
      <alignment horizontal="center" vertical="center"/>
    </xf>
    <xf numFmtId="166" fontId="12" fillId="2" borderId="13" xfId="0" applyNumberFormat="1" applyFont="1" applyFill="1" applyBorder="1" applyAlignment="1" applyProtection="1">
      <alignment horizontal="center" vertical="center" wrapText="1"/>
    </xf>
    <xf numFmtId="11" fontId="27" fillId="2" borderId="11" xfId="0" applyNumberFormat="1" applyFont="1" applyFill="1" applyBorder="1" applyAlignment="1" applyProtection="1">
      <alignment horizontal="center" vertical="center" wrapText="1"/>
    </xf>
    <xf numFmtId="1" fontId="20" fillId="2" borderId="11" xfId="0" applyNumberFormat="1" applyFont="1" applyFill="1" applyBorder="1" applyAlignment="1" applyProtection="1">
      <alignment horizontal="center" vertical="center" wrapText="1"/>
    </xf>
    <xf numFmtId="164" fontId="20" fillId="2" borderId="11" xfId="0" applyNumberFormat="1" applyFont="1" applyFill="1" applyBorder="1" applyAlignment="1" applyProtection="1">
      <alignment horizontal="center" vertical="center" shrinkToFit="1"/>
    </xf>
    <xf numFmtId="2" fontId="20" fillId="2" borderId="11" xfId="0" applyNumberFormat="1" applyFont="1" applyFill="1" applyBorder="1" applyAlignment="1" applyProtection="1">
      <alignment horizontal="center" vertical="center" wrapText="1"/>
    </xf>
    <xf numFmtId="2" fontId="20" fillId="2" borderId="17" xfId="0" applyNumberFormat="1" applyFont="1" applyFill="1" applyBorder="1" applyAlignment="1" applyProtection="1">
      <alignment horizontal="center" vertical="center" wrapText="1"/>
    </xf>
    <xf numFmtId="164" fontId="20" fillId="2" borderId="11" xfId="0" applyNumberFormat="1" applyFont="1" applyFill="1" applyBorder="1" applyAlignment="1" applyProtection="1">
      <alignment horizontal="center" vertical="center" wrapText="1"/>
    </xf>
    <xf numFmtId="0" fontId="20" fillId="2" borderId="0" xfId="0" applyFont="1" applyFill="1" applyAlignment="1" applyProtection="1">
      <alignment horizontal="center"/>
    </xf>
    <xf numFmtId="11" fontId="27" fillId="2" borderId="22" xfId="0" applyNumberFormat="1" applyFont="1" applyFill="1" applyBorder="1" applyAlignment="1" applyProtection="1">
      <alignment horizontal="center" vertical="center" wrapText="1"/>
    </xf>
    <xf numFmtId="0" fontId="27" fillId="2" borderId="0" xfId="0" applyNumberFormat="1" applyFont="1" applyFill="1" applyBorder="1" applyAlignment="1" applyProtection="1">
      <alignment horizontal="center" vertical="center" wrapText="1"/>
    </xf>
    <xf numFmtId="166" fontId="27" fillId="2" borderId="0" xfId="0" applyNumberFormat="1" applyFont="1" applyFill="1" applyBorder="1" applyAlignment="1" applyProtection="1">
      <alignment horizontal="center" vertical="center" wrapText="1"/>
    </xf>
    <xf numFmtId="0" fontId="18" fillId="3" borderId="9" xfId="0" applyFont="1" applyFill="1" applyBorder="1" applyAlignment="1" applyProtection="1">
      <alignment horizontal="center" vertical="center"/>
    </xf>
    <xf numFmtId="0" fontId="11" fillId="0" borderId="0" xfId="0" applyFont="1"/>
    <xf numFmtId="0" fontId="0" fillId="0" borderId="0" xfId="0" applyFill="1"/>
    <xf numFmtId="168" fontId="20" fillId="8" borderId="0" xfId="0" applyNumberFormat="1" applyFont="1" applyFill="1" applyProtection="1"/>
    <xf numFmtId="0" fontId="20" fillId="8" borderId="0" xfId="0" applyFont="1" applyFill="1" applyProtection="1"/>
    <xf numFmtId="168" fontId="20" fillId="0" borderId="0" xfId="0" applyNumberFormat="1" applyFont="1" applyProtection="1"/>
    <xf numFmtId="11" fontId="20" fillId="0" borderId="0" xfId="0" applyNumberFormat="1" applyFont="1" applyProtection="1"/>
    <xf numFmtId="0" fontId="20" fillId="0" borderId="0" xfId="0" applyFont="1" applyBorder="1" applyProtection="1"/>
    <xf numFmtId="0" fontId="30" fillId="2" borderId="0" xfId="0" applyFont="1" applyFill="1" applyBorder="1" applyAlignment="1" applyProtection="1">
      <alignment vertical="center"/>
    </xf>
    <xf numFmtId="0" fontId="24" fillId="3" borderId="8" xfId="0" applyFont="1" applyFill="1" applyBorder="1" applyAlignment="1" applyProtection="1">
      <alignment horizontal="left" vertical="center"/>
    </xf>
    <xf numFmtId="0" fontId="18" fillId="3" borderId="10" xfId="0" applyFont="1" applyFill="1" applyBorder="1" applyAlignment="1" applyProtection="1">
      <alignment horizontal="center" vertical="center"/>
    </xf>
    <xf numFmtId="0" fontId="18" fillId="3" borderId="0" xfId="0" applyFont="1" applyFill="1" applyBorder="1" applyAlignment="1" applyProtection="1">
      <alignment horizontal="center" vertical="center"/>
    </xf>
    <xf numFmtId="0" fontId="18" fillId="3" borderId="17" xfId="0" applyFont="1" applyFill="1" applyBorder="1" applyAlignment="1" applyProtection="1">
      <alignment horizontal="center" vertical="center"/>
    </xf>
    <xf numFmtId="11" fontId="27" fillId="2" borderId="13" xfId="0" applyNumberFormat="1" applyFont="1" applyFill="1" applyBorder="1" applyAlignment="1" applyProtection="1">
      <alignment horizontal="center" vertical="center" wrapText="1"/>
    </xf>
    <xf numFmtId="0" fontId="26" fillId="2" borderId="13" xfId="0" applyFont="1" applyFill="1" applyBorder="1" applyAlignment="1" applyProtection="1">
      <alignment horizontal="center" vertical="center"/>
    </xf>
    <xf numFmtId="0" fontId="20" fillId="0" borderId="0" xfId="0" applyFont="1" applyFill="1" applyBorder="1" applyProtection="1"/>
    <xf numFmtId="11" fontId="26" fillId="0" borderId="0" xfId="0" applyNumberFormat="1" applyFont="1" applyFill="1" applyBorder="1" applyAlignment="1" applyProtection="1">
      <alignment horizontal="center" vertical="center" wrapText="1"/>
    </xf>
    <xf numFmtId="11" fontId="26" fillId="0" borderId="0" xfId="0" applyNumberFormat="1" applyFont="1" applyFill="1" applyBorder="1" applyAlignment="1" applyProtection="1">
      <alignment horizontal="left" vertical="center" wrapText="1"/>
    </xf>
    <xf numFmtId="2" fontId="20" fillId="0" borderId="0" xfId="0" applyNumberFormat="1" applyFont="1" applyFill="1" applyBorder="1" applyAlignment="1" applyProtection="1">
      <alignment horizontal="center" vertical="center" wrapText="1"/>
    </xf>
    <xf numFmtId="164" fontId="20" fillId="0" borderId="0" xfId="0" applyNumberFormat="1" applyFont="1" applyFill="1" applyBorder="1" applyAlignment="1" applyProtection="1">
      <alignment horizontal="center" vertical="center" shrinkToFit="1"/>
    </xf>
    <xf numFmtId="0" fontId="20" fillId="0" borderId="0" xfId="0" applyFont="1" applyFill="1" applyBorder="1" applyAlignment="1" applyProtection="1">
      <alignment horizontal="center" vertical="center"/>
    </xf>
    <xf numFmtId="0" fontId="26" fillId="0" borderId="0" xfId="0" applyFont="1" applyFill="1" applyBorder="1" applyAlignment="1" applyProtection="1">
      <alignment vertical="center"/>
    </xf>
    <xf numFmtId="0" fontId="20" fillId="2" borderId="13" xfId="0" applyFont="1" applyFill="1" applyBorder="1" applyAlignment="1" applyProtection="1">
      <alignment vertical="center" wrapText="1"/>
    </xf>
    <xf numFmtId="0" fontId="22" fillId="3" borderId="0" xfId="0" applyFont="1" applyFill="1" applyBorder="1" applyAlignment="1" applyProtection="1">
      <alignment horizontal="left" vertical="center"/>
    </xf>
    <xf numFmtId="0" fontId="20" fillId="0" borderId="0" xfId="0" applyFont="1" applyBorder="1" applyAlignment="1" applyProtection="1">
      <alignment horizontal="center"/>
    </xf>
    <xf numFmtId="0" fontId="24" fillId="3" borderId="0" xfId="0" applyFont="1" applyFill="1" applyBorder="1" applyAlignment="1" applyProtection="1">
      <alignment vertical="center"/>
    </xf>
    <xf numFmtId="11" fontId="27" fillId="2" borderId="13" xfId="0" applyNumberFormat="1" applyFont="1" applyFill="1" applyBorder="1" applyAlignment="1" applyProtection="1">
      <alignment horizontal="center" vertical="center"/>
    </xf>
    <xf numFmtId="0" fontId="20" fillId="0" borderId="11" xfId="0" applyFont="1" applyBorder="1" applyProtection="1"/>
    <xf numFmtId="11" fontId="32" fillId="2" borderId="17" xfId="0" applyNumberFormat="1" applyFont="1" applyFill="1" applyBorder="1" applyAlignment="1" applyProtection="1">
      <alignment horizontal="center" vertical="center" wrapText="1"/>
    </xf>
    <xf numFmtId="0" fontId="21" fillId="0" borderId="0" xfId="0" applyFont="1" applyAlignment="1" applyProtection="1">
      <alignment horizontal="center"/>
    </xf>
    <xf numFmtId="0" fontId="21" fillId="0" borderId="0" xfId="0" applyFont="1" applyProtection="1"/>
    <xf numFmtId="0" fontId="20" fillId="2" borderId="0" xfId="0" applyFont="1" applyFill="1" applyBorder="1" applyAlignment="1" applyProtection="1">
      <alignment horizontal="left" vertical="center"/>
    </xf>
    <xf numFmtId="0" fontId="20" fillId="0" borderId="0" xfId="0" applyFont="1" applyFill="1" applyAlignment="1" applyProtection="1">
      <alignment horizontal="center"/>
    </xf>
    <xf numFmtId="164" fontId="13" fillId="2" borderId="0" xfId="0" applyNumberFormat="1" applyFont="1" applyFill="1" applyBorder="1" applyAlignment="1" applyProtection="1">
      <alignment horizontal="center"/>
    </xf>
    <xf numFmtId="164" fontId="30" fillId="2" borderId="11" xfId="0" applyNumberFormat="1" applyFont="1" applyFill="1" applyBorder="1" applyAlignment="1" applyProtection="1">
      <alignment horizontal="center" vertical="center" wrapText="1"/>
    </xf>
    <xf numFmtId="2" fontId="30" fillId="2" borderId="11" xfId="0" applyNumberFormat="1" applyFont="1" applyFill="1" applyBorder="1" applyAlignment="1" applyProtection="1">
      <alignment horizontal="center" vertical="center" wrapText="1"/>
    </xf>
    <xf numFmtId="2" fontId="20" fillId="2" borderId="11" xfId="0" quotePrefix="1" applyNumberFormat="1" applyFont="1" applyFill="1" applyBorder="1" applyAlignment="1" applyProtection="1">
      <alignment horizontal="center" vertical="center" wrapText="1"/>
    </xf>
    <xf numFmtId="0" fontId="30" fillId="2" borderId="11" xfId="0" applyFont="1" applyFill="1" applyBorder="1" applyAlignment="1" applyProtection="1">
      <alignment horizontal="center" vertical="center"/>
    </xf>
    <xf numFmtId="1" fontId="20" fillId="2" borderId="12" xfId="0" applyNumberFormat="1" applyFont="1" applyFill="1" applyBorder="1" applyAlignment="1" applyProtection="1">
      <alignment horizontal="center" vertical="center" wrapText="1"/>
    </xf>
    <xf numFmtId="2" fontId="20" fillId="2" borderId="19" xfId="0" applyNumberFormat="1" applyFont="1" applyFill="1" applyBorder="1" applyAlignment="1" applyProtection="1">
      <alignment horizontal="center" vertical="center" wrapText="1"/>
    </xf>
    <xf numFmtId="0" fontId="0" fillId="0" borderId="0" xfId="0" applyBorder="1"/>
    <xf numFmtId="2" fontId="20" fillId="2" borderId="11" xfId="0" quotePrefix="1" applyNumberFormat="1" applyFont="1" applyFill="1" applyBorder="1" applyAlignment="1" applyProtection="1">
      <alignment horizontal="center" vertical="center"/>
    </xf>
    <xf numFmtId="2" fontId="13" fillId="2" borderId="0" xfId="0" applyNumberFormat="1" applyFont="1" applyFill="1" applyBorder="1" applyAlignment="1" applyProtection="1">
      <alignment horizontal="center" wrapText="1"/>
    </xf>
    <xf numFmtId="0" fontId="13" fillId="2" borderId="11" xfId="0" applyFont="1" applyFill="1" applyBorder="1" applyAlignment="1" applyProtection="1">
      <alignment horizontal="left"/>
    </xf>
    <xf numFmtId="0" fontId="7" fillId="0" borderId="13" xfId="0" applyFont="1" applyBorder="1" applyAlignment="1" applyProtection="1">
      <alignment horizontal="center"/>
    </xf>
    <xf numFmtId="0" fontId="0" fillId="0" borderId="13" xfId="0" applyBorder="1" applyAlignment="1">
      <alignment horizontal="center"/>
    </xf>
    <xf numFmtId="164" fontId="8" fillId="2" borderId="0" xfId="0" applyNumberFormat="1" applyFont="1" applyFill="1" applyBorder="1" applyAlignment="1" applyProtection="1">
      <alignment horizontal="center"/>
    </xf>
    <xf numFmtId="2" fontId="8" fillId="2" borderId="0" xfId="0" applyNumberFormat="1" applyFont="1" applyFill="1" applyBorder="1" applyAlignment="1" applyProtection="1">
      <alignment horizontal="center"/>
    </xf>
    <xf numFmtId="0" fontId="0" fillId="0" borderId="14" xfId="0" applyBorder="1" applyAlignment="1">
      <alignment horizontal="center"/>
    </xf>
    <xf numFmtId="0" fontId="7" fillId="0" borderId="15" xfId="0" applyFont="1" applyBorder="1" applyAlignment="1" applyProtection="1">
      <alignment horizontal="center"/>
    </xf>
    <xf numFmtId="0" fontId="0" fillId="0" borderId="15" xfId="0" applyBorder="1" applyAlignment="1">
      <alignment horizontal="center"/>
    </xf>
    <xf numFmtId="0" fontId="6" fillId="2" borderId="11" xfId="0" applyFont="1" applyFill="1" applyBorder="1" applyAlignment="1">
      <alignment horizontal="left"/>
    </xf>
    <xf numFmtId="0" fontId="13" fillId="2" borderId="12" xfId="0" applyFont="1" applyFill="1" applyBorder="1" applyAlignment="1" applyProtection="1">
      <alignment horizontal="left"/>
    </xf>
    <xf numFmtId="0" fontId="7" fillId="2" borderId="11" xfId="0" applyFont="1" applyFill="1" applyBorder="1" applyAlignment="1" applyProtection="1">
      <alignment horizontal="left"/>
    </xf>
    <xf numFmtId="2" fontId="7" fillId="2" borderId="11" xfId="0" applyNumberFormat="1" applyFont="1" applyFill="1" applyBorder="1" applyAlignment="1" applyProtection="1">
      <alignment horizontal="left"/>
    </xf>
    <xf numFmtId="2" fontId="4" fillId="0" borderId="0" xfId="4" applyNumberFormat="1" applyBorder="1" applyAlignment="1">
      <alignment horizontal="center"/>
    </xf>
    <xf numFmtId="2" fontId="7" fillId="2" borderId="12" xfId="0" applyNumberFormat="1" applyFont="1" applyFill="1" applyBorder="1" applyAlignment="1" applyProtection="1">
      <alignment horizontal="left"/>
    </xf>
    <xf numFmtId="0" fontId="0" fillId="0" borderId="13" xfId="0" applyBorder="1"/>
    <xf numFmtId="2" fontId="4" fillId="0" borderId="13" xfId="4" applyNumberFormat="1" applyBorder="1" applyAlignment="1">
      <alignment horizontal="center"/>
    </xf>
    <xf numFmtId="0" fontId="7" fillId="2" borderId="14" xfId="0" applyFont="1" applyFill="1" applyBorder="1" applyProtection="1"/>
    <xf numFmtId="0" fontId="0" fillId="0" borderId="15" xfId="0" applyBorder="1" applyAlignment="1">
      <alignment horizontal="left"/>
    </xf>
    <xf numFmtId="0" fontId="0" fillId="0" borderId="16" xfId="0" applyBorder="1"/>
    <xf numFmtId="0" fontId="0" fillId="0" borderId="1" xfId="0" applyFill="1" applyBorder="1" applyAlignment="1">
      <alignment horizontal="center"/>
    </xf>
    <xf numFmtId="0" fontId="0" fillId="0" borderId="30" xfId="0" applyBorder="1"/>
    <xf numFmtId="0" fontId="13" fillId="2" borderId="31" xfId="0" quotePrefix="1" applyFont="1" applyFill="1" applyBorder="1" applyProtection="1"/>
    <xf numFmtId="0" fontId="7" fillId="2" borderId="30" xfId="0" quotePrefix="1" applyFont="1" applyFill="1" applyBorder="1" applyProtection="1"/>
    <xf numFmtId="0" fontId="7" fillId="2" borderId="31" xfId="0" quotePrefix="1" applyFont="1" applyFill="1" applyBorder="1" applyProtection="1"/>
    <xf numFmtId="2" fontId="20" fillId="2" borderId="17" xfId="0" applyNumberFormat="1" applyFont="1" applyFill="1" applyBorder="1" applyAlignment="1" applyProtection="1">
      <alignment horizontal="center" vertical="center"/>
    </xf>
    <xf numFmtId="2" fontId="27" fillId="2" borderId="17" xfId="0" applyNumberFormat="1" applyFont="1" applyFill="1" applyBorder="1" applyAlignment="1" applyProtection="1">
      <alignment horizontal="center" vertical="center" wrapText="1"/>
    </xf>
    <xf numFmtId="2" fontId="20" fillId="2" borderId="17" xfId="0" applyNumberFormat="1" applyFont="1" applyFill="1" applyBorder="1" applyAlignment="1" applyProtection="1">
      <alignment horizontal="center" vertical="center" shrinkToFit="1"/>
    </xf>
    <xf numFmtId="2" fontId="27" fillId="2" borderId="19" xfId="0" applyNumberFormat="1" applyFont="1" applyFill="1" applyBorder="1" applyAlignment="1" applyProtection="1">
      <alignment horizontal="center" vertical="center" wrapText="1"/>
    </xf>
    <xf numFmtId="2" fontId="20" fillId="0" borderId="17" xfId="0" applyNumberFormat="1" applyFont="1" applyBorder="1" applyAlignment="1" applyProtection="1">
      <alignment horizontal="center" vertical="center"/>
    </xf>
    <xf numFmtId="2" fontId="20" fillId="0" borderId="17" xfId="0" applyNumberFormat="1" applyFont="1" applyBorder="1" applyProtection="1"/>
    <xf numFmtId="2" fontId="20" fillId="0" borderId="17" xfId="0" applyNumberFormat="1" applyFont="1" applyBorder="1" applyAlignment="1" applyProtection="1">
      <alignment horizontal="center"/>
    </xf>
    <xf numFmtId="2" fontId="20" fillId="0" borderId="19" xfId="0" applyNumberFormat="1" applyFont="1" applyBorder="1" applyAlignment="1" applyProtection="1">
      <alignment horizontal="center"/>
    </xf>
    <xf numFmtId="11" fontId="27" fillId="2" borderId="12" xfId="0" applyNumberFormat="1" applyFont="1" applyFill="1" applyBorder="1" applyAlignment="1" applyProtection="1">
      <alignment horizontal="center" vertical="center" wrapText="1"/>
    </xf>
    <xf numFmtId="0" fontId="20" fillId="0" borderId="11" xfId="0" applyFont="1" applyBorder="1" applyAlignment="1" applyProtection="1">
      <alignment horizontal="center"/>
    </xf>
    <xf numFmtId="0" fontId="20" fillId="0" borderId="12" xfId="0" applyFont="1" applyBorder="1" applyAlignment="1" applyProtection="1">
      <alignment horizontal="center"/>
    </xf>
    <xf numFmtId="164" fontId="20" fillId="2" borderId="12" xfId="0" applyNumberFormat="1" applyFont="1" applyFill="1" applyBorder="1" applyAlignment="1" applyProtection="1">
      <alignment horizontal="center" vertical="center" wrapText="1"/>
    </xf>
    <xf numFmtId="0" fontId="27" fillId="2" borderId="11" xfId="0" applyNumberFormat="1" applyFont="1" applyFill="1" applyBorder="1" applyAlignment="1" applyProtection="1">
      <alignment horizontal="center" vertical="center" wrapText="1"/>
    </xf>
    <xf numFmtId="166" fontId="27" fillId="2" borderId="11" xfId="0" applyNumberFormat="1" applyFont="1" applyFill="1" applyBorder="1" applyAlignment="1" applyProtection="1">
      <alignment horizontal="center" vertical="center" wrapText="1"/>
    </xf>
    <xf numFmtId="0" fontId="27" fillId="2" borderId="12" xfId="0" applyNumberFormat="1" applyFont="1" applyFill="1" applyBorder="1" applyAlignment="1" applyProtection="1">
      <alignment horizontal="center" vertical="center" wrapText="1"/>
    </xf>
    <xf numFmtId="11" fontId="20" fillId="2" borderId="11" xfId="0" applyNumberFormat="1" applyFont="1" applyFill="1" applyBorder="1" applyAlignment="1" applyProtection="1">
      <alignment horizontal="center" vertical="center" wrapText="1"/>
    </xf>
    <xf numFmtId="2" fontId="20" fillId="2" borderId="12" xfId="0" applyNumberFormat="1" applyFont="1" applyFill="1" applyBorder="1" applyAlignment="1" applyProtection="1">
      <alignment horizontal="center" vertical="center" wrapText="1"/>
    </xf>
    <xf numFmtId="0" fontId="11" fillId="0" borderId="0" xfId="0" applyFont="1" applyBorder="1" applyAlignment="1">
      <alignment horizontal="center"/>
    </xf>
    <xf numFmtId="165" fontId="7" fillId="0" borderId="0" xfId="0" applyNumberFormat="1" applyFont="1" applyBorder="1" applyAlignment="1" applyProtection="1">
      <alignment horizontal="center"/>
    </xf>
    <xf numFmtId="164" fontId="7" fillId="0" borderId="0" xfId="0" applyNumberFormat="1" applyFont="1" applyBorder="1" applyAlignment="1" applyProtection="1">
      <alignment horizontal="center"/>
    </xf>
    <xf numFmtId="0" fontId="7" fillId="2" borderId="0" xfId="0" applyFont="1" applyFill="1" applyBorder="1" applyAlignment="1" applyProtection="1">
      <alignment horizontal="left"/>
    </xf>
    <xf numFmtId="0" fontId="6" fillId="2" borderId="0" xfId="0" applyFont="1" applyFill="1" applyBorder="1" applyAlignment="1">
      <alignment horizontal="left"/>
    </xf>
    <xf numFmtId="0" fontId="7" fillId="0" borderId="14" xfId="0" applyFont="1" applyBorder="1" applyAlignment="1" applyProtection="1">
      <alignment horizontal="center"/>
    </xf>
    <xf numFmtId="0" fontId="7" fillId="0" borderId="15" xfId="0" applyFont="1" applyFill="1" applyBorder="1" applyAlignment="1" applyProtection="1">
      <alignment horizontal="center"/>
    </xf>
    <xf numFmtId="0" fontId="7" fillId="0" borderId="16" xfId="0" applyFont="1" applyBorder="1" applyAlignment="1" applyProtection="1">
      <alignment horizontal="center"/>
    </xf>
    <xf numFmtId="0" fontId="7" fillId="0" borderId="17" xfId="0" applyFont="1" applyBorder="1" applyProtection="1"/>
    <xf numFmtId="0" fontId="0" fillId="0" borderId="32" xfId="0" applyBorder="1"/>
    <xf numFmtId="0" fontId="13" fillId="2" borderId="19" xfId="0" quotePrefix="1" applyFont="1" applyFill="1" applyBorder="1" applyProtection="1"/>
    <xf numFmtId="0" fontId="7" fillId="2" borderId="17" xfId="0" quotePrefix="1" applyFont="1" applyFill="1" applyBorder="1" applyProtection="1"/>
    <xf numFmtId="165" fontId="7" fillId="0" borderId="13" xfId="0" applyNumberFormat="1" applyFont="1" applyFill="1" applyBorder="1" applyAlignment="1" applyProtection="1">
      <alignment horizontal="center"/>
    </xf>
    <xf numFmtId="0" fontId="7" fillId="2" borderId="19" xfId="0" quotePrefix="1" applyFont="1" applyFill="1" applyBorder="1" applyProtection="1"/>
    <xf numFmtId="0" fontId="6" fillId="2" borderId="9" xfId="0" applyFont="1" applyFill="1" applyBorder="1" applyAlignment="1">
      <alignment horizontal="center" wrapText="1"/>
    </xf>
    <xf numFmtId="0" fontId="6" fillId="2" borderId="0" xfId="0" applyFont="1" applyFill="1" applyBorder="1" applyAlignment="1">
      <alignment horizontal="center" wrapText="1"/>
    </xf>
    <xf numFmtId="0" fontId="6" fillId="2" borderId="10" xfId="0" quotePrefix="1" applyFont="1" applyFill="1" applyBorder="1" applyAlignment="1">
      <alignment horizontal="center" wrapText="1"/>
    </xf>
    <xf numFmtId="0" fontId="0" fillId="0" borderId="17" xfId="0" applyBorder="1"/>
    <xf numFmtId="0" fontId="11" fillId="0" borderId="0" xfId="0" applyFont="1" applyBorder="1"/>
    <xf numFmtId="0" fontId="18" fillId="3" borderId="9" xfId="5" applyFont="1" applyFill="1" applyBorder="1" applyAlignment="1" applyProtection="1">
      <alignment horizontal="center" vertical="center"/>
    </xf>
    <xf numFmtId="0" fontId="18" fillId="3" borderId="10" xfId="5" applyFont="1" applyFill="1" applyBorder="1" applyAlignment="1" applyProtection="1">
      <alignment horizontal="center" vertical="center"/>
    </xf>
    <xf numFmtId="0" fontId="20" fillId="2" borderId="11" xfId="5" applyFont="1" applyFill="1" applyBorder="1" applyAlignment="1" applyProtection="1">
      <alignment horizontal="center" vertical="center"/>
    </xf>
    <xf numFmtId="2" fontId="20" fillId="2" borderId="17" xfId="5" applyNumberFormat="1" applyFont="1" applyFill="1" applyBorder="1" applyAlignment="1" applyProtection="1">
      <alignment horizontal="center" vertical="center"/>
    </xf>
    <xf numFmtId="11" fontId="27" fillId="2" borderId="11" xfId="5" applyNumberFormat="1" applyFont="1" applyFill="1" applyBorder="1" applyAlignment="1" applyProtection="1">
      <alignment horizontal="center" vertical="center" wrapText="1"/>
    </xf>
    <xf numFmtId="2" fontId="27" fillId="2" borderId="17" xfId="5" applyNumberFormat="1" applyFont="1" applyFill="1" applyBorder="1" applyAlignment="1" applyProtection="1">
      <alignment horizontal="center" vertical="center" wrapText="1"/>
    </xf>
    <xf numFmtId="0" fontId="20" fillId="2" borderId="11" xfId="5" applyFont="1" applyFill="1" applyBorder="1" applyAlignment="1" applyProtection="1">
      <alignment horizontal="center"/>
    </xf>
    <xf numFmtId="2" fontId="20" fillId="2" borderId="17" xfId="5" applyNumberFormat="1" applyFont="1" applyFill="1" applyBorder="1" applyAlignment="1" applyProtection="1">
      <alignment horizontal="center"/>
    </xf>
    <xf numFmtId="1" fontId="20" fillId="2" borderId="11" xfId="5" applyNumberFormat="1" applyFont="1" applyFill="1" applyBorder="1" applyAlignment="1" applyProtection="1">
      <alignment horizontal="center" vertical="center" wrapText="1"/>
    </xf>
    <xf numFmtId="2" fontId="20" fillId="2" borderId="17" xfId="5" applyNumberFormat="1" applyFont="1" applyFill="1" applyBorder="1" applyAlignment="1" applyProtection="1">
      <alignment horizontal="center" vertical="center" wrapText="1"/>
    </xf>
    <xf numFmtId="1" fontId="20" fillId="2" borderId="12" xfId="5" applyNumberFormat="1" applyFont="1" applyFill="1" applyBorder="1" applyAlignment="1" applyProtection="1">
      <alignment horizontal="center" vertical="center" wrapText="1"/>
    </xf>
    <xf numFmtId="2" fontId="20" fillId="2" borderId="19" xfId="5" applyNumberFormat="1" applyFont="1" applyFill="1" applyBorder="1" applyAlignment="1" applyProtection="1">
      <alignment horizontal="center" vertical="center" wrapText="1"/>
    </xf>
    <xf numFmtId="0" fontId="18" fillId="3" borderId="0" xfId="5" applyFont="1" applyFill="1" applyBorder="1" applyAlignment="1" applyProtection="1">
      <alignment horizontal="center" vertical="center"/>
    </xf>
    <xf numFmtId="164" fontId="20" fillId="2" borderId="11" xfId="5" applyNumberFormat="1" applyFont="1" applyFill="1" applyBorder="1" applyAlignment="1" applyProtection="1">
      <alignment horizontal="center" vertical="center" shrinkToFit="1"/>
    </xf>
    <xf numFmtId="2" fontId="20" fillId="2" borderId="17" xfId="5" applyNumberFormat="1" applyFont="1" applyFill="1" applyBorder="1" applyAlignment="1" applyProtection="1">
      <alignment horizontal="center" vertical="center" shrinkToFit="1"/>
    </xf>
    <xf numFmtId="2" fontId="20" fillId="2" borderId="11" xfId="5" applyNumberFormat="1" applyFont="1" applyFill="1" applyBorder="1" applyAlignment="1" applyProtection="1">
      <alignment horizontal="center" vertical="center" wrapText="1"/>
    </xf>
    <xf numFmtId="11" fontId="27" fillId="2" borderId="12" xfId="5" applyNumberFormat="1" applyFont="1" applyFill="1" applyBorder="1" applyAlignment="1" applyProtection="1">
      <alignment horizontal="center" vertical="center" wrapText="1"/>
    </xf>
    <xf numFmtId="2" fontId="27" fillId="2" borderId="19" xfId="5" applyNumberFormat="1" applyFont="1" applyFill="1" applyBorder="1" applyAlignment="1" applyProtection="1">
      <alignment horizontal="center" vertical="center" wrapText="1"/>
    </xf>
    <xf numFmtId="0" fontId="18" fillId="3" borderId="17" xfId="5" applyFont="1" applyFill="1" applyBorder="1" applyAlignment="1" applyProtection="1">
      <alignment horizontal="center" vertical="center"/>
    </xf>
    <xf numFmtId="0" fontId="20" fillId="0" borderId="35" xfId="5" applyFont="1" applyBorder="1" applyAlignment="1" applyProtection="1">
      <alignment horizontal="center"/>
    </xf>
    <xf numFmtId="0" fontId="20" fillId="0" borderId="36" xfId="5" applyFont="1" applyBorder="1" applyAlignment="1" applyProtection="1">
      <alignment horizontal="center"/>
    </xf>
    <xf numFmtId="2" fontId="20" fillId="0" borderId="32" xfId="5" applyNumberFormat="1" applyFont="1" applyBorder="1" applyAlignment="1" applyProtection="1">
      <alignment horizontal="center" vertical="center"/>
    </xf>
    <xf numFmtId="2" fontId="20" fillId="0" borderId="32" xfId="5" applyNumberFormat="1" applyFont="1" applyBorder="1" applyAlignment="1" applyProtection="1">
      <alignment horizontal="center"/>
    </xf>
    <xf numFmtId="2" fontId="20" fillId="0" borderId="37" xfId="5" applyNumberFormat="1" applyFont="1" applyBorder="1" applyAlignment="1" applyProtection="1">
      <alignment horizontal="center"/>
    </xf>
    <xf numFmtId="164" fontId="30" fillId="2" borderId="11" xfId="5" applyNumberFormat="1" applyFont="1" applyFill="1" applyBorder="1" applyAlignment="1" applyProtection="1">
      <alignment horizontal="center" vertical="center" wrapText="1"/>
    </xf>
    <xf numFmtId="2" fontId="20" fillId="2" borderId="12" xfId="5" applyNumberFormat="1" applyFont="1" applyFill="1" applyBorder="1" applyAlignment="1" applyProtection="1">
      <alignment horizontal="center" vertical="center" wrapText="1"/>
    </xf>
    <xf numFmtId="164" fontId="20" fillId="2" borderId="11" xfId="5" applyNumberFormat="1" applyFont="1" applyFill="1" applyBorder="1" applyAlignment="1" applyProtection="1">
      <alignment horizontal="center" vertical="center" wrapText="1"/>
    </xf>
    <xf numFmtId="0" fontId="30" fillId="2" borderId="11" xfId="5" applyFont="1" applyFill="1" applyBorder="1" applyAlignment="1" applyProtection="1">
      <alignment horizontal="center" vertical="center"/>
    </xf>
    <xf numFmtId="2" fontId="30" fillId="2" borderId="11" xfId="5" applyNumberFormat="1" applyFont="1" applyFill="1" applyBorder="1" applyAlignment="1" applyProtection="1">
      <alignment horizontal="center" vertical="center" wrapText="1"/>
    </xf>
    <xf numFmtId="164" fontId="20" fillId="2" borderId="12" xfId="5" applyNumberFormat="1" applyFont="1" applyFill="1" applyBorder="1" applyAlignment="1" applyProtection="1">
      <alignment horizontal="center" vertical="center" wrapText="1"/>
    </xf>
    <xf numFmtId="0" fontId="11" fillId="0" borderId="0" xfId="5"/>
    <xf numFmtId="0" fontId="24" fillId="3" borderId="8" xfId="5" applyFont="1" applyFill="1" applyBorder="1" applyAlignment="1" applyProtection="1">
      <alignment horizontal="left" vertical="center"/>
    </xf>
    <xf numFmtId="0" fontId="20" fillId="3" borderId="9" xfId="5" applyFont="1" applyFill="1" applyBorder="1" applyAlignment="1" applyProtection="1">
      <alignment horizontal="left" vertical="center"/>
    </xf>
    <xf numFmtId="0" fontId="25" fillId="3" borderId="9" xfId="5" applyFont="1" applyFill="1" applyBorder="1" applyAlignment="1" applyProtection="1">
      <alignment horizontal="left" vertical="center"/>
    </xf>
    <xf numFmtId="0" fontId="23" fillId="2" borderId="11" xfId="5" applyFont="1" applyFill="1" applyBorder="1" applyAlignment="1" applyProtection="1">
      <alignment horizontal="left" vertical="center"/>
    </xf>
    <xf numFmtId="0" fontId="22" fillId="2" borderId="0" xfId="5" applyFont="1" applyFill="1" applyBorder="1" applyAlignment="1" applyProtection="1">
      <alignment horizontal="left" vertical="center"/>
    </xf>
    <xf numFmtId="0" fontId="20" fillId="2" borderId="0" xfId="5" applyFont="1" applyFill="1" applyBorder="1" applyAlignment="1" applyProtection="1">
      <alignment horizontal="left" vertical="center"/>
    </xf>
    <xf numFmtId="0" fontId="20" fillId="2" borderId="0" xfId="5" applyFont="1" applyFill="1" applyBorder="1" applyAlignment="1" applyProtection="1">
      <alignment horizontal="center" vertical="center"/>
    </xf>
    <xf numFmtId="0" fontId="20" fillId="2" borderId="11" xfId="5" applyFont="1" applyFill="1" applyBorder="1" applyAlignment="1" applyProtection="1">
      <alignment vertical="center"/>
    </xf>
    <xf numFmtId="11" fontId="27" fillId="2" borderId="0" xfId="5" applyNumberFormat="1" applyFont="1" applyFill="1" applyBorder="1" applyAlignment="1" applyProtection="1">
      <alignment horizontal="center" vertical="center"/>
    </xf>
    <xf numFmtId="0" fontId="19" fillId="2" borderId="0" xfId="5" applyFont="1" applyFill="1" applyBorder="1" applyAlignment="1" applyProtection="1">
      <alignment vertical="center"/>
    </xf>
    <xf numFmtId="0" fontId="20" fillId="2" borderId="0" xfId="5" applyFont="1" applyFill="1" applyBorder="1" applyAlignment="1" applyProtection="1">
      <alignment vertical="center"/>
    </xf>
    <xf numFmtId="0" fontId="19" fillId="2" borderId="11" xfId="5" applyFont="1" applyFill="1" applyBorder="1" applyAlignment="1" applyProtection="1">
      <alignment horizontal="left" vertical="center"/>
    </xf>
    <xf numFmtId="11" fontId="27" fillId="2" borderId="0" xfId="5" applyNumberFormat="1" applyFont="1" applyFill="1" applyBorder="1" applyAlignment="1" applyProtection="1">
      <alignment horizontal="left" vertical="center"/>
    </xf>
    <xf numFmtId="0" fontId="19" fillId="2" borderId="12" xfId="5" applyFont="1" applyFill="1" applyBorder="1" applyAlignment="1" applyProtection="1">
      <alignment horizontal="left" vertical="center"/>
    </xf>
    <xf numFmtId="11" fontId="27" fillId="2" borderId="13" xfId="5" applyNumberFormat="1" applyFont="1" applyFill="1" applyBorder="1" applyAlignment="1" applyProtection="1">
      <alignment horizontal="left" vertical="center"/>
    </xf>
    <xf numFmtId="11" fontId="27" fillId="2" borderId="13" xfId="5" applyNumberFormat="1" applyFont="1" applyFill="1" applyBorder="1" applyAlignment="1" applyProtection="1">
      <alignment horizontal="center" vertical="center"/>
    </xf>
    <xf numFmtId="0" fontId="24" fillId="3" borderId="11" xfId="5" applyFont="1" applyFill="1" applyBorder="1" applyAlignment="1" applyProtection="1">
      <alignment vertical="center"/>
    </xf>
    <xf numFmtId="0" fontId="20" fillId="3" borderId="0" xfId="5" applyFont="1" applyFill="1" applyBorder="1" applyAlignment="1" applyProtection="1">
      <alignment vertical="center"/>
    </xf>
    <xf numFmtId="0" fontId="20" fillId="2" borderId="11" xfId="5" applyFont="1" applyFill="1" applyBorder="1" applyAlignment="1" applyProtection="1">
      <alignment horizontal="left" vertical="center"/>
    </xf>
    <xf numFmtId="0" fontId="20" fillId="2" borderId="0" xfId="5" applyFont="1" applyFill="1" applyBorder="1" applyAlignment="1" applyProtection="1">
      <alignment horizontal="left" vertical="center" wrapText="1"/>
    </xf>
    <xf numFmtId="0" fontId="22" fillId="2" borderId="11" xfId="5" applyFont="1" applyFill="1" applyBorder="1" applyAlignment="1" applyProtection="1">
      <alignment horizontal="left" vertical="center"/>
    </xf>
    <xf numFmtId="0" fontId="22" fillId="2" borderId="12" xfId="5" applyFont="1" applyFill="1" applyBorder="1" applyAlignment="1" applyProtection="1">
      <alignment horizontal="left" vertical="center"/>
    </xf>
    <xf numFmtId="0" fontId="20" fillId="2" borderId="13" xfId="5" applyFont="1" applyFill="1" applyBorder="1" applyAlignment="1" applyProtection="1">
      <alignment horizontal="left" vertical="center"/>
    </xf>
    <xf numFmtId="0" fontId="20" fillId="2" borderId="13" xfId="5" applyFont="1" applyFill="1" applyBorder="1" applyAlignment="1" applyProtection="1">
      <alignment horizontal="center" vertical="center"/>
    </xf>
    <xf numFmtId="0" fontId="24" fillId="3" borderId="11" xfId="5" applyFont="1" applyFill="1" applyBorder="1" applyAlignment="1" applyProtection="1">
      <alignment horizontal="left" vertical="center"/>
    </xf>
    <xf numFmtId="0" fontId="22" fillId="2" borderId="0" xfId="5" applyFont="1" applyFill="1" applyBorder="1" applyAlignment="1" applyProtection="1">
      <alignment vertical="center"/>
    </xf>
    <xf numFmtId="165" fontId="20" fillId="2" borderId="0" xfId="5" applyNumberFormat="1" applyFont="1" applyFill="1" applyBorder="1" applyAlignment="1" applyProtection="1">
      <alignment horizontal="center" vertical="center"/>
    </xf>
    <xf numFmtId="0" fontId="20" fillId="2" borderId="0" xfId="5" applyFont="1" applyFill="1" applyBorder="1" applyProtection="1"/>
    <xf numFmtId="0" fontId="20" fillId="2" borderId="12" xfId="5" applyFont="1" applyFill="1" applyBorder="1" applyAlignment="1" applyProtection="1">
      <alignment vertical="center"/>
    </xf>
    <xf numFmtId="0" fontId="30" fillId="2" borderId="13" xfId="5" applyFont="1" applyFill="1" applyBorder="1" applyAlignment="1" applyProtection="1">
      <alignment vertical="center"/>
    </xf>
    <xf numFmtId="0" fontId="20" fillId="2" borderId="13" xfId="5" applyFont="1" applyFill="1" applyBorder="1" applyAlignment="1" applyProtection="1">
      <alignment vertical="center" wrapText="1"/>
    </xf>
    <xf numFmtId="0" fontId="21" fillId="2" borderId="0" xfId="5" applyFont="1" applyFill="1" applyBorder="1" applyAlignment="1" applyProtection="1">
      <alignment horizontal="left" vertical="center"/>
    </xf>
    <xf numFmtId="0" fontId="21" fillId="2" borderId="11" xfId="5" applyFont="1" applyFill="1" applyBorder="1" applyAlignment="1" applyProtection="1">
      <alignment horizontal="left" vertical="center"/>
    </xf>
    <xf numFmtId="0" fontId="27" fillId="2" borderId="0" xfId="5" applyFont="1" applyFill="1" applyBorder="1" applyAlignment="1" applyProtection="1">
      <alignment horizontal="center" vertical="center"/>
    </xf>
    <xf numFmtId="0" fontId="21" fillId="2" borderId="0" xfId="5" applyFont="1" applyFill="1" applyBorder="1" applyAlignment="1" applyProtection="1">
      <alignment vertical="center"/>
    </xf>
    <xf numFmtId="0" fontId="21" fillId="2" borderId="11" xfId="5" applyFont="1" applyFill="1" applyBorder="1" applyAlignment="1" applyProtection="1">
      <alignment vertical="center"/>
    </xf>
    <xf numFmtId="0" fontId="19" fillId="2" borderId="0" xfId="5" applyFont="1" applyFill="1" applyBorder="1" applyAlignment="1" applyProtection="1">
      <alignment horizontal="left" vertical="center"/>
    </xf>
    <xf numFmtId="0" fontId="20" fillId="2" borderId="0" xfId="1" applyFont="1" applyFill="1" applyBorder="1" applyAlignment="1" applyProtection="1">
      <alignment horizontal="left" vertical="center"/>
    </xf>
    <xf numFmtId="0" fontId="20" fillId="2" borderId="0" xfId="1" applyFont="1" applyFill="1" applyBorder="1" applyAlignment="1" applyProtection="1">
      <alignment horizontal="center" vertical="center"/>
    </xf>
    <xf numFmtId="0" fontId="19" fillId="2" borderId="13" xfId="5" applyFont="1" applyFill="1" applyBorder="1" applyAlignment="1" applyProtection="1">
      <alignment horizontal="left" vertical="center"/>
    </xf>
    <xf numFmtId="0" fontId="20" fillId="2" borderId="13" xfId="1" applyFont="1" applyFill="1" applyBorder="1" applyAlignment="1" applyProtection="1">
      <alignment horizontal="left" vertical="center"/>
    </xf>
    <xf numFmtId="0" fontId="20" fillId="2" borderId="13" xfId="1" applyFont="1" applyFill="1" applyBorder="1" applyAlignment="1" applyProtection="1">
      <alignment horizontal="center" vertical="center"/>
    </xf>
    <xf numFmtId="0" fontId="20" fillId="3" borderId="9" xfId="5" applyFont="1" applyFill="1" applyBorder="1" applyAlignment="1" applyProtection="1">
      <alignment vertical="center"/>
    </xf>
    <xf numFmtId="0" fontId="27" fillId="2" borderId="0" xfId="5" applyNumberFormat="1" applyFont="1" applyFill="1" applyBorder="1" applyAlignment="1" applyProtection="1">
      <alignment horizontal="center" vertical="center"/>
    </xf>
    <xf numFmtId="0" fontId="20" fillId="2" borderId="13" xfId="5" applyFont="1" applyFill="1" applyBorder="1" applyAlignment="1" applyProtection="1">
      <alignment vertical="center"/>
    </xf>
    <xf numFmtId="0" fontId="20" fillId="0" borderId="0" xfId="5" applyFont="1" applyProtection="1"/>
    <xf numFmtId="0" fontId="11" fillId="0" borderId="0" xfId="5" applyFont="1"/>
    <xf numFmtId="0" fontId="11" fillId="0" borderId="0" xfId="5" applyFont="1" applyProtection="1"/>
    <xf numFmtId="0" fontId="11" fillId="0" borderId="0" xfId="0" applyFont="1" applyFill="1" applyBorder="1"/>
    <xf numFmtId="0" fontId="22" fillId="2" borderId="0" xfId="0" applyFont="1" applyFill="1" applyAlignment="1" applyProtection="1">
      <alignment horizontal="left" vertical="center"/>
    </xf>
    <xf numFmtId="0" fontId="22" fillId="2" borderId="0" xfId="0" applyFont="1" applyFill="1" applyAlignment="1" applyProtection="1">
      <alignment horizontal="center" vertical="center"/>
    </xf>
    <xf numFmtId="0" fontId="18" fillId="3" borderId="15" xfId="0" applyFont="1" applyFill="1" applyBorder="1" applyAlignment="1" applyProtection="1">
      <alignment horizontal="center" vertical="center"/>
    </xf>
    <xf numFmtId="0" fontId="18" fillId="3" borderId="16" xfId="0" applyFont="1" applyFill="1" applyBorder="1" applyAlignment="1" applyProtection="1">
      <alignment horizontal="center" vertical="center"/>
    </xf>
    <xf numFmtId="0" fontId="20" fillId="2" borderId="0" xfId="0" applyFont="1" applyFill="1" applyBorder="1" applyAlignment="1" applyProtection="1">
      <alignment vertical="center" wrapText="1"/>
    </xf>
    <xf numFmtId="0" fontId="11" fillId="2" borderId="11" xfId="0" applyFont="1" applyFill="1" applyBorder="1"/>
    <xf numFmtId="0" fontId="0" fillId="0" borderId="0" xfId="0" applyAlignment="1">
      <alignment wrapText="1"/>
    </xf>
    <xf numFmtId="169" fontId="20" fillId="2" borderId="0" xfId="0" applyNumberFormat="1" applyFont="1" applyFill="1" applyBorder="1" applyAlignment="1" applyProtection="1">
      <alignment horizontal="center" vertical="center"/>
    </xf>
    <xf numFmtId="2" fontId="20" fillId="3" borderId="0" xfId="0" applyNumberFormat="1" applyFont="1" applyFill="1" applyBorder="1" applyAlignment="1" applyProtection="1">
      <alignment horizontal="center" vertical="center" wrapText="1"/>
    </xf>
    <xf numFmtId="0" fontId="20" fillId="0" borderId="17" xfId="0" applyFont="1" applyFill="1" applyBorder="1" applyProtection="1"/>
    <xf numFmtId="164" fontId="20" fillId="0" borderId="17" xfId="0" applyNumberFormat="1" applyFont="1" applyFill="1" applyBorder="1" applyAlignment="1" applyProtection="1">
      <alignment horizontal="center" vertical="center" shrinkToFit="1"/>
    </xf>
    <xf numFmtId="0" fontId="20" fillId="3" borderId="9" xfId="0" applyFont="1" applyFill="1" applyBorder="1" applyAlignment="1" applyProtection="1">
      <alignment horizontal="center" vertical="center"/>
    </xf>
    <xf numFmtId="0" fontId="20" fillId="3" borderId="10" xfId="0" applyFont="1" applyFill="1" applyBorder="1" applyAlignment="1" applyProtection="1">
      <alignment horizontal="center" vertical="center"/>
    </xf>
    <xf numFmtId="0" fontId="20" fillId="0" borderId="13" xfId="0" applyFont="1" applyBorder="1" applyProtection="1"/>
    <xf numFmtId="0" fontId="20" fillId="0" borderId="19" xfId="0" applyFont="1" applyFill="1" applyBorder="1" applyProtection="1"/>
    <xf numFmtId="11" fontId="26" fillId="0" borderId="17" xfId="0" applyNumberFormat="1" applyFont="1" applyFill="1" applyBorder="1" applyAlignment="1" applyProtection="1">
      <alignment horizontal="center" vertical="center" wrapText="1"/>
    </xf>
    <xf numFmtId="166" fontId="32" fillId="2" borderId="0" xfId="0" applyNumberFormat="1" applyFont="1" applyFill="1" applyBorder="1" applyAlignment="1" applyProtection="1">
      <alignment horizontal="center" vertical="center" wrapText="1"/>
    </xf>
    <xf numFmtId="166" fontId="27" fillId="0" borderId="0" xfId="0" applyNumberFormat="1" applyFont="1" applyFill="1" applyBorder="1" applyAlignment="1" applyProtection="1">
      <alignment horizontal="center" vertical="center"/>
    </xf>
    <xf numFmtId="166" fontId="20" fillId="2" borderId="0" xfId="0" applyNumberFormat="1" applyFont="1" applyFill="1" applyBorder="1" applyAlignment="1" applyProtection="1">
      <alignment horizontal="center" vertical="center" wrapText="1"/>
    </xf>
    <xf numFmtId="0" fontId="43" fillId="0" borderId="0" xfId="0" applyFont="1" applyAlignment="1">
      <alignment vertical="center"/>
    </xf>
    <xf numFmtId="0" fontId="47" fillId="0" borderId="0" xfId="0" applyFont="1" applyAlignment="1">
      <alignment horizontal="center" vertical="center"/>
    </xf>
    <xf numFmtId="0" fontId="11" fillId="0" borderId="0" xfId="0" applyFont="1" applyAlignment="1">
      <alignment horizontal="left"/>
    </xf>
    <xf numFmtId="0" fontId="50" fillId="0" borderId="0" xfId="0" applyFont="1" applyAlignment="1">
      <alignment vertical="center"/>
    </xf>
    <xf numFmtId="164" fontId="14" fillId="2" borderId="0" xfId="0" applyNumberFormat="1" applyFont="1" applyFill="1" applyBorder="1" applyAlignment="1" applyProtection="1">
      <alignment horizontal="center" vertical="top"/>
    </xf>
    <xf numFmtId="170" fontId="20" fillId="2" borderId="0" xfId="7" applyNumberFormat="1" applyFont="1" applyFill="1" applyBorder="1" applyAlignment="1" applyProtection="1">
      <alignment horizontal="center" vertical="center" wrapText="1"/>
    </xf>
    <xf numFmtId="0" fontId="26" fillId="2" borderId="17" xfId="0" applyFont="1" applyFill="1" applyBorder="1" applyAlignment="1" applyProtection="1">
      <alignment vertical="center" wrapText="1"/>
    </xf>
    <xf numFmtId="0" fontId="51" fillId="0" borderId="0" xfId="0" applyFont="1"/>
    <xf numFmtId="0" fontId="20" fillId="4" borderId="38" xfId="0" applyFont="1" applyFill="1" applyBorder="1" applyAlignment="1" applyProtection="1">
      <alignment horizontal="center" vertical="center"/>
      <protection locked="0"/>
    </xf>
    <xf numFmtId="0" fontId="27" fillId="4" borderId="31" xfId="0" applyNumberFormat="1" applyFont="1" applyFill="1" applyBorder="1" applyAlignment="1" applyProtection="1">
      <alignment horizontal="center" vertical="center" wrapText="1"/>
      <protection locked="0"/>
    </xf>
    <xf numFmtId="2" fontId="27" fillId="4" borderId="1" xfId="0" applyNumberFormat="1" applyFont="1" applyFill="1" applyBorder="1" applyAlignment="1" applyProtection="1">
      <alignment horizontal="center" vertical="center" wrapText="1"/>
      <protection locked="0"/>
    </xf>
    <xf numFmtId="0" fontId="27" fillId="4" borderId="1" xfId="0" applyNumberFormat="1" applyFont="1" applyFill="1" applyBorder="1" applyAlignment="1" applyProtection="1">
      <alignment horizontal="center" vertical="center" wrapText="1"/>
      <protection locked="0"/>
    </xf>
    <xf numFmtId="0" fontId="20" fillId="4" borderId="38" xfId="0" applyNumberFormat="1" applyFont="1" applyFill="1" applyBorder="1" applyAlignment="1" applyProtection="1">
      <alignment horizontal="center" vertical="center" shrinkToFit="1"/>
      <protection locked="0"/>
    </xf>
    <xf numFmtId="11" fontId="27" fillId="2" borderId="18" xfId="0" applyNumberFormat="1" applyFont="1" applyFill="1" applyBorder="1" applyAlignment="1" applyProtection="1">
      <alignment horizontal="center" vertical="center" wrapText="1"/>
      <protection locked="0"/>
    </xf>
    <xf numFmtId="11" fontId="27" fillId="2" borderId="20" xfId="0" applyNumberFormat="1" applyFont="1" applyFill="1" applyBorder="1" applyAlignment="1" applyProtection="1">
      <alignment horizontal="center" vertical="center" wrapText="1"/>
      <protection locked="0"/>
    </xf>
    <xf numFmtId="11" fontId="27" fillId="2" borderId="21" xfId="0" applyNumberFormat="1" applyFont="1" applyFill="1" applyBorder="1" applyAlignment="1" applyProtection="1">
      <alignment horizontal="center" vertical="center" wrapText="1"/>
      <protection locked="0"/>
    </xf>
    <xf numFmtId="2" fontId="27" fillId="4" borderId="31" xfId="0" applyNumberFormat="1" applyFont="1" applyFill="1" applyBorder="1" applyAlignment="1" applyProtection="1">
      <alignment horizontal="center" vertical="center" wrapText="1"/>
      <protection locked="0"/>
    </xf>
    <xf numFmtId="164" fontId="20" fillId="2" borderId="21" xfId="0" applyNumberFormat="1" applyFont="1" applyFill="1" applyBorder="1" applyAlignment="1" applyProtection="1">
      <alignment horizontal="center" vertical="center" wrapText="1"/>
      <protection locked="0"/>
    </xf>
    <xf numFmtId="164" fontId="20" fillId="2" borderId="18" xfId="0" applyNumberFormat="1" applyFont="1" applyFill="1" applyBorder="1" applyAlignment="1" applyProtection="1">
      <alignment horizontal="center" vertical="center" wrapText="1"/>
      <protection locked="0"/>
    </xf>
    <xf numFmtId="0" fontId="27" fillId="4" borderId="38" xfId="0" applyNumberFormat="1" applyFont="1" applyFill="1" applyBorder="1" applyAlignment="1" applyProtection="1">
      <alignment horizontal="center" vertical="center"/>
      <protection locked="0"/>
    </xf>
    <xf numFmtId="11" fontId="27" fillId="4" borderId="1" xfId="0" applyNumberFormat="1" applyFont="1" applyFill="1" applyBorder="1" applyAlignment="1" applyProtection="1">
      <alignment horizontal="center" vertical="center" wrapText="1"/>
      <protection locked="0"/>
    </xf>
    <xf numFmtId="0" fontId="39" fillId="0" borderId="0" xfId="0" applyFont="1" applyFill="1" applyBorder="1" applyAlignment="1" applyProtection="1">
      <alignment horizontal="left" vertical="center" wrapText="1"/>
    </xf>
    <xf numFmtId="0" fontId="39" fillId="0" borderId="0" xfId="0" applyFont="1" applyFill="1" applyBorder="1" applyAlignment="1" applyProtection="1">
      <alignment vertical="center" wrapText="1"/>
    </xf>
    <xf numFmtId="0" fontId="52" fillId="0" borderId="0" xfId="0" applyFont="1"/>
    <xf numFmtId="0" fontId="53" fillId="0" borderId="0" xfId="0" applyFont="1"/>
    <xf numFmtId="0" fontId="20" fillId="12" borderId="0" xfId="0" applyFont="1" applyFill="1" applyBorder="1" applyAlignment="1" applyProtection="1">
      <alignment vertical="center"/>
    </xf>
    <xf numFmtId="0" fontId="22" fillId="12" borderId="0" xfId="0" applyFont="1" applyFill="1" applyBorder="1" applyAlignment="1" applyProtection="1">
      <alignment horizontal="center" vertical="center"/>
    </xf>
    <xf numFmtId="0" fontId="22" fillId="12" borderId="0" xfId="0" applyFont="1" applyFill="1" applyBorder="1" applyAlignment="1" applyProtection="1">
      <alignment vertical="center"/>
    </xf>
    <xf numFmtId="3" fontId="22" fillId="12" borderId="0" xfId="0" applyNumberFormat="1" applyFont="1" applyFill="1" applyBorder="1" applyAlignment="1" applyProtection="1">
      <alignment horizontal="center" vertical="center"/>
    </xf>
    <xf numFmtId="166" fontId="32" fillId="12" borderId="0" xfId="0" applyNumberFormat="1" applyFont="1" applyFill="1" applyBorder="1" applyAlignment="1" applyProtection="1">
      <alignment horizontal="center" vertical="center" wrapText="1"/>
    </xf>
    <xf numFmtId="0" fontId="20" fillId="12" borderId="11" xfId="0" applyFont="1" applyFill="1" applyBorder="1" applyAlignment="1" applyProtection="1">
      <alignment vertical="center"/>
    </xf>
    <xf numFmtId="11" fontId="32" fillId="12" borderId="0" xfId="0" applyNumberFormat="1" applyFont="1" applyFill="1" applyBorder="1" applyAlignment="1" applyProtection="1">
      <alignment horizontal="center" vertical="center" wrapText="1"/>
    </xf>
    <xf numFmtId="0" fontId="26" fillId="12" borderId="0" xfId="0" applyFont="1" applyFill="1" applyBorder="1" applyAlignment="1" applyProtection="1">
      <alignment vertical="center"/>
    </xf>
    <xf numFmtId="0" fontId="20" fillId="12" borderId="0" xfId="0" applyFont="1" applyFill="1" applyBorder="1" applyProtection="1"/>
    <xf numFmtId="11" fontId="26" fillId="12" borderId="0" xfId="0" applyNumberFormat="1" applyFont="1" applyFill="1" applyBorder="1" applyAlignment="1" applyProtection="1">
      <alignment horizontal="center" vertical="center" wrapText="1"/>
    </xf>
    <xf numFmtId="11" fontId="26" fillId="12" borderId="17" xfId="0" applyNumberFormat="1" applyFont="1" applyFill="1" applyBorder="1" applyAlignment="1" applyProtection="1">
      <alignment horizontal="left" vertical="center" wrapText="1"/>
    </xf>
    <xf numFmtId="0" fontId="20" fillId="12" borderId="17" xfId="0" applyFont="1" applyFill="1" applyBorder="1" applyProtection="1"/>
    <xf numFmtId="0" fontId="22" fillId="12" borderId="11" xfId="0" applyFont="1" applyFill="1" applyBorder="1" applyAlignment="1" applyProtection="1">
      <alignment vertical="center"/>
    </xf>
    <xf numFmtId="0" fontId="20" fillId="12" borderId="0" xfId="0" applyFont="1" applyFill="1" applyBorder="1" applyAlignment="1" applyProtection="1">
      <alignment horizontal="center" vertical="center"/>
    </xf>
    <xf numFmtId="0" fontId="22" fillId="3" borderId="9" xfId="0" applyFont="1" applyFill="1" applyBorder="1" applyAlignment="1" applyProtection="1">
      <alignment horizontal="center" vertical="center" wrapText="1"/>
    </xf>
    <xf numFmtId="0" fontId="18" fillId="3" borderId="8" xfId="0" applyFont="1" applyFill="1" applyBorder="1" applyAlignment="1" applyProtection="1">
      <alignment horizontal="center" vertical="center"/>
    </xf>
    <xf numFmtId="0" fontId="22" fillId="3" borderId="10" xfId="0" applyFont="1" applyFill="1" applyBorder="1" applyAlignment="1" applyProtection="1">
      <alignment horizontal="center" vertical="center"/>
    </xf>
    <xf numFmtId="0" fontId="54" fillId="2" borderId="0" xfId="0" applyFont="1" applyFill="1" applyBorder="1" applyAlignment="1" applyProtection="1">
      <alignment horizontal="left" vertical="center"/>
    </xf>
    <xf numFmtId="0" fontId="56" fillId="4" borderId="42" xfId="0" applyNumberFormat="1" applyFont="1" applyFill="1" applyBorder="1" applyAlignment="1" applyProtection="1">
      <alignment horizontal="center" vertical="center" wrapText="1"/>
      <protection locked="0"/>
    </xf>
    <xf numFmtId="0" fontId="56" fillId="4" borderId="43" xfId="0" applyNumberFormat="1" applyFont="1" applyFill="1" applyBorder="1" applyAlignment="1" applyProtection="1">
      <alignment horizontal="center" vertical="center" wrapText="1"/>
      <protection locked="0"/>
    </xf>
    <xf numFmtId="0" fontId="56" fillId="4" borderId="44" xfId="0" applyNumberFormat="1" applyFont="1" applyFill="1" applyBorder="1" applyAlignment="1" applyProtection="1">
      <alignment horizontal="center" vertical="center" wrapText="1"/>
      <protection locked="0"/>
    </xf>
    <xf numFmtId="0" fontId="22" fillId="3" borderId="0" xfId="0" applyFont="1" applyFill="1" applyBorder="1" applyAlignment="1" applyProtection="1">
      <alignment vertical="center"/>
    </xf>
    <xf numFmtId="0" fontId="20" fillId="12" borderId="4" xfId="0" applyFont="1" applyFill="1" applyBorder="1" applyProtection="1"/>
    <xf numFmtId="0" fontId="20" fillId="12" borderId="6" xfId="0" applyFont="1" applyFill="1" applyBorder="1" applyProtection="1"/>
    <xf numFmtId="0" fontId="20" fillId="12" borderId="0" xfId="0" applyFont="1" applyFill="1" applyBorder="1" applyAlignment="1" applyProtection="1">
      <alignment horizontal="center"/>
    </xf>
    <xf numFmtId="0" fontId="20" fillId="12" borderId="6" xfId="0" applyFont="1" applyFill="1" applyBorder="1" applyAlignment="1" applyProtection="1">
      <alignment vertical="center"/>
    </xf>
    <xf numFmtId="0" fontId="20" fillId="12" borderId="0" xfId="0" applyFont="1" applyFill="1" applyBorder="1" applyAlignment="1" applyProtection="1"/>
    <xf numFmtId="0" fontId="26" fillId="12" borderId="17" xfId="0" applyFont="1" applyFill="1" applyBorder="1" applyAlignment="1" applyProtection="1">
      <alignment vertical="center" wrapText="1"/>
    </xf>
    <xf numFmtId="0" fontId="18" fillId="2" borderId="0" xfId="0" applyFont="1" applyFill="1" applyAlignment="1" applyProtection="1">
      <alignment horizontal="left" vertical="center"/>
      <protection locked="0"/>
    </xf>
    <xf numFmtId="0" fontId="0" fillId="0" borderId="11" xfId="0" applyBorder="1"/>
    <xf numFmtId="0" fontId="0" fillId="0" borderId="12" xfId="0" applyBorder="1"/>
    <xf numFmtId="0" fontId="0" fillId="0" borderId="30" xfId="0" applyBorder="1" applyAlignment="1"/>
    <xf numFmtId="0" fontId="0" fillId="0" borderId="31" xfId="0" applyBorder="1"/>
    <xf numFmtId="0" fontId="58" fillId="0" borderId="0" xfId="0" applyFont="1"/>
    <xf numFmtId="0" fontId="39" fillId="0" borderId="0" xfId="0" applyFont="1" applyFill="1" applyAlignment="1">
      <alignment horizontal="left" vertical="center" wrapText="1"/>
    </xf>
    <xf numFmtId="0" fontId="23" fillId="12" borderId="3" xfId="0" applyFont="1" applyFill="1" applyBorder="1" applyProtection="1"/>
    <xf numFmtId="11" fontId="27" fillId="2" borderId="45" xfId="0" applyNumberFormat="1" applyFont="1" applyFill="1" applyBorder="1" applyAlignment="1" applyProtection="1">
      <alignment horizontal="center" vertical="center" wrapText="1"/>
      <protection locked="0"/>
    </xf>
    <xf numFmtId="2" fontId="45" fillId="2" borderId="13" xfId="0" applyNumberFormat="1" applyFont="1" applyFill="1" applyBorder="1" applyAlignment="1" applyProtection="1">
      <alignment horizontal="center" vertical="top" wrapText="1"/>
    </xf>
    <xf numFmtId="0" fontId="27" fillId="2" borderId="46" xfId="0" applyNumberFormat="1" applyFont="1" applyFill="1" applyBorder="1" applyAlignment="1" applyProtection="1">
      <alignment horizontal="center" vertical="center" wrapText="1"/>
      <protection locked="0"/>
    </xf>
    <xf numFmtId="0" fontId="11" fillId="2" borderId="0" xfId="0" applyFont="1" applyFill="1" applyBorder="1"/>
    <xf numFmtId="0" fontId="0" fillId="0" borderId="9" xfId="0" applyBorder="1"/>
    <xf numFmtId="0" fontId="0" fillId="0" borderId="9" xfId="0" applyNumberFormat="1" applyBorder="1"/>
    <xf numFmtId="0" fontId="11" fillId="0" borderId="9" xfId="0" quotePrefix="1" applyFont="1" applyBorder="1"/>
    <xf numFmtId="0" fontId="36" fillId="0" borderId="0" xfId="0" applyFont="1"/>
    <xf numFmtId="0" fontId="6" fillId="16" borderId="0" xfId="0" applyFont="1" applyFill="1"/>
    <xf numFmtId="0" fontId="6" fillId="16" borderId="0" xfId="0" applyFont="1" applyFill="1" applyAlignment="1">
      <alignment wrapText="1"/>
    </xf>
    <xf numFmtId="0" fontId="11" fillId="0" borderId="0" xfId="0" applyFont="1" applyBorder="1" applyAlignment="1">
      <alignment wrapText="1"/>
    </xf>
    <xf numFmtId="171" fontId="6" fillId="16" borderId="0" xfId="0" applyNumberFormat="1" applyFont="1" applyFill="1" applyAlignment="1">
      <alignment wrapText="1"/>
    </xf>
    <xf numFmtId="171" fontId="0" fillId="0" borderId="0" xfId="0" applyNumberFormat="1" applyAlignment="1">
      <alignment wrapText="1"/>
    </xf>
    <xf numFmtId="0" fontId="11" fillId="0" borderId="9" xfId="0" applyFont="1" applyFill="1" applyBorder="1"/>
    <xf numFmtId="0" fontId="11" fillId="0" borderId="9" xfId="0" applyFont="1" applyFill="1" applyBorder="1" applyAlignment="1">
      <alignment wrapText="1"/>
    </xf>
    <xf numFmtId="171" fontId="11" fillId="0" borderId="10" xfId="0" applyNumberFormat="1" applyFont="1" applyFill="1" applyBorder="1" applyAlignment="1">
      <alignment wrapText="1"/>
    </xf>
    <xf numFmtId="0" fontId="11" fillId="0" borderId="0" xfId="0" applyFont="1" applyFill="1" applyBorder="1" applyAlignment="1">
      <alignment wrapText="1"/>
    </xf>
    <xf numFmtId="171" fontId="11" fillId="0" borderId="17" xfId="0" applyNumberFormat="1" applyFont="1" applyFill="1" applyBorder="1" applyAlignment="1">
      <alignment wrapText="1"/>
    </xf>
    <xf numFmtId="0" fontId="24" fillId="0" borderId="17" xfId="0" applyFont="1" applyFill="1" applyBorder="1" applyAlignment="1" applyProtection="1">
      <alignment vertical="center"/>
    </xf>
    <xf numFmtId="0" fontId="11" fillId="0" borderId="11" xfId="0" applyFont="1" applyFill="1" applyBorder="1"/>
    <xf numFmtId="2" fontId="20" fillId="0" borderId="0" xfId="0" applyNumberFormat="1" applyFont="1" applyProtection="1"/>
    <xf numFmtId="167" fontId="20" fillId="2" borderId="0" xfId="0" applyNumberFormat="1" applyFont="1" applyFill="1" applyBorder="1" applyAlignment="1" applyProtection="1">
      <alignment horizontal="center" vertical="center" wrapText="1"/>
    </xf>
    <xf numFmtId="11" fontId="26" fillId="0" borderId="0" xfId="0" applyNumberFormat="1" applyFont="1" applyFill="1" applyBorder="1" applyAlignment="1" applyProtection="1">
      <alignment horizontal="left" vertical="center"/>
    </xf>
    <xf numFmtId="2" fontId="20" fillId="0" borderId="19" xfId="0" applyNumberFormat="1" applyFont="1" applyFill="1" applyBorder="1" applyAlignment="1" applyProtection="1">
      <alignment horizontal="center" vertical="center" wrapText="1"/>
    </xf>
    <xf numFmtId="0" fontId="11" fillId="0" borderId="0" xfId="0" applyFont="1" applyAlignment="1" applyProtection="1">
      <alignment horizontal="left"/>
    </xf>
    <xf numFmtId="0" fontId="11" fillId="0" borderId="0" xfId="0" applyFont="1" applyProtection="1"/>
    <xf numFmtId="11" fontId="9" fillId="2" borderId="30" xfId="8" applyNumberFormat="1" applyFont="1" applyFill="1" applyBorder="1" applyAlignment="1" applyProtection="1">
      <alignment horizontal="center" wrapText="1"/>
    </xf>
    <xf numFmtId="0" fontId="11" fillId="0" borderId="0" xfId="0" applyFont="1" applyAlignment="1" applyProtection="1">
      <alignment horizontal="center"/>
    </xf>
    <xf numFmtId="0" fontId="11" fillId="0" borderId="0" xfId="0" applyFont="1" applyFill="1" applyProtection="1">
      <protection locked="0"/>
    </xf>
    <xf numFmtId="0" fontId="11" fillId="0" borderId="0" xfId="0" applyNumberFormat="1" applyFont="1" applyFill="1" applyBorder="1" applyAlignment="1" applyProtection="1">
      <alignment horizontal="center"/>
      <protection locked="0"/>
    </xf>
    <xf numFmtId="0" fontId="9" fillId="2" borderId="11" xfId="8" applyNumberFormat="1" applyFont="1" applyFill="1" applyBorder="1" applyAlignment="1" applyProtection="1">
      <alignment horizontal="center" wrapText="1"/>
    </xf>
    <xf numFmtId="11" fontId="9" fillId="2" borderId="17" xfId="8" applyNumberFormat="1" applyFont="1" applyFill="1" applyBorder="1" applyAlignment="1" applyProtection="1">
      <alignment horizontal="center" wrapText="1"/>
    </xf>
    <xf numFmtId="11" fontId="9" fillId="2" borderId="11" xfId="8" applyNumberFormat="1" applyFont="1" applyFill="1" applyBorder="1" applyAlignment="1" applyProtection="1">
      <alignment horizontal="center" wrapText="1"/>
    </xf>
    <xf numFmtId="11" fontId="9" fillId="2" borderId="0" xfId="8" applyNumberFormat="1" applyFont="1" applyFill="1" applyBorder="1" applyAlignment="1" applyProtection="1">
      <alignment horizontal="center" wrapText="1"/>
    </xf>
    <xf numFmtId="0" fontId="6" fillId="3" borderId="2" xfId="0" applyFont="1" applyFill="1" applyBorder="1" applyAlignment="1" applyProtection="1">
      <alignment horizontal="right"/>
    </xf>
    <xf numFmtId="11" fontId="12" fillId="3" borderId="8" xfId="8" applyNumberFormat="1" applyFont="1" applyFill="1" applyBorder="1" applyAlignment="1" applyProtection="1">
      <alignment horizontal="center" wrapText="1"/>
    </xf>
    <xf numFmtId="0" fontId="6" fillId="3" borderId="2" xfId="0" applyFont="1" applyFill="1" applyBorder="1" applyProtection="1"/>
    <xf numFmtId="0" fontId="11" fillId="0" borderId="0" xfId="0" applyFont="1" applyFill="1" applyBorder="1" applyProtection="1">
      <protection locked="0"/>
    </xf>
    <xf numFmtId="0" fontId="11" fillId="3" borderId="30" xfId="0" applyFont="1" applyFill="1" applyBorder="1" applyProtection="1"/>
    <xf numFmtId="166" fontId="9" fillId="3" borderId="11" xfId="8" applyNumberFormat="1" applyFont="1" applyFill="1" applyBorder="1" applyAlignment="1" applyProtection="1">
      <alignment horizontal="center"/>
    </xf>
    <xf numFmtId="0" fontId="6" fillId="3" borderId="31" xfId="0" applyFont="1" applyFill="1" applyBorder="1" applyAlignment="1" applyProtection="1">
      <alignment horizontal="left"/>
    </xf>
    <xf numFmtId="166" fontId="9" fillId="3" borderId="12" xfId="8" applyNumberFormat="1" applyFont="1" applyFill="1" applyBorder="1" applyAlignment="1" applyProtection="1">
      <alignment horizontal="center"/>
    </xf>
    <xf numFmtId="166" fontId="9" fillId="3" borderId="19" xfId="8" applyNumberFormat="1" applyFont="1" applyFill="1" applyBorder="1" applyAlignment="1" applyProtection="1"/>
    <xf numFmtId="166" fontId="9" fillId="3" borderId="19" xfId="8" applyNumberFormat="1" applyFont="1" applyFill="1" applyBorder="1" applyAlignment="1" applyProtection="1">
      <alignment horizontal="center"/>
    </xf>
    <xf numFmtId="166" fontId="9" fillId="3" borderId="13" xfId="8" applyNumberFormat="1" applyFont="1" applyFill="1" applyBorder="1" applyAlignment="1" applyProtection="1">
      <alignment horizontal="center"/>
    </xf>
    <xf numFmtId="1" fontId="11" fillId="0" borderId="1" xfId="0" applyNumberFormat="1" applyFont="1" applyFill="1" applyBorder="1" applyProtection="1"/>
    <xf numFmtId="0" fontId="11" fillId="0" borderId="31" xfId="0" applyFont="1" applyFill="1" applyBorder="1" applyAlignment="1" applyProtection="1">
      <alignment horizontal="center"/>
    </xf>
    <xf numFmtId="11" fontId="11" fillId="0" borderId="1" xfId="0" applyNumberFormat="1" applyFont="1" applyFill="1" applyBorder="1" applyAlignment="1" applyProtection="1">
      <alignment horizontal="center"/>
    </xf>
    <xf numFmtId="11" fontId="11" fillId="0" borderId="31" xfId="0" applyNumberFormat="1" applyFont="1" applyFill="1" applyBorder="1" applyAlignment="1" applyProtection="1">
      <alignment horizontal="center"/>
    </xf>
    <xf numFmtId="11" fontId="11" fillId="0" borderId="31" xfId="8" applyNumberFormat="1" applyFont="1" applyFill="1" applyBorder="1" applyAlignment="1" applyProtection="1">
      <alignment horizontal="center"/>
    </xf>
    <xf numFmtId="0" fontId="11" fillId="0" borderId="1" xfId="0" applyFont="1" applyFill="1" applyBorder="1" applyProtection="1"/>
    <xf numFmtId="11" fontId="11" fillId="0" borderId="1" xfId="8" applyNumberFormat="1" applyFont="1" applyFill="1" applyBorder="1" applyAlignment="1" applyProtection="1">
      <alignment horizontal="left"/>
    </xf>
    <xf numFmtId="2" fontId="11" fillId="0" borderId="31" xfId="0" applyNumberFormat="1" applyFont="1" applyFill="1" applyBorder="1" applyAlignment="1" applyProtection="1">
      <alignment horizontal="center"/>
    </xf>
    <xf numFmtId="0" fontId="11" fillId="0" borderId="1" xfId="0" applyFont="1" applyFill="1" applyBorder="1" applyAlignment="1" applyProtection="1">
      <alignment horizontal="center"/>
    </xf>
    <xf numFmtId="0" fontId="11" fillId="0" borderId="0" xfId="0" applyFont="1" applyFill="1" applyAlignment="1" applyProtection="1">
      <alignment horizontal="left"/>
    </xf>
    <xf numFmtId="0" fontId="11" fillId="0" borderId="0" xfId="0" applyFont="1" applyFill="1" applyProtection="1"/>
    <xf numFmtId="0" fontId="11" fillId="0" borderId="0" xfId="0" applyFont="1" applyAlignment="1" applyProtection="1">
      <alignment horizontal="center"/>
      <protection locked="0"/>
    </xf>
    <xf numFmtId="0" fontId="11" fillId="0" borderId="0" xfId="0" applyFont="1" applyProtection="1">
      <protection locked="0"/>
    </xf>
    <xf numFmtId="11" fontId="11" fillId="0" borderId="0" xfId="0" applyNumberFormat="1" applyFont="1" applyAlignment="1" applyProtection="1">
      <alignment horizontal="center"/>
      <protection locked="0"/>
    </xf>
    <xf numFmtId="0" fontId="11" fillId="0" borderId="0" xfId="0" applyFont="1" applyFill="1" applyAlignment="1" applyProtection="1">
      <alignment horizontal="left" indent="2"/>
    </xf>
    <xf numFmtId="0" fontId="63" fillId="0" borderId="0" xfId="9" applyFill="1" applyAlignment="1" applyProtection="1"/>
    <xf numFmtId="0" fontId="2" fillId="0" borderId="0" xfId="1" applyNumberFormat="1" applyFont="1" applyFill="1" applyBorder="1" applyAlignment="1" applyProtection="1">
      <protection locked="0"/>
    </xf>
    <xf numFmtId="0" fontId="2" fillId="0" borderId="0" xfId="1" applyNumberFormat="1" applyFont="1" applyFill="1" applyBorder="1" applyAlignment="1" applyProtection="1">
      <alignment horizontal="center"/>
      <protection locked="0"/>
    </xf>
    <xf numFmtId="0" fontId="6" fillId="3" borderId="30" xfId="0" applyFont="1" applyFill="1" applyBorder="1" applyProtection="1"/>
    <xf numFmtId="166" fontId="9" fillId="17" borderId="11" xfId="0" applyNumberFormat="1" applyFont="1" applyFill="1" applyBorder="1" applyAlignment="1" applyProtection="1">
      <alignment horizontal="center"/>
    </xf>
    <xf numFmtId="166" fontId="9" fillId="17" borderId="17" xfId="0" applyNumberFormat="1" applyFont="1" applyFill="1" applyBorder="1" applyAlignment="1" applyProtection="1">
      <alignment horizontal="center"/>
    </xf>
    <xf numFmtId="0" fontId="11" fillId="0" borderId="0" xfId="0" applyNumberFormat="1" applyFont="1" applyAlignment="1" applyProtection="1">
      <alignment horizontal="left"/>
    </xf>
    <xf numFmtId="0" fontId="12" fillId="3" borderId="2" xfId="8" applyNumberFormat="1" applyFont="1" applyFill="1" applyBorder="1" applyAlignment="1" applyProtection="1">
      <alignment horizontal="center" wrapText="1"/>
    </xf>
    <xf numFmtId="0" fontId="9" fillId="3" borderId="30" xfId="8" applyNumberFormat="1" applyFont="1" applyFill="1" applyBorder="1" applyAlignment="1" applyProtection="1">
      <alignment horizontal="center"/>
    </xf>
    <xf numFmtId="0" fontId="12" fillId="3" borderId="31" xfId="8" applyNumberFormat="1" applyFont="1" applyFill="1" applyBorder="1" applyAlignment="1" applyProtection="1">
      <alignment horizontal="left"/>
    </xf>
    <xf numFmtId="0" fontId="11" fillId="0" borderId="31" xfId="8" applyNumberFormat="1" applyFont="1" applyFill="1" applyBorder="1" applyAlignment="1" applyProtection="1">
      <alignment horizontal="left"/>
    </xf>
    <xf numFmtId="0" fontId="11" fillId="0" borderId="0" xfId="0" applyNumberFormat="1" applyFont="1" applyAlignment="1" applyProtection="1">
      <alignment horizontal="left"/>
      <protection locked="0"/>
    </xf>
    <xf numFmtId="11" fontId="27" fillId="0" borderId="0" xfId="0" applyNumberFormat="1" applyFont="1" applyFill="1" applyBorder="1" applyAlignment="1" applyProtection="1">
      <alignment horizontal="center" vertical="center" wrapText="1"/>
    </xf>
    <xf numFmtId="0" fontId="20" fillId="4" borderId="38" xfId="0" applyFont="1" applyFill="1" applyBorder="1" applyAlignment="1" applyProtection="1">
      <alignment horizontal="center" vertical="center" wrapText="1"/>
      <protection locked="0"/>
    </xf>
    <xf numFmtId="164" fontId="20" fillId="2" borderId="18" xfId="0" applyNumberFormat="1" applyFont="1" applyFill="1" applyBorder="1" applyAlignment="1" applyProtection="1">
      <alignment horizontal="center" vertical="center" wrapText="1"/>
    </xf>
    <xf numFmtId="166" fontId="20" fillId="0" borderId="0" xfId="0" applyNumberFormat="1" applyFont="1" applyFill="1" applyBorder="1" applyAlignment="1" applyProtection="1">
      <alignment horizontal="center" vertical="center" wrapText="1"/>
    </xf>
    <xf numFmtId="166" fontId="27" fillId="0" borderId="0" xfId="0" applyNumberFormat="1" applyFont="1" applyFill="1" applyBorder="1" applyAlignment="1" applyProtection="1">
      <alignment horizontal="center" vertical="center" wrapText="1"/>
    </xf>
    <xf numFmtId="166" fontId="32" fillId="0" borderId="0" xfId="0" applyNumberFormat="1" applyFont="1" applyFill="1" applyBorder="1" applyAlignment="1" applyProtection="1">
      <alignment horizontal="center" vertical="center" wrapText="1"/>
    </xf>
    <xf numFmtId="166" fontId="9" fillId="17" borderId="11" xfId="0" applyNumberFormat="1" applyFont="1" applyFill="1" applyBorder="1" applyAlignment="1" applyProtection="1">
      <alignment horizontal="center"/>
    </xf>
    <xf numFmtId="166" fontId="9" fillId="17" borderId="17" xfId="0" applyNumberFormat="1" applyFont="1" applyFill="1" applyBorder="1" applyAlignment="1" applyProtection="1">
      <alignment horizontal="center"/>
    </xf>
    <xf numFmtId="166" fontId="9" fillId="17" borderId="0" xfId="0" applyNumberFormat="1" applyFont="1" applyFill="1" applyBorder="1" applyAlignment="1" applyProtection="1">
      <alignment horizontal="center"/>
    </xf>
    <xf numFmtId="166" fontId="9" fillId="17" borderId="12" xfId="0" applyNumberFormat="1" applyFont="1" applyFill="1" applyBorder="1" applyAlignment="1" applyProtection="1">
      <alignment horizontal="center"/>
    </xf>
    <xf numFmtId="0" fontId="43" fillId="0" borderId="1" xfId="0" applyFont="1" applyBorder="1"/>
    <xf numFmtId="164" fontId="20" fillId="2" borderId="49" xfId="0" applyNumberFormat="1" applyFont="1" applyFill="1" applyBorder="1" applyAlignment="1" applyProtection="1">
      <alignment horizontal="center" vertical="center" wrapText="1"/>
    </xf>
    <xf numFmtId="0" fontId="0" fillId="0" borderId="0" xfId="0" applyFill="1" applyBorder="1"/>
    <xf numFmtId="11" fontId="27" fillId="2" borderId="50" xfId="0" applyNumberFormat="1" applyFont="1" applyFill="1" applyBorder="1" applyAlignment="1" applyProtection="1">
      <alignment horizontal="center" vertical="center" wrapText="1"/>
      <protection locked="0"/>
    </xf>
    <xf numFmtId="2" fontId="20" fillId="2" borderId="51" xfId="0" applyNumberFormat="1" applyFont="1" applyFill="1" applyBorder="1" applyAlignment="1" applyProtection="1">
      <alignment horizontal="center" vertical="center" wrapText="1"/>
    </xf>
    <xf numFmtId="2" fontId="20" fillId="2" borderId="18" xfId="0" applyNumberFormat="1" applyFont="1" applyFill="1" applyBorder="1" applyAlignment="1" applyProtection="1">
      <alignment horizontal="center" vertical="center" wrapText="1"/>
    </xf>
    <xf numFmtId="165" fontId="20" fillId="2" borderId="18" xfId="0" applyNumberFormat="1" applyFont="1" applyFill="1" applyBorder="1" applyAlignment="1" applyProtection="1">
      <alignment horizontal="center" vertical="center" wrapText="1"/>
    </xf>
    <xf numFmtId="0" fontId="56" fillId="4" borderId="53" xfId="0" applyNumberFormat="1" applyFont="1" applyFill="1" applyBorder="1" applyAlignment="1" applyProtection="1">
      <alignment horizontal="center" vertical="center" wrapText="1"/>
      <protection locked="0"/>
    </xf>
    <xf numFmtId="0" fontId="6" fillId="0" borderId="54" xfId="0" applyFont="1" applyBorder="1"/>
    <xf numFmtId="0" fontId="11" fillId="0" borderId="30" xfId="8" applyNumberFormat="1" applyFont="1" applyFill="1" applyBorder="1" applyAlignment="1" applyProtection="1">
      <alignment horizontal="left"/>
    </xf>
    <xf numFmtId="0" fontId="0" fillId="0" borderId="30" xfId="0" applyBorder="1" applyProtection="1">
      <protection locked="0"/>
    </xf>
    <xf numFmtId="0" fontId="22" fillId="18" borderId="0" xfId="0" applyFont="1" applyFill="1" applyBorder="1" applyAlignment="1" applyProtection="1">
      <alignment vertical="center"/>
    </xf>
    <xf numFmtId="0" fontId="20" fillId="18" borderId="0" xfId="0" applyFont="1" applyFill="1" applyBorder="1" applyAlignment="1" applyProtection="1">
      <alignment vertical="center"/>
    </xf>
    <xf numFmtId="0" fontId="22" fillId="18" borderId="0" xfId="0" applyFont="1" applyFill="1" applyBorder="1" applyAlignment="1" applyProtection="1">
      <alignment horizontal="center" vertical="center"/>
    </xf>
    <xf numFmtId="3" fontId="22" fillId="18" borderId="0" xfId="0" applyNumberFormat="1" applyFont="1" applyFill="1" applyBorder="1" applyAlignment="1" applyProtection="1">
      <alignment horizontal="center" vertical="center"/>
    </xf>
    <xf numFmtId="0" fontId="20" fillId="18" borderId="11" xfId="0" applyFont="1" applyFill="1" applyBorder="1" applyAlignment="1" applyProtection="1">
      <alignment vertical="center"/>
    </xf>
    <xf numFmtId="0" fontId="0" fillId="18" borderId="0" xfId="0" applyFill="1"/>
    <xf numFmtId="0" fontId="6" fillId="18" borderId="0" xfId="0" applyFont="1" applyFill="1"/>
    <xf numFmtId="0" fontId="20" fillId="2" borderId="11" xfId="0" applyFont="1" applyFill="1" applyBorder="1" applyAlignment="1" applyProtection="1">
      <alignment vertical="center" wrapText="1"/>
    </xf>
    <xf numFmtId="0" fontId="20" fillId="2" borderId="0" xfId="0" applyFont="1" applyFill="1" applyBorder="1" applyAlignment="1" applyProtection="1">
      <alignment wrapText="1"/>
    </xf>
    <xf numFmtId="0" fontId="20" fillId="2" borderId="0" xfId="0" applyFont="1" applyFill="1" applyBorder="1" applyAlignment="1" applyProtection="1">
      <alignment horizontal="center" vertical="center" wrapText="1"/>
    </xf>
    <xf numFmtId="0" fontId="11" fillId="16" borderId="0" xfId="0" applyFont="1" applyFill="1"/>
    <xf numFmtId="0" fontId="11" fillId="16" borderId="0" xfId="0" applyFont="1" applyFill="1" applyAlignment="1">
      <alignment wrapText="1"/>
    </xf>
    <xf numFmtId="0" fontId="11" fillId="0" borderId="8" xfId="0" applyFont="1" applyFill="1" applyBorder="1"/>
    <xf numFmtId="11" fontId="9" fillId="0" borderId="0" xfId="0" applyNumberFormat="1" applyFont="1" applyFill="1" applyBorder="1" applyAlignment="1" applyProtection="1">
      <alignment horizontal="left" vertical="center"/>
    </xf>
    <xf numFmtId="0" fontId="11" fillId="0" borderId="0" xfId="0" applyFont="1" applyFill="1" applyBorder="1" applyAlignment="1" applyProtection="1">
      <alignment vertical="center"/>
    </xf>
    <xf numFmtId="0" fontId="11" fillId="0" borderId="0" xfId="0" applyFont="1" applyFill="1" applyBorder="1" applyAlignment="1" applyProtection="1">
      <alignment horizontal="left" vertical="center"/>
    </xf>
    <xf numFmtId="0" fontId="0" fillId="0" borderId="9" xfId="0" applyFont="1" applyFill="1" applyBorder="1"/>
    <xf numFmtId="0" fontId="11" fillId="18" borderId="0" xfId="0" applyFont="1" applyFill="1" applyBorder="1"/>
    <xf numFmtId="0" fontId="11" fillId="18" borderId="17" xfId="0" quotePrefix="1" applyFont="1" applyFill="1" applyBorder="1"/>
    <xf numFmtId="11" fontId="27" fillId="2" borderId="17" xfId="5" applyNumberFormat="1" applyFont="1" applyFill="1" applyBorder="1" applyAlignment="1" applyProtection="1">
      <alignment horizontal="center" vertical="center" wrapText="1"/>
    </xf>
    <xf numFmtId="0" fontId="20" fillId="2" borderId="19" xfId="5" applyFont="1" applyFill="1" applyBorder="1" applyAlignment="1" applyProtection="1">
      <alignment horizontal="center" vertical="center"/>
    </xf>
    <xf numFmtId="171" fontId="0" fillId="0" borderId="17" xfId="0" applyNumberFormat="1" applyBorder="1" applyAlignment="1">
      <alignment wrapText="1"/>
    </xf>
    <xf numFmtId="0" fontId="66" fillId="10" borderId="1" xfId="0" applyFont="1" applyFill="1" applyBorder="1" applyProtection="1"/>
    <xf numFmtId="0" fontId="11" fillId="10" borderId="1" xfId="0" applyFont="1" applyFill="1" applyBorder="1" applyProtection="1"/>
    <xf numFmtId="1" fontId="11" fillId="0" borderId="31" xfId="0" applyNumberFormat="1" applyFont="1" applyFill="1" applyBorder="1" applyProtection="1"/>
    <xf numFmtId="0" fontId="11" fillId="0" borderId="1" xfId="0" applyFont="1" applyFill="1" applyBorder="1" applyAlignment="1" applyProtection="1">
      <alignment horizontal="left"/>
    </xf>
    <xf numFmtId="0" fontId="0" fillId="7" borderId="26" xfId="0" applyNumberFormat="1" applyFont="1" applyFill="1" applyBorder="1" applyAlignment="1" applyProtection="1">
      <alignment horizontal="center" wrapText="1"/>
    </xf>
    <xf numFmtId="0" fontId="0" fillId="7" borderId="29" xfId="0" applyNumberFormat="1" applyFont="1" applyFill="1" applyBorder="1" applyAlignment="1" applyProtection="1">
      <alignment horizontal="center" wrapText="1"/>
    </xf>
    <xf numFmtId="0" fontId="59" fillId="7" borderId="25" xfId="0" applyNumberFormat="1" applyFont="1" applyFill="1" applyBorder="1" applyAlignment="1" applyProtection="1">
      <alignment horizontal="center" wrapText="1"/>
    </xf>
    <xf numFmtId="0" fontId="0" fillId="7" borderId="25" xfId="0" applyNumberFormat="1" applyFont="1" applyFill="1" applyBorder="1" applyAlignment="1" applyProtection="1">
      <alignment horizontal="center" wrapText="1"/>
    </xf>
    <xf numFmtId="0" fontId="0" fillId="7" borderId="0" xfId="0" applyNumberFormat="1" applyFont="1" applyFill="1" applyBorder="1" applyAlignment="1" applyProtection="1">
      <alignment horizontal="right"/>
    </xf>
    <xf numFmtId="0" fontId="0" fillId="7" borderId="28" xfId="0" applyNumberFormat="1" applyFont="1" applyFill="1" applyBorder="1" applyAlignment="1" applyProtection="1">
      <alignment horizontal="left" wrapText="1"/>
    </xf>
    <xf numFmtId="0" fontId="0" fillId="7" borderId="0" xfId="0" applyNumberFormat="1" applyFont="1" applyFill="1" applyBorder="1" applyAlignment="1" applyProtection="1">
      <alignment horizontal="center" wrapText="1"/>
    </xf>
    <xf numFmtId="0" fontId="0" fillId="7" borderId="28" xfId="0" applyNumberFormat="1" applyFont="1" applyFill="1" applyBorder="1" applyAlignment="1" applyProtection="1">
      <alignment horizontal="center" wrapText="1"/>
    </xf>
    <xf numFmtId="0" fontId="0" fillId="7" borderId="26" xfId="0" applyNumberFormat="1" applyFont="1" applyFill="1" applyBorder="1" applyAlignment="1" applyProtection="1">
      <alignment horizontal="right"/>
    </xf>
    <xf numFmtId="0" fontId="0" fillId="7" borderId="29" xfId="0" applyNumberFormat="1" applyFont="1" applyFill="1" applyBorder="1" applyAlignment="1" applyProtection="1">
      <alignment horizontal="left" wrapText="1"/>
    </xf>
    <xf numFmtId="11" fontId="44" fillId="0" borderId="0" xfId="0" applyNumberFormat="1" applyFont="1" applyAlignment="1">
      <alignment horizontal="center"/>
    </xf>
    <xf numFmtId="11" fontId="11" fillId="0" borderId="0" xfId="0" applyNumberFormat="1" applyFont="1" applyAlignment="1">
      <alignment horizontal="center"/>
    </xf>
    <xf numFmtId="0" fontId="11" fillId="0" borderId="0" xfId="0" applyFont="1" applyAlignment="1">
      <alignment wrapText="1"/>
    </xf>
    <xf numFmtId="0" fontId="0" fillId="19" borderId="0" xfId="0" applyNumberFormat="1" applyFont="1" applyFill="1" applyBorder="1" applyAlignment="1" applyProtection="1"/>
    <xf numFmtId="1" fontId="12" fillId="17" borderId="8" xfId="0" applyNumberFormat="1" applyFont="1" applyFill="1" applyBorder="1" applyAlignment="1" applyProtection="1">
      <alignment horizontal="center" wrapText="1"/>
    </xf>
    <xf numFmtId="166" fontId="9" fillId="3" borderId="19" xfId="8" applyNumberFormat="1" applyFont="1" applyFill="1" applyBorder="1" applyAlignment="1" applyProtection="1">
      <alignment horizontal="left"/>
    </xf>
    <xf numFmtId="11" fontId="11" fillId="0" borderId="31" xfId="0" applyNumberFormat="1" applyFont="1" applyFill="1" applyBorder="1" applyAlignment="1" applyProtection="1">
      <alignment horizontal="left"/>
    </xf>
    <xf numFmtId="0" fontId="11" fillId="0" borderId="0" xfId="0" applyFont="1" applyAlignment="1" applyProtection="1">
      <alignment horizontal="left"/>
      <protection locked="0"/>
    </xf>
    <xf numFmtId="166" fontId="9" fillId="3" borderId="19" xfId="8" applyNumberFormat="1" applyFont="1" applyFill="1" applyBorder="1" applyAlignment="1" applyProtection="1">
      <alignment horizontal="left" vertical="center"/>
    </xf>
    <xf numFmtId="11" fontId="11" fillId="0" borderId="31" xfId="8" applyNumberFormat="1" applyFont="1" applyFill="1" applyBorder="1" applyAlignment="1" applyProtection="1">
      <alignment horizontal="left"/>
    </xf>
    <xf numFmtId="2" fontId="11" fillId="0" borderId="0" xfId="0" applyNumberFormat="1" applyFont="1" applyAlignment="1" applyProtection="1">
      <alignment horizontal="center"/>
    </xf>
    <xf numFmtId="2" fontId="9" fillId="3" borderId="12" xfId="8" applyNumberFormat="1" applyFont="1" applyFill="1" applyBorder="1" applyAlignment="1" applyProtection="1">
      <alignment horizontal="center"/>
    </xf>
    <xf numFmtId="2" fontId="11" fillId="0" borderId="31" xfId="8" applyNumberFormat="1" applyFont="1" applyFill="1" applyBorder="1" applyAlignment="1" applyProtection="1">
      <alignment horizontal="center"/>
    </xf>
    <xf numFmtId="2" fontId="11" fillId="0" borderId="1" xfId="8" applyNumberFormat="1" applyFont="1" applyFill="1" applyBorder="1" applyAlignment="1" applyProtection="1">
      <alignment horizontal="center"/>
    </xf>
    <xf numFmtId="2" fontId="11" fillId="0" borderId="0" xfId="0" applyNumberFormat="1" applyFont="1" applyAlignment="1" applyProtection="1">
      <alignment horizontal="center"/>
      <protection locked="0"/>
    </xf>
    <xf numFmtId="1" fontId="11" fillId="0" borderId="0" xfId="0" applyNumberFormat="1" applyFont="1" applyFill="1" applyProtection="1">
      <protection locked="0"/>
    </xf>
    <xf numFmtId="1" fontId="6" fillId="3" borderId="2" xfId="0" applyNumberFormat="1" applyFont="1" applyFill="1" applyBorder="1" applyProtection="1"/>
    <xf numFmtId="1" fontId="11" fillId="3" borderId="30" xfId="0" applyNumberFormat="1" applyFont="1" applyFill="1" applyBorder="1" applyProtection="1"/>
    <xf numFmtId="1" fontId="6" fillId="3" borderId="31" xfId="0" applyNumberFormat="1" applyFont="1" applyFill="1" applyBorder="1" applyProtection="1"/>
    <xf numFmtId="1" fontId="11" fillId="0" borderId="1" xfId="8" applyNumberFormat="1" applyFont="1" applyFill="1" applyBorder="1" applyAlignment="1" applyProtection="1">
      <alignment horizontal="left"/>
    </xf>
    <xf numFmtId="1" fontId="66" fillId="10" borderId="1" xfId="0" applyNumberFormat="1" applyFont="1" applyFill="1" applyBorder="1" applyProtection="1"/>
    <xf numFmtId="0" fontId="20" fillId="3" borderId="13" xfId="0" applyFont="1" applyFill="1" applyBorder="1" applyAlignment="1" applyProtection="1">
      <alignment horizontal="left" vertical="center"/>
    </xf>
    <xf numFmtId="0" fontId="18" fillId="3" borderId="13" xfId="0" applyFont="1" applyFill="1" applyBorder="1" applyAlignment="1" applyProtection="1">
      <alignment horizontal="center" vertical="center"/>
    </xf>
    <xf numFmtId="0" fontId="18" fillId="3" borderId="19" xfId="0" applyFont="1" applyFill="1" applyBorder="1" applyAlignment="1" applyProtection="1">
      <alignment horizontal="center" vertical="center"/>
    </xf>
    <xf numFmtId="0" fontId="18" fillId="3" borderId="14" xfId="0" applyFont="1" applyFill="1" applyBorder="1" applyAlignment="1" applyProtection="1">
      <alignment horizontal="center" vertical="center"/>
    </xf>
    <xf numFmtId="0" fontId="24" fillId="3" borderId="12" xfId="0" applyFont="1" applyFill="1" applyBorder="1" applyAlignment="1" applyProtection="1">
      <alignment horizontal="left" vertical="center"/>
    </xf>
    <xf numFmtId="165" fontId="20" fillId="2" borderId="55" xfId="0" applyNumberFormat="1" applyFont="1" applyFill="1" applyBorder="1" applyAlignment="1" applyProtection="1">
      <alignment horizontal="center" vertical="center" wrapText="1"/>
    </xf>
    <xf numFmtId="165" fontId="20" fillId="2" borderId="17" xfId="0" applyNumberFormat="1" applyFont="1" applyFill="1" applyBorder="1" applyAlignment="1" applyProtection="1">
      <alignment horizontal="center" vertical="center" wrapText="1"/>
    </xf>
    <xf numFmtId="2" fontId="20" fillId="2" borderId="50" xfId="0" applyNumberFormat="1" applyFont="1" applyFill="1" applyBorder="1" applyAlignment="1" applyProtection="1">
      <alignment horizontal="center" vertical="center" wrapText="1"/>
    </xf>
    <xf numFmtId="0" fontId="0" fillId="0" borderId="0" xfId="0" applyFill="1" applyBorder="1" applyAlignment="1">
      <alignment horizontal="right"/>
    </xf>
    <xf numFmtId="0" fontId="0" fillId="0" borderId="0" xfId="0" applyNumberFormat="1" applyFill="1" applyBorder="1" applyAlignment="1">
      <alignment horizontal="right"/>
    </xf>
    <xf numFmtId="165" fontId="0" fillId="0" borderId="0" xfId="0" applyNumberFormat="1" applyFill="1" applyBorder="1" applyAlignment="1">
      <alignment horizontal="right"/>
    </xf>
    <xf numFmtId="2" fontId="0" fillId="0" borderId="0" xfId="0" applyNumberFormat="1" applyFill="1" applyBorder="1" applyAlignment="1">
      <alignment horizontal="right"/>
    </xf>
    <xf numFmtId="0" fontId="0" fillId="0" borderId="0" xfId="0" applyBorder="1" applyAlignment="1">
      <alignment horizontal="right"/>
    </xf>
    <xf numFmtId="0" fontId="0" fillId="0" borderId="17" xfId="0" applyBorder="1" applyAlignment="1">
      <alignment horizontal="right"/>
    </xf>
    <xf numFmtId="0" fontId="0" fillId="0" borderId="0" xfId="0" applyFill="1" applyAlignment="1">
      <alignment horizontal="right"/>
    </xf>
    <xf numFmtId="0" fontId="0" fillId="0" borderId="0" xfId="0" applyAlignment="1">
      <alignment horizontal="right"/>
    </xf>
    <xf numFmtId="0" fontId="36" fillId="0" borderId="0" xfId="0" applyFont="1" applyFill="1" applyAlignment="1">
      <alignment horizontal="right"/>
    </xf>
    <xf numFmtId="0" fontId="6" fillId="18" borderId="0" xfId="0" applyFont="1" applyFill="1" applyBorder="1"/>
    <xf numFmtId="0" fontId="20" fillId="0" borderId="13" xfId="0" applyFont="1" applyFill="1" applyBorder="1" applyAlignment="1" applyProtection="1">
      <alignment vertical="center"/>
    </xf>
    <xf numFmtId="2" fontId="20" fillId="6" borderId="13" xfId="0" applyNumberFormat="1" applyFont="1" applyFill="1" applyBorder="1" applyAlignment="1" applyProtection="1">
      <alignment horizontal="center" vertical="center" wrapText="1"/>
    </xf>
    <xf numFmtId="2" fontId="20" fillId="6" borderId="57" xfId="0" applyNumberFormat="1" applyFont="1" applyFill="1" applyBorder="1" applyAlignment="1" applyProtection="1">
      <alignment horizontal="center" vertical="center" wrapText="1"/>
    </xf>
    <xf numFmtId="2" fontId="20" fillId="2" borderId="56" xfId="0" applyNumberFormat="1" applyFont="1" applyFill="1" applyBorder="1" applyAlignment="1" applyProtection="1">
      <alignment horizontal="center" vertical="center" wrapText="1"/>
    </xf>
    <xf numFmtId="0" fontId="67" fillId="3" borderId="0" xfId="0" applyFont="1" applyFill="1" applyBorder="1" applyAlignment="1" applyProtection="1">
      <alignment horizontal="center" vertical="center"/>
    </xf>
    <xf numFmtId="0" fontId="11" fillId="0" borderId="0" xfId="8" applyNumberFormat="1" applyFont="1" applyFill="1" applyBorder="1" applyAlignment="1" applyProtection="1">
      <alignment horizontal="left"/>
    </xf>
    <xf numFmtId="1" fontId="11" fillId="0" borderId="0" xfId="0" applyNumberFormat="1" applyFont="1" applyFill="1" applyBorder="1" applyProtection="1"/>
    <xf numFmtId="0" fontId="11" fillId="0" borderId="17" xfId="8" applyNumberFormat="1" applyFont="1" applyFill="1" applyBorder="1" applyAlignment="1" applyProtection="1">
      <alignment horizontal="left"/>
    </xf>
    <xf numFmtId="0" fontId="0" fillId="0" borderId="19" xfId="0" applyBorder="1"/>
    <xf numFmtId="0" fontId="72" fillId="0" borderId="0" xfId="0" applyFont="1" applyAlignment="1" applyProtection="1">
      <alignment horizontal="center"/>
    </xf>
    <xf numFmtId="0" fontId="19" fillId="2" borderId="0" xfId="0" applyFont="1" applyFill="1" applyBorder="1" applyAlignment="1" applyProtection="1">
      <alignment horizontal="left" vertical="center"/>
    </xf>
    <xf numFmtId="0" fontId="8" fillId="2" borderId="0" xfId="0" applyFont="1" applyFill="1" applyBorder="1" applyAlignment="1" applyProtection="1">
      <alignment horizontal="left" vertical="center"/>
    </xf>
    <xf numFmtId="0" fontId="20" fillId="2" borderId="0" xfId="0" applyFont="1" applyFill="1" applyBorder="1" applyAlignment="1" applyProtection="1">
      <alignment horizontal="left" vertical="center" wrapText="1"/>
    </xf>
    <xf numFmtId="2" fontId="20" fillId="2" borderId="58" xfId="0" applyNumberFormat="1" applyFont="1" applyFill="1" applyBorder="1" applyAlignment="1" applyProtection="1">
      <alignment horizontal="center" vertical="center"/>
    </xf>
    <xf numFmtId="2" fontId="20" fillId="2" borderId="59" xfId="0" applyNumberFormat="1" applyFont="1" applyFill="1" applyBorder="1" applyAlignment="1" applyProtection="1">
      <alignment horizontal="center" vertical="center"/>
    </xf>
    <xf numFmtId="2" fontId="27" fillId="2" borderId="60" xfId="0" applyNumberFormat="1" applyFont="1" applyFill="1" applyBorder="1" applyAlignment="1" applyProtection="1">
      <alignment horizontal="center" vertical="center" wrapText="1"/>
    </xf>
    <xf numFmtId="11" fontId="26" fillId="0" borderId="11" xfId="0" applyNumberFormat="1" applyFont="1" applyFill="1" applyBorder="1" applyAlignment="1" applyProtection="1">
      <alignment horizontal="left" vertical="center" wrapText="1"/>
    </xf>
    <xf numFmtId="11" fontId="72" fillId="0" borderId="13" xfId="0" applyNumberFormat="1" applyFont="1" applyFill="1" applyBorder="1" applyAlignment="1" applyProtection="1">
      <alignment horizontal="left" vertical="center" wrapText="1"/>
    </xf>
    <xf numFmtId="0" fontId="73" fillId="3" borderId="0" xfId="0" applyFont="1" applyFill="1" applyBorder="1" applyAlignment="1" applyProtection="1">
      <alignment horizontal="left" vertical="center"/>
    </xf>
    <xf numFmtId="11" fontId="19" fillId="2" borderId="0" xfId="0" applyNumberFormat="1" applyFont="1" applyFill="1" applyBorder="1" applyAlignment="1" applyProtection="1">
      <alignment horizontal="center" vertical="center"/>
    </xf>
    <xf numFmtId="11" fontId="19" fillId="0" borderId="0" xfId="0" applyNumberFormat="1" applyFont="1" applyFill="1" applyBorder="1" applyAlignment="1" applyProtection="1">
      <alignment horizontal="center" vertical="center"/>
    </xf>
    <xf numFmtId="11" fontId="19" fillId="0" borderId="13" xfId="0" applyNumberFormat="1" applyFont="1" applyFill="1" applyBorder="1" applyAlignment="1" applyProtection="1">
      <alignment horizontal="center" vertical="center"/>
    </xf>
    <xf numFmtId="0" fontId="20" fillId="4" borderId="61" xfId="0" applyFont="1" applyFill="1" applyBorder="1" applyAlignment="1" applyProtection="1">
      <alignment horizontal="center" vertical="center" wrapText="1"/>
      <protection locked="0"/>
    </xf>
    <xf numFmtId="0" fontId="20" fillId="2" borderId="57" xfId="0" applyFont="1" applyFill="1" applyBorder="1" applyAlignment="1" applyProtection="1">
      <alignment horizontal="center" vertical="center"/>
    </xf>
    <xf numFmtId="164" fontId="20" fillId="2" borderId="50" xfId="0" applyNumberFormat="1" applyFont="1" applyFill="1" applyBorder="1" applyAlignment="1" applyProtection="1">
      <alignment horizontal="center" vertical="center" wrapText="1"/>
    </xf>
    <xf numFmtId="0" fontId="26" fillId="2" borderId="11" xfId="0" applyFont="1" applyFill="1" applyBorder="1" applyAlignment="1" applyProtection="1">
      <alignment vertical="center"/>
    </xf>
    <xf numFmtId="0" fontId="26" fillId="2" borderId="12" xfId="0" applyFont="1" applyFill="1" applyBorder="1" applyAlignment="1" applyProtection="1">
      <alignment vertical="center"/>
    </xf>
    <xf numFmtId="0" fontId="20" fillId="0" borderId="0" xfId="0" applyFont="1" applyFill="1" applyBorder="1" applyAlignment="1" applyProtection="1">
      <alignment horizontal="center" vertical="center"/>
      <protection locked="0"/>
    </xf>
    <xf numFmtId="2" fontId="20" fillId="2" borderId="51" xfId="0" applyNumberFormat="1" applyFont="1" applyFill="1" applyBorder="1" applyAlignment="1" applyProtection="1">
      <alignment horizontal="center" vertical="center" wrapText="1"/>
      <protection locked="0"/>
    </xf>
    <xf numFmtId="2" fontId="20" fillId="2" borderId="18" xfId="0" applyNumberFormat="1" applyFont="1" applyFill="1" applyBorder="1" applyAlignment="1" applyProtection="1">
      <alignment horizontal="center" vertical="center" wrapText="1"/>
      <protection locked="0"/>
    </xf>
    <xf numFmtId="2" fontId="20" fillId="2" borderId="45" xfId="0" applyNumberFormat="1" applyFont="1" applyFill="1" applyBorder="1" applyAlignment="1" applyProtection="1">
      <alignment horizontal="center" vertical="center" wrapText="1"/>
      <protection locked="0"/>
    </xf>
    <xf numFmtId="165" fontId="20" fillId="2" borderId="18" xfId="0" applyNumberFormat="1" applyFont="1" applyFill="1" applyBorder="1" applyAlignment="1" applyProtection="1">
      <alignment horizontal="center" vertical="center" wrapText="1"/>
      <protection locked="0"/>
    </xf>
    <xf numFmtId="2" fontId="20" fillId="0" borderId="0" xfId="0" applyNumberFormat="1" applyFont="1" applyFill="1" applyBorder="1" applyAlignment="1" applyProtection="1">
      <alignment horizontal="center" vertical="center" wrapText="1"/>
      <protection locked="0"/>
    </xf>
    <xf numFmtId="2" fontId="20" fillId="0" borderId="13" xfId="0" applyNumberFormat="1" applyFont="1" applyFill="1" applyBorder="1" applyAlignment="1" applyProtection="1">
      <alignment horizontal="center" vertical="center" wrapText="1"/>
      <protection locked="0"/>
    </xf>
    <xf numFmtId="0" fontId="11" fillId="2" borderId="0" xfId="0" applyFont="1" applyFill="1"/>
    <xf numFmtId="0" fontId="20" fillId="0" borderId="12" xfId="0" applyFont="1" applyBorder="1" applyProtection="1"/>
    <xf numFmtId="0" fontId="20" fillId="2" borderId="0" xfId="0" applyFont="1" applyFill="1" applyBorder="1" applyAlignment="1" applyProtection="1">
      <alignment horizontal="center" vertical="center"/>
      <protection locked="0"/>
    </xf>
    <xf numFmtId="0" fontId="27" fillId="2" borderId="0" xfId="0" applyNumberFormat="1" applyFont="1" applyFill="1" applyBorder="1" applyAlignment="1" applyProtection="1">
      <alignment horizontal="center" vertical="center" wrapText="1"/>
      <protection locked="0"/>
    </xf>
    <xf numFmtId="0" fontId="27" fillId="2" borderId="62" xfId="0" applyNumberFormat="1" applyFont="1" applyFill="1" applyBorder="1" applyAlignment="1" applyProtection="1">
      <alignment horizontal="center" vertical="center" wrapText="1"/>
      <protection locked="0"/>
    </xf>
    <xf numFmtId="0" fontId="27" fillId="2" borderId="13" xfId="0" applyNumberFormat="1" applyFont="1" applyFill="1" applyBorder="1" applyAlignment="1" applyProtection="1">
      <alignment horizontal="center" vertical="center" wrapText="1"/>
      <protection locked="0"/>
    </xf>
    <xf numFmtId="164" fontId="20" fillId="2" borderId="49" xfId="0" applyNumberFormat="1" applyFont="1" applyFill="1" applyBorder="1" applyAlignment="1" applyProtection="1">
      <alignment horizontal="center" vertical="center" wrapText="1"/>
      <protection locked="0"/>
    </xf>
    <xf numFmtId="0" fontId="20" fillId="0" borderId="13" xfId="0" applyFont="1" applyBorder="1" applyAlignment="1" applyProtection="1">
      <alignment horizontal="center"/>
    </xf>
    <xf numFmtId="0" fontId="6" fillId="0" borderId="54" xfId="0" applyFont="1" applyBorder="1" applyProtection="1">
      <protection locked="0"/>
    </xf>
    <xf numFmtId="0" fontId="39" fillId="0" borderId="0" xfId="0" applyFont="1" applyFill="1" applyBorder="1" applyAlignment="1" applyProtection="1">
      <alignment horizontal="left" vertical="center" wrapText="1"/>
      <protection locked="0"/>
    </xf>
    <xf numFmtId="0" fontId="0" fillId="0" borderId="0" xfId="0" applyProtection="1">
      <protection locked="0"/>
    </xf>
    <xf numFmtId="0" fontId="6" fillId="0" borderId="0" xfId="0" applyFont="1" applyProtection="1">
      <protection locked="0"/>
    </xf>
    <xf numFmtId="0" fontId="18" fillId="3" borderId="9" xfId="0" applyFont="1" applyFill="1" applyBorder="1" applyAlignment="1" applyProtection="1">
      <alignment horizontal="center" vertical="center"/>
      <protection locked="0"/>
    </xf>
    <xf numFmtId="1" fontId="20" fillId="2" borderId="0" xfId="0" applyNumberFormat="1" applyFont="1" applyFill="1" applyBorder="1" applyAlignment="1" applyProtection="1">
      <alignment horizontal="center" vertical="center" wrapText="1"/>
      <protection locked="0"/>
    </xf>
    <xf numFmtId="170" fontId="20" fillId="2" borderId="0" xfId="7" applyNumberFormat="1" applyFont="1" applyFill="1" applyBorder="1" applyAlignment="1" applyProtection="1">
      <alignment horizontal="center" vertical="center" wrapText="1"/>
      <protection locked="0"/>
    </xf>
    <xf numFmtId="11" fontId="27" fillId="2" borderId="0" xfId="0" applyNumberFormat="1" applyFont="1" applyFill="1" applyBorder="1" applyAlignment="1" applyProtection="1">
      <alignment horizontal="center" vertical="center" wrapText="1"/>
      <protection locked="0"/>
    </xf>
    <xf numFmtId="0" fontId="18" fillId="3" borderId="0" xfId="0" applyFont="1" applyFill="1" applyBorder="1" applyAlignment="1" applyProtection="1">
      <alignment horizontal="center" vertical="center"/>
      <protection locked="0"/>
    </xf>
    <xf numFmtId="11" fontId="27" fillId="0" borderId="0" xfId="0" applyNumberFormat="1" applyFont="1" applyFill="1" applyBorder="1" applyAlignment="1" applyProtection="1">
      <alignment horizontal="center" vertical="center" wrapText="1"/>
      <protection locked="0"/>
    </xf>
    <xf numFmtId="0" fontId="18" fillId="3" borderId="13" xfId="0" applyFont="1" applyFill="1" applyBorder="1" applyAlignment="1" applyProtection="1">
      <alignment horizontal="center" vertical="center"/>
      <protection locked="0"/>
    </xf>
    <xf numFmtId="0" fontId="20" fillId="2" borderId="0" xfId="0" applyFont="1" applyFill="1" applyBorder="1" applyAlignment="1" applyProtection="1">
      <alignment vertical="center"/>
      <protection locked="0"/>
    </xf>
    <xf numFmtId="164" fontId="20" fillId="2" borderId="0" xfId="0" applyNumberFormat="1" applyFont="1" applyFill="1" applyBorder="1" applyAlignment="1" applyProtection="1">
      <alignment horizontal="center" vertical="center" wrapText="1"/>
      <protection locked="0"/>
    </xf>
    <xf numFmtId="164" fontId="20" fillId="2" borderId="13" xfId="0" applyNumberFormat="1" applyFont="1" applyFill="1" applyBorder="1" applyAlignment="1" applyProtection="1">
      <alignment horizontal="center" vertical="center" wrapText="1"/>
      <protection locked="0"/>
    </xf>
    <xf numFmtId="166" fontId="32" fillId="12" borderId="0" xfId="0" applyNumberFormat="1" applyFont="1" applyFill="1" applyBorder="1" applyAlignment="1" applyProtection="1">
      <alignment horizontal="center" vertical="center" wrapText="1"/>
      <protection locked="0"/>
    </xf>
    <xf numFmtId="0" fontId="20" fillId="12" borderId="0" xfId="0" applyFont="1" applyFill="1" applyBorder="1" applyAlignment="1" applyProtection="1">
      <alignment vertical="center"/>
      <protection locked="0"/>
    </xf>
    <xf numFmtId="0" fontId="20" fillId="3" borderId="0" xfId="0" applyFont="1" applyFill="1" applyBorder="1" applyAlignment="1" applyProtection="1">
      <alignment vertical="center"/>
      <protection locked="0"/>
    </xf>
    <xf numFmtId="166" fontId="32" fillId="2" borderId="0" xfId="0" applyNumberFormat="1" applyFont="1" applyFill="1" applyBorder="1" applyAlignment="1" applyProtection="1">
      <alignment horizontal="center" vertical="center" wrapText="1"/>
      <protection locked="0"/>
    </xf>
    <xf numFmtId="166" fontId="27" fillId="0" borderId="0" xfId="0" applyNumberFormat="1" applyFont="1" applyFill="1" applyBorder="1" applyAlignment="1" applyProtection="1">
      <alignment horizontal="center" vertical="center"/>
      <protection locked="0"/>
    </xf>
    <xf numFmtId="0" fontId="20" fillId="2" borderId="13" xfId="0" applyFont="1" applyFill="1" applyBorder="1" applyAlignment="1" applyProtection="1">
      <alignment vertical="center"/>
      <protection locked="0"/>
    </xf>
    <xf numFmtId="0" fontId="27" fillId="3" borderId="0" xfId="0" applyNumberFormat="1" applyFont="1" applyFill="1" applyBorder="1" applyAlignment="1" applyProtection="1">
      <alignment horizontal="center" vertical="center" wrapText="1"/>
      <protection locked="0"/>
    </xf>
    <xf numFmtId="166" fontId="20" fillId="2" borderId="0" xfId="0" applyNumberFormat="1" applyFont="1" applyFill="1" applyBorder="1" applyAlignment="1" applyProtection="1">
      <alignment horizontal="center" vertical="center" wrapText="1"/>
      <protection locked="0"/>
    </xf>
    <xf numFmtId="166" fontId="27" fillId="2" borderId="0" xfId="0" applyNumberFormat="1" applyFont="1" applyFill="1" applyBorder="1" applyAlignment="1" applyProtection="1">
      <alignment horizontal="center" vertical="center" wrapText="1"/>
      <protection locked="0"/>
    </xf>
    <xf numFmtId="0" fontId="20" fillId="3" borderId="0" xfId="0" applyFont="1" applyFill="1" applyBorder="1" applyProtection="1">
      <protection locked="0"/>
    </xf>
    <xf numFmtId="0" fontId="0" fillId="0" borderId="0" xfId="0" applyAlignment="1" applyProtection="1">
      <alignment wrapText="1"/>
      <protection locked="0"/>
    </xf>
    <xf numFmtId="0" fontId="18" fillId="3" borderId="15" xfId="0" applyFont="1" applyFill="1" applyBorder="1" applyAlignment="1" applyProtection="1">
      <alignment horizontal="center" vertical="center"/>
      <protection locked="0"/>
    </xf>
    <xf numFmtId="11" fontId="27" fillId="3" borderId="0" xfId="0" applyNumberFormat="1" applyFont="1" applyFill="1" applyBorder="1" applyAlignment="1" applyProtection="1">
      <alignment horizontal="center" vertical="center" wrapText="1"/>
      <protection locked="0"/>
    </xf>
    <xf numFmtId="169" fontId="20" fillId="2" borderId="0" xfId="0" applyNumberFormat="1" applyFont="1" applyFill="1" applyBorder="1" applyAlignment="1" applyProtection="1">
      <alignment horizontal="center" vertical="center"/>
      <protection locked="0"/>
    </xf>
    <xf numFmtId="11" fontId="19" fillId="2" borderId="0" xfId="0" applyNumberFormat="1" applyFont="1" applyFill="1" applyBorder="1" applyAlignment="1" applyProtection="1">
      <alignment horizontal="center" vertical="center"/>
      <protection locked="0"/>
    </xf>
    <xf numFmtId="11" fontId="19" fillId="2" borderId="13" xfId="0" applyNumberFormat="1" applyFont="1" applyFill="1" applyBorder="1" applyAlignment="1" applyProtection="1">
      <alignment horizontal="center" vertical="center"/>
      <protection locked="0"/>
    </xf>
    <xf numFmtId="0" fontId="9" fillId="2" borderId="0" xfId="0" applyNumberFormat="1" applyFont="1" applyFill="1" applyBorder="1" applyAlignment="1" applyProtection="1">
      <alignment horizontal="center" vertical="center" wrapText="1"/>
    </xf>
    <xf numFmtId="0" fontId="55" fillId="2" borderId="39" xfId="0" applyFont="1" applyFill="1" applyBorder="1" applyAlignment="1" applyProtection="1">
      <alignment horizontal="left" vertical="center"/>
      <protection locked="0"/>
    </xf>
    <xf numFmtId="0" fontId="57" fillId="2" borderId="39" xfId="0" applyFont="1" applyFill="1" applyBorder="1" applyAlignment="1" applyProtection="1">
      <alignment horizontal="left" vertical="center"/>
      <protection locked="0"/>
    </xf>
    <xf numFmtId="2" fontId="57" fillId="0" borderId="42" xfId="0" applyNumberFormat="1" applyFont="1" applyBorder="1" applyAlignment="1" applyProtection="1">
      <alignment horizontal="center"/>
      <protection locked="0"/>
    </xf>
    <xf numFmtId="0" fontId="57" fillId="0" borderId="42" xfId="0" applyFont="1" applyBorder="1" applyAlignment="1" applyProtection="1">
      <alignment horizontal="center"/>
      <protection locked="0"/>
    </xf>
    <xf numFmtId="0" fontId="55" fillId="2" borderId="52" xfId="0" applyFont="1" applyFill="1" applyBorder="1" applyAlignment="1" applyProtection="1">
      <alignment horizontal="left" vertical="center"/>
      <protection locked="0"/>
    </xf>
    <xf numFmtId="0" fontId="57" fillId="2" borderId="52" xfId="0" applyFont="1" applyFill="1" applyBorder="1" applyAlignment="1" applyProtection="1">
      <alignment horizontal="left" vertical="center"/>
      <protection locked="0"/>
    </xf>
    <xf numFmtId="2" fontId="57" fillId="0" borderId="53" xfId="0" applyNumberFormat="1" applyFont="1" applyBorder="1" applyAlignment="1" applyProtection="1">
      <alignment horizontal="center"/>
      <protection locked="0"/>
    </xf>
    <xf numFmtId="0" fontId="57" fillId="0" borderId="53" xfId="0" applyFont="1" applyBorder="1" applyAlignment="1" applyProtection="1">
      <alignment horizontal="center"/>
      <protection locked="0"/>
    </xf>
    <xf numFmtId="0" fontId="55" fillId="2" borderId="40" xfId="0" applyFont="1" applyFill="1" applyBorder="1" applyAlignment="1" applyProtection="1">
      <alignment horizontal="left" vertical="center"/>
      <protection locked="0"/>
    </xf>
    <xf numFmtId="0" fontId="57" fillId="2" borderId="40" xfId="0" applyFont="1" applyFill="1" applyBorder="1" applyAlignment="1" applyProtection="1">
      <alignment horizontal="left" vertical="center"/>
      <protection locked="0"/>
    </xf>
    <xf numFmtId="2" fontId="57" fillId="0" borderId="43" xfId="0" applyNumberFormat="1" applyFont="1" applyBorder="1" applyAlignment="1" applyProtection="1">
      <alignment horizontal="center"/>
      <protection locked="0"/>
    </xf>
    <xf numFmtId="0" fontId="57" fillId="0" borderId="43" xfId="0" applyFont="1" applyBorder="1" applyAlignment="1" applyProtection="1">
      <alignment horizontal="center"/>
      <protection locked="0"/>
    </xf>
    <xf numFmtId="0" fontId="55" fillId="2" borderId="41" xfId="0" applyFont="1" applyFill="1" applyBorder="1" applyAlignment="1" applyProtection="1">
      <alignment horizontal="left" vertical="center"/>
      <protection locked="0"/>
    </xf>
    <xf numFmtId="0" fontId="57" fillId="2" borderId="41" xfId="0" applyFont="1" applyFill="1" applyBorder="1" applyAlignment="1" applyProtection="1">
      <alignment horizontal="left" vertical="center"/>
      <protection locked="0"/>
    </xf>
    <xf numFmtId="2" fontId="57" fillId="0" borderId="44" xfId="0" applyNumberFormat="1" applyFont="1" applyBorder="1" applyAlignment="1" applyProtection="1">
      <alignment horizontal="center"/>
      <protection locked="0"/>
    </xf>
    <xf numFmtId="0" fontId="57" fillId="0" borderId="44" xfId="0" applyFont="1" applyBorder="1" applyAlignment="1" applyProtection="1">
      <alignment horizontal="center"/>
      <protection locked="0"/>
    </xf>
    <xf numFmtId="2" fontId="11" fillId="18" borderId="0" xfId="0" applyNumberFormat="1" applyFont="1" applyFill="1" applyBorder="1" applyAlignment="1">
      <alignment horizontal="center"/>
    </xf>
    <xf numFmtId="0" fontId="11" fillId="18" borderId="0" xfId="0" applyFont="1" applyFill="1" applyBorder="1" applyAlignment="1">
      <alignment horizontal="center"/>
    </xf>
    <xf numFmtId="168" fontId="11" fillId="18" borderId="0" xfId="0" applyNumberFormat="1" applyFont="1" applyFill="1" applyBorder="1" applyAlignment="1">
      <alignment horizontal="center"/>
    </xf>
    <xf numFmtId="165" fontId="11" fillId="2" borderId="0" xfId="0" applyNumberFormat="1" applyFont="1" applyFill="1" applyBorder="1" applyAlignment="1">
      <alignment horizontal="center"/>
    </xf>
    <xf numFmtId="164" fontId="11" fillId="18" borderId="0" xfId="0" applyNumberFormat="1" applyFont="1" applyFill="1" applyBorder="1" applyAlignment="1">
      <alignment horizontal="center"/>
    </xf>
    <xf numFmtId="0" fontId="11" fillId="0" borderId="8" xfId="0" applyFont="1" applyBorder="1" applyAlignment="1">
      <alignment horizontal="center"/>
    </xf>
    <xf numFmtId="0" fontId="11" fillId="0" borderId="9" xfId="0" applyFont="1" applyBorder="1" applyAlignment="1">
      <alignment horizontal="center"/>
    </xf>
    <xf numFmtId="0" fontId="11" fillId="0" borderId="10" xfId="0" applyFont="1" applyBorder="1" applyAlignment="1">
      <alignment horizontal="center"/>
    </xf>
    <xf numFmtId="0" fontId="6" fillId="2" borderId="11" xfId="0" applyFont="1" applyFill="1" applyBorder="1" applyAlignment="1">
      <alignment wrapText="1"/>
    </xf>
    <xf numFmtId="0" fontId="6" fillId="2" borderId="0" xfId="0" applyFont="1" applyFill="1" applyBorder="1" applyAlignment="1">
      <alignment wrapText="1"/>
    </xf>
    <xf numFmtId="0" fontId="11" fillId="2" borderId="9" xfId="0" applyFont="1" applyFill="1" applyBorder="1"/>
    <xf numFmtId="0" fontId="11" fillId="0" borderId="33" xfId="0" applyFont="1" applyBorder="1"/>
    <xf numFmtId="0" fontId="6" fillId="2" borderId="12" xfId="0" applyFont="1" applyFill="1" applyBorder="1"/>
    <xf numFmtId="0" fontId="6" fillId="2" borderId="13" xfId="0" applyFont="1" applyFill="1" applyBorder="1"/>
    <xf numFmtId="0" fontId="6" fillId="2" borderId="13" xfId="0" applyFont="1" applyFill="1" applyBorder="1" applyAlignment="1">
      <alignment horizontal="center"/>
    </xf>
    <xf numFmtId="0" fontId="6" fillId="0" borderId="13" xfId="0" applyFont="1" applyBorder="1"/>
    <xf numFmtId="0" fontId="6" fillId="0" borderId="34" xfId="0" applyFont="1" applyBorder="1"/>
    <xf numFmtId="0" fontId="11" fillId="2" borderId="0" xfId="0" applyFont="1" applyFill="1" applyBorder="1" applyAlignment="1">
      <alignment horizontal="center"/>
    </xf>
    <xf numFmtId="0" fontId="11" fillId="2" borderId="0" xfId="0" applyNumberFormat="1" applyFont="1" applyFill="1" applyBorder="1" applyAlignment="1">
      <alignment horizontal="center"/>
    </xf>
    <xf numFmtId="2" fontId="11" fillId="2" borderId="0" xfId="0" applyNumberFormat="1" applyFont="1" applyFill="1" applyBorder="1" applyAlignment="1">
      <alignment horizontal="center"/>
    </xf>
    <xf numFmtId="0" fontId="11" fillId="0" borderId="17" xfId="0" applyFont="1" applyBorder="1"/>
    <xf numFmtId="0" fontId="11" fillId="18" borderId="11" xfId="0" applyFont="1" applyFill="1" applyBorder="1"/>
    <xf numFmtId="0" fontId="11" fillId="18" borderId="0" xfId="0" applyNumberFormat="1" applyFont="1" applyFill="1" applyBorder="1" applyAlignment="1">
      <alignment horizontal="center"/>
    </xf>
    <xf numFmtId="165" fontId="20" fillId="12" borderId="0" xfId="0" applyNumberFormat="1" applyFont="1" applyFill="1" applyBorder="1" applyAlignment="1" applyProtection="1">
      <alignment horizontal="center" vertical="center"/>
    </xf>
    <xf numFmtId="0" fontId="79" fillId="10" borderId="0" xfId="0" applyFont="1" applyFill="1" applyBorder="1" applyAlignment="1" applyProtection="1">
      <alignment horizontal="center" vertical="center"/>
    </xf>
    <xf numFmtId="0" fontId="79" fillId="12" borderId="0" xfId="0" applyFont="1" applyFill="1" applyBorder="1" applyAlignment="1" applyProtection="1">
      <alignment horizontal="right" vertical="center"/>
    </xf>
    <xf numFmtId="11" fontId="79" fillId="12" borderId="0" xfId="0" applyNumberFormat="1" applyFont="1" applyFill="1" applyBorder="1" applyAlignment="1" applyProtection="1">
      <alignment horizontal="center"/>
    </xf>
    <xf numFmtId="0" fontId="79" fillId="12" borderId="0" xfId="0" applyFont="1" applyFill="1" applyBorder="1" applyAlignment="1" applyProtection="1">
      <alignment horizontal="center" vertical="center"/>
    </xf>
    <xf numFmtId="2" fontId="45" fillId="2" borderId="0" xfId="0" applyNumberFormat="1" applyFont="1" applyFill="1" applyBorder="1" applyAlignment="1" applyProtection="1">
      <alignment horizontal="center" vertical="top" wrapText="1"/>
    </xf>
    <xf numFmtId="166" fontId="22" fillId="12" borderId="0" xfId="0" applyNumberFormat="1" applyFont="1" applyFill="1" applyBorder="1" applyAlignment="1" applyProtection="1">
      <alignment horizontal="center" vertical="center" wrapText="1"/>
    </xf>
    <xf numFmtId="11" fontId="20" fillId="12" borderId="0" xfId="0" applyNumberFormat="1" applyFont="1" applyFill="1" applyBorder="1" applyAlignment="1" applyProtection="1">
      <alignment horizontal="center" vertical="center" wrapText="1"/>
    </xf>
    <xf numFmtId="11" fontId="20" fillId="12" borderId="17" xfId="0" applyNumberFormat="1" applyFont="1" applyFill="1" applyBorder="1" applyAlignment="1" applyProtection="1">
      <alignment horizontal="left" vertical="center" wrapText="1"/>
    </xf>
    <xf numFmtId="166" fontId="22" fillId="2" borderId="0" xfId="0" applyNumberFormat="1" applyFont="1" applyFill="1" applyBorder="1" applyAlignment="1" applyProtection="1">
      <alignment horizontal="center" vertical="center" wrapText="1"/>
    </xf>
    <xf numFmtId="11" fontId="22" fillId="2" borderId="0" xfId="0" applyNumberFormat="1" applyFont="1" applyFill="1" applyBorder="1" applyAlignment="1" applyProtection="1">
      <alignment horizontal="center" vertical="center" wrapText="1"/>
    </xf>
    <xf numFmtId="11" fontId="22" fillId="2" borderId="17" xfId="0" applyNumberFormat="1" applyFont="1" applyFill="1" applyBorder="1" applyAlignment="1" applyProtection="1">
      <alignment horizontal="center" vertical="center" wrapText="1"/>
    </xf>
    <xf numFmtId="166" fontId="20" fillId="0" borderId="0" xfId="0" applyNumberFormat="1" applyFont="1" applyFill="1" applyBorder="1" applyAlignment="1" applyProtection="1">
      <alignment horizontal="center" vertical="center"/>
    </xf>
    <xf numFmtId="165" fontId="20" fillId="0" borderId="0" xfId="0" applyNumberFormat="1" applyFont="1" applyProtection="1"/>
    <xf numFmtId="0" fontId="31" fillId="12" borderId="4" xfId="0" applyFont="1" applyFill="1" applyBorder="1" applyAlignment="1" applyProtection="1">
      <alignment horizontal="center" vertical="center"/>
    </xf>
    <xf numFmtId="165" fontId="20" fillId="0" borderId="0" xfId="0" applyNumberFormat="1" applyFont="1" applyFill="1" applyProtection="1"/>
    <xf numFmtId="11" fontId="20" fillId="0" borderId="0" xfId="0" applyNumberFormat="1" applyFont="1" applyFill="1" applyAlignment="1" applyProtection="1">
      <alignment vertical="center"/>
    </xf>
    <xf numFmtId="166" fontId="20" fillId="12" borderId="0" xfId="0" applyNumberFormat="1" applyFont="1" applyFill="1" applyBorder="1" applyAlignment="1" applyProtection="1">
      <alignment horizontal="center" vertical="center"/>
    </xf>
    <xf numFmtId="0" fontId="20" fillId="0" borderId="0" xfId="0" applyFont="1" applyBorder="1" applyAlignment="1" applyProtection="1">
      <alignment horizontal="center" vertical="center"/>
    </xf>
    <xf numFmtId="0" fontId="24" fillId="3" borderId="14" xfId="0" applyFont="1" applyFill="1" applyBorder="1" applyAlignment="1" applyProtection="1">
      <alignment horizontal="left" vertical="center"/>
    </xf>
    <xf numFmtId="0" fontId="20" fillId="3" borderId="15" xfId="0" applyFont="1" applyFill="1" applyBorder="1" applyAlignment="1" applyProtection="1">
      <alignment horizontal="left" vertical="center"/>
    </xf>
    <xf numFmtId="0" fontId="25" fillId="3" borderId="15" xfId="0" applyFont="1" applyFill="1" applyBorder="1" applyAlignment="1" applyProtection="1">
      <alignment horizontal="left" vertical="center"/>
    </xf>
    <xf numFmtId="0" fontId="20" fillId="12" borderId="64" xfId="0" applyFont="1" applyFill="1" applyBorder="1" applyAlignment="1" applyProtection="1">
      <alignment vertical="center"/>
    </xf>
    <xf numFmtId="0" fontId="20" fillId="12" borderId="13" xfId="0" applyFont="1" applyFill="1" applyBorder="1" applyAlignment="1" applyProtection="1">
      <alignment vertical="center"/>
    </xf>
    <xf numFmtId="0" fontId="20" fillId="12" borderId="13" xfId="0" applyFont="1" applyFill="1" applyBorder="1" applyAlignment="1" applyProtection="1">
      <alignment horizontal="center" vertical="center"/>
    </xf>
    <xf numFmtId="166" fontId="20" fillId="12" borderId="13" xfId="0" applyNumberFormat="1" applyFont="1" applyFill="1" applyBorder="1" applyAlignment="1" applyProtection="1">
      <alignment horizontal="center" vertical="center"/>
    </xf>
    <xf numFmtId="0" fontId="24" fillId="3" borderId="14" xfId="0" applyFont="1" applyFill="1" applyBorder="1" applyAlignment="1" applyProtection="1">
      <alignment vertical="center"/>
    </xf>
    <xf numFmtId="0" fontId="20" fillId="0" borderId="0" xfId="0" applyFont="1" applyAlignment="1" applyProtection="1">
      <alignment vertical="center" wrapText="1"/>
    </xf>
    <xf numFmtId="165" fontId="72" fillId="0" borderId="0" xfId="0" applyNumberFormat="1" applyFont="1" applyFill="1" applyBorder="1" applyAlignment="1" applyProtection="1">
      <alignment horizontal="right" vertical="center" wrapText="1"/>
    </xf>
    <xf numFmtId="0" fontId="72" fillId="0" borderId="0" xfId="0" applyFont="1" applyFill="1" applyProtection="1"/>
    <xf numFmtId="0" fontId="18" fillId="3" borderId="15" xfId="0" applyFont="1" applyFill="1" applyBorder="1" applyAlignment="1" applyProtection="1">
      <alignment horizontal="center" vertical="center" wrapText="1"/>
    </xf>
    <xf numFmtId="0" fontId="18" fillId="3" borderId="13" xfId="0" applyFont="1" applyFill="1" applyBorder="1" applyAlignment="1" applyProtection="1">
      <alignment horizontal="center" vertical="center" wrapText="1"/>
    </xf>
    <xf numFmtId="2" fontId="80" fillId="2" borderId="0" xfId="0" applyNumberFormat="1" applyFont="1" applyFill="1" applyBorder="1" applyAlignment="1" applyProtection="1">
      <alignment horizontal="center" vertical="center" wrapText="1"/>
    </xf>
    <xf numFmtId="0" fontId="80" fillId="2" borderId="0" xfId="0" applyFont="1" applyFill="1" applyBorder="1" applyAlignment="1" applyProtection="1">
      <alignment vertical="center"/>
    </xf>
    <xf numFmtId="0" fontId="80" fillId="0" borderId="0" xfId="0" applyFont="1" applyAlignment="1" applyProtection="1">
      <alignment horizontal="center"/>
    </xf>
    <xf numFmtId="0" fontId="80" fillId="0" borderId="0" xfId="0" applyFont="1" applyProtection="1"/>
    <xf numFmtId="165" fontId="20" fillId="2" borderId="50" xfId="0" applyNumberFormat="1" applyFont="1" applyFill="1" applyBorder="1" applyAlignment="1" applyProtection="1">
      <alignment horizontal="center" vertical="center" wrapText="1"/>
    </xf>
    <xf numFmtId="2" fontId="20" fillId="0" borderId="13" xfId="0" applyNumberFormat="1" applyFont="1" applyFill="1" applyBorder="1" applyAlignment="1" applyProtection="1">
      <alignment horizontal="center" vertical="center" wrapText="1"/>
    </xf>
    <xf numFmtId="2" fontId="72" fillId="0" borderId="0" xfId="0" applyNumberFormat="1" applyFont="1" applyFill="1" applyBorder="1" applyAlignment="1" applyProtection="1">
      <alignment horizontal="center" vertical="center" wrapText="1"/>
    </xf>
    <xf numFmtId="0" fontId="72" fillId="0" borderId="0" xfId="0" applyFont="1" applyFill="1" applyAlignment="1" applyProtection="1">
      <alignment horizontal="center"/>
    </xf>
    <xf numFmtId="166" fontId="20" fillId="12" borderId="0" xfId="0" applyNumberFormat="1" applyFont="1" applyFill="1" applyBorder="1" applyAlignment="1" applyProtection="1">
      <alignment horizontal="center"/>
    </xf>
    <xf numFmtId="0" fontId="20" fillId="20" borderId="20" xfId="0" applyFont="1" applyFill="1" applyBorder="1" applyAlignment="1" applyProtection="1">
      <alignment horizontal="center" vertical="center"/>
      <protection locked="0"/>
    </xf>
    <xf numFmtId="0" fontId="22" fillId="2" borderId="0" xfId="0" applyFont="1" applyFill="1" applyAlignment="1" applyProtection="1">
      <alignment horizontal="left" vertical="center"/>
      <protection locked="0"/>
    </xf>
    <xf numFmtId="0" fontId="20" fillId="0" borderId="18" xfId="0" applyFont="1" applyBorder="1" applyAlignment="1" applyProtection="1">
      <alignment horizontal="center"/>
    </xf>
    <xf numFmtId="0" fontId="19" fillId="0" borderId="0" xfId="0" applyFont="1" applyAlignment="1" applyProtection="1">
      <alignment vertical="center" wrapText="1"/>
    </xf>
    <xf numFmtId="0" fontId="19" fillId="0" borderId="0" xfId="0" applyFont="1" applyProtection="1"/>
    <xf numFmtId="166" fontId="27" fillId="12" borderId="0" xfId="0" applyNumberFormat="1" applyFont="1" applyFill="1" applyBorder="1" applyAlignment="1" applyProtection="1">
      <alignment horizontal="center" vertical="center"/>
    </xf>
    <xf numFmtId="166" fontId="27" fillId="2" borderId="0" xfId="0" applyNumberFormat="1" applyFont="1" applyFill="1" applyBorder="1" applyAlignment="1" applyProtection="1">
      <alignment horizontal="center" vertical="center"/>
    </xf>
    <xf numFmtId="11" fontId="27" fillId="12" borderId="0" xfId="0" applyNumberFormat="1" applyFont="1" applyFill="1" applyBorder="1" applyAlignment="1" applyProtection="1">
      <alignment horizontal="left" vertical="center" wrapText="1"/>
    </xf>
    <xf numFmtId="0" fontId="20" fillId="12" borderId="0" xfId="0" applyFont="1" applyFill="1" applyBorder="1" applyAlignment="1" applyProtection="1">
      <alignment horizontal="left"/>
    </xf>
    <xf numFmtId="11" fontId="27" fillId="2" borderId="0" xfId="0" applyNumberFormat="1" applyFont="1" applyFill="1" applyBorder="1" applyAlignment="1" applyProtection="1">
      <alignment horizontal="left" vertical="center" wrapText="1"/>
    </xf>
    <xf numFmtId="0" fontId="20" fillId="0" borderId="0" xfId="0" applyFont="1" applyBorder="1" applyAlignment="1" applyProtection="1">
      <alignment horizontal="left"/>
    </xf>
    <xf numFmtId="166" fontId="20" fillId="0" borderId="0" xfId="0" applyNumberFormat="1" applyFont="1" applyBorder="1" applyAlignment="1" applyProtection="1">
      <alignment horizontal="center" vertical="center"/>
    </xf>
    <xf numFmtId="0" fontId="22" fillId="3" borderId="15" xfId="0" applyFont="1" applyFill="1" applyBorder="1" applyAlignment="1" applyProtection="1">
      <alignment horizontal="center" vertical="center"/>
    </xf>
    <xf numFmtId="0" fontId="22" fillId="3" borderId="16" xfId="0" applyFont="1" applyFill="1" applyBorder="1" applyAlignment="1" applyProtection="1">
      <alignment horizontal="center" vertical="center"/>
    </xf>
    <xf numFmtId="0" fontId="24" fillId="3" borderId="15" xfId="0" applyFont="1" applyFill="1" applyBorder="1" applyAlignment="1" applyProtection="1">
      <alignment vertical="center"/>
    </xf>
    <xf numFmtId="164" fontId="20" fillId="0" borderId="19" xfId="0" applyNumberFormat="1" applyFont="1" applyFill="1" applyBorder="1" applyAlignment="1" applyProtection="1">
      <alignment horizontal="center" vertical="center" shrinkToFit="1"/>
    </xf>
    <xf numFmtId="0" fontId="20" fillId="3" borderId="15" xfId="0" applyFont="1" applyFill="1" applyBorder="1" applyProtection="1"/>
    <xf numFmtId="0" fontId="20" fillId="3" borderId="15" xfId="0" applyFont="1" applyFill="1" applyBorder="1" applyAlignment="1" applyProtection="1">
      <alignment horizontal="center"/>
    </xf>
    <xf numFmtId="11" fontId="20" fillId="2" borderId="0" xfId="0" applyNumberFormat="1" applyFont="1" applyFill="1" applyBorder="1" applyAlignment="1" applyProtection="1">
      <alignment horizontal="center" vertical="center"/>
    </xf>
    <xf numFmtId="11" fontId="45" fillId="0" borderId="0" xfId="0" applyNumberFormat="1" applyFont="1" applyFill="1" applyBorder="1" applyAlignment="1" applyProtection="1">
      <alignment horizontal="center" vertical="center"/>
    </xf>
    <xf numFmtId="11" fontId="45" fillId="0" borderId="13" xfId="0" applyNumberFormat="1" applyFont="1" applyFill="1" applyBorder="1" applyAlignment="1" applyProtection="1">
      <alignment horizontal="center" vertical="center"/>
    </xf>
    <xf numFmtId="0" fontId="19" fillId="0" borderId="4" xfId="0" applyFont="1" applyFill="1" applyBorder="1" applyAlignment="1" applyProtection="1"/>
    <xf numFmtId="0" fontId="20" fillId="0" borderId="0" xfId="0" applyFont="1" applyFill="1" applyBorder="1" applyAlignment="1" applyProtection="1"/>
    <xf numFmtId="11" fontId="20" fillId="0" borderId="0" xfId="0" applyNumberFormat="1" applyFont="1" applyFill="1" applyProtection="1"/>
    <xf numFmtId="0" fontId="31" fillId="12" borderId="65" xfId="0" applyFont="1" applyFill="1" applyBorder="1" applyAlignment="1" applyProtection="1"/>
    <xf numFmtId="0" fontId="20" fillId="12" borderId="17" xfId="0" applyFont="1" applyFill="1" applyBorder="1" applyAlignment="1" applyProtection="1"/>
    <xf numFmtId="0" fontId="20" fillId="12" borderId="17" xfId="0" applyFont="1" applyFill="1" applyBorder="1" applyAlignment="1" applyProtection="1">
      <alignment vertical="center"/>
    </xf>
    <xf numFmtId="0" fontId="20" fillId="12" borderId="19" xfId="0" applyFont="1" applyFill="1" applyBorder="1" applyAlignment="1" applyProtection="1">
      <alignment vertical="center"/>
    </xf>
    <xf numFmtId="0" fontId="19" fillId="12" borderId="0" xfId="0" applyFont="1" applyFill="1" applyBorder="1" applyAlignment="1" applyProtection="1">
      <alignment horizontal="center" vertical="center"/>
    </xf>
    <xf numFmtId="3" fontId="19" fillId="12" borderId="0" xfId="0" applyNumberFormat="1" applyFont="1" applyFill="1" applyBorder="1" applyAlignment="1" applyProtection="1">
      <alignment horizontal="center" vertical="center"/>
    </xf>
    <xf numFmtId="0" fontId="22" fillId="12" borderId="13" xfId="0" applyFont="1" applyFill="1" applyBorder="1" applyAlignment="1" applyProtection="1">
      <alignment horizontal="center" vertical="center"/>
    </xf>
    <xf numFmtId="3" fontId="19" fillId="12" borderId="13" xfId="0" applyNumberFormat="1" applyFont="1" applyFill="1" applyBorder="1" applyAlignment="1" applyProtection="1">
      <alignment horizontal="center" vertical="center"/>
    </xf>
    <xf numFmtId="0" fontId="19" fillId="18" borderId="0" xfId="0" applyFont="1" applyFill="1" applyBorder="1" applyAlignment="1" applyProtection="1">
      <alignment horizontal="center" vertical="center"/>
    </xf>
    <xf numFmtId="0" fontId="22" fillId="18" borderId="13" xfId="0" applyFont="1" applyFill="1" applyBorder="1" applyAlignment="1" applyProtection="1">
      <alignment horizontal="center" vertical="center"/>
    </xf>
    <xf numFmtId="3" fontId="19" fillId="18" borderId="13" xfId="0" applyNumberFormat="1" applyFont="1" applyFill="1" applyBorder="1" applyAlignment="1" applyProtection="1">
      <alignment horizontal="center" vertical="center"/>
    </xf>
    <xf numFmtId="11" fontId="19" fillId="0" borderId="13" xfId="0" applyNumberFormat="1" applyFont="1" applyFill="1" applyBorder="1" applyAlignment="1" applyProtection="1">
      <alignment horizontal="center" vertical="center"/>
      <protection locked="0"/>
    </xf>
    <xf numFmtId="0" fontId="19" fillId="18" borderId="13" xfId="0" applyFont="1" applyFill="1" applyBorder="1" applyAlignment="1" applyProtection="1">
      <alignment vertical="center"/>
    </xf>
    <xf numFmtId="0" fontId="19" fillId="18" borderId="13" xfId="0" applyFont="1" applyFill="1" applyBorder="1" applyAlignment="1" applyProtection="1">
      <alignment horizontal="center" vertical="center"/>
    </xf>
    <xf numFmtId="11" fontId="19" fillId="18" borderId="13" xfId="0" applyNumberFormat="1" applyFont="1" applyFill="1" applyBorder="1" applyAlignment="1" applyProtection="1">
      <alignment horizontal="center" vertical="center"/>
      <protection locked="0"/>
    </xf>
    <xf numFmtId="0" fontId="19" fillId="2" borderId="17" xfId="0" applyFont="1" applyFill="1" applyBorder="1" applyAlignment="1" applyProtection="1">
      <alignment vertical="center"/>
    </xf>
    <xf numFmtId="0" fontId="20" fillId="18" borderId="13" xfId="0" applyFont="1" applyFill="1" applyBorder="1" applyAlignment="1" applyProtection="1">
      <alignment horizontal="left" vertical="center"/>
    </xf>
    <xf numFmtId="0" fontId="20" fillId="3" borderId="15" xfId="0" applyFont="1" applyFill="1" applyBorder="1" applyAlignment="1" applyProtection="1">
      <alignment horizontal="center" vertical="center"/>
    </xf>
    <xf numFmtId="0" fontId="20" fillId="2" borderId="9" xfId="0" applyFont="1" applyFill="1" applyBorder="1" applyAlignment="1" applyProtection="1">
      <alignment horizontal="center" vertical="center"/>
    </xf>
    <xf numFmtId="0" fontId="31" fillId="3" borderId="14" xfId="0" applyFont="1" applyFill="1" applyBorder="1" applyAlignment="1" applyProtection="1">
      <alignment vertical="center"/>
    </xf>
    <xf numFmtId="0" fontId="22" fillId="3" borderId="15" xfId="0" applyFont="1" applyFill="1" applyBorder="1" applyAlignment="1" applyProtection="1">
      <alignment horizontal="left" vertical="center"/>
    </xf>
    <xf numFmtId="0" fontId="0" fillId="18" borderId="13" xfId="0" applyFill="1" applyBorder="1" applyProtection="1">
      <protection locked="0"/>
    </xf>
    <xf numFmtId="0" fontId="11" fillId="18" borderId="0" xfId="0" applyFont="1" applyFill="1" applyAlignment="1">
      <alignment vertical="center" wrapText="1"/>
    </xf>
    <xf numFmtId="0" fontId="74" fillId="18" borderId="0" xfId="9" applyFont="1" applyFill="1" applyAlignment="1" applyProtection="1">
      <alignment vertical="center" wrapText="1"/>
    </xf>
    <xf numFmtId="0" fontId="81" fillId="18" borderId="0" xfId="0" applyFont="1" applyFill="1" applyAlignment="1">
      <alignment vertical="center" wrapText="1"/>
    </xf>
    <xf numFmtId="0" fontId="6" fillId="18" borderId="0" xfId="0" applyFont="1" applyFill="1" applyAlignment="1">
      <alignment vertical="center" wrapText="1"/>
    </xf>
    <xf numFmtId="0" fontId="11" fillId="18" borderId="0" xfId="0" applyFont="1" applyFill="1" applyAlignment="1">
      <alignment horizontal="left" vertical="center" wrapText="1"/>
    </xf>
    <xf numFmtId="0" fontId="76" fillId="18" borderId="0" xfId="0" applyFont="1" applyFill="1" applyAlignment="1">
      <alignment horizontal="left" vertical="center" wrapText="1"/>
    </xf>
    <xf numFmtId="0" fontId="11" fillId="18" borderId="0" xfId="0" applyFont="1" applyFill="1" applyAlignment="1">
      <alignment wrapText="1"/>
    </xf>
    <xf numFmtId="0" fontId="11" fillId="2" borderId="0" xfId="0" applyFont="1" applyFill="1" applyAlignment="1">
      <alignment wrapText="1"/>
    </xf>
    <xf numFmtId="0" fontId="11" fillId="2" borderId="0" xfId="0" applyFont="1" applyFill="1" applyAlignment="1"/>
    <xf numFmtId="0" fontId="77" fillId="18" borderId="54" xfId="0" applyFont="1" applyFill="1" applyBorder="1" applyAlignment="1">
      <alignment vertical="center" wrapText="1"/>
    </xf>
    <xf numFmtId="172" fontId="20" fillId="0" borderId="0" xfId="0" applyNumberFormat="1" applyFont="1" applyFill="1" applyProtection="1"/>
    <xf numFmtId="0" fontId="82" fillId="12" borderId="13" xfId="0" applyFont="1" applyFill="1" applyBorder="1" applyAlignment="1" applyProtection="1">
      <alignment vertical="top"/>
    </xf>
    <xf numFmtId="0" fontId="6" fillId="18" borderId="0" xfId="0" applyFont="1" applyFill="1" applyAlignment="1">
      <alignment wrapText="1"/>
    </xf>
    <xf numFmtId="0" fontId="83" fillId="5" borderId="25" xfId="0" applyNumberFormat="1" applyFont="1" applyFill="1" applyBorder="1" applyAlignment="1" applyProtection="1">
      <alignment horizontal="left" wrapText="1"/>
    </xf>
    <xf numFmtId="0" fontId="83" fillId="5" borderId="25" xfId="0" applyNumberFormat="1" applyFont="1" applyFill="1" applyBorder="1" applyAlignment="1" applyProtection="1">
      <alignment horizontal="center" wrapText="1"/>
    </xf>
    <xf numFmtId="166" fontId="83" fillId="13" borderId="25" xfId="0" applyNumberFormat="1" applyFont="1" applyFill="1" applyBorder="1" applyAlignment="1" applyProtection="1">
      <alignment horizontal="center" wrapText="1"/>
    </xf>
    <xf numFmtId="166" fontId="83" fillId="6" borderId="25" xfId="0" applyNumberFormat="1" applyFont="1" applyFill="1" applyBorder="1" applyAlignment="1" applyProtection="1">
      <alignment horizontal="center" wrapText="1"/>
    </xf>
    <xf numFmtId="166" fontId="83" fillId="14" borderId="25" xfId="0" applyNumberFormat="1" applyFont="1" applyFill="1" applyBorder="1" applyAlignment="1" applyProtection="1">
      <alignment horizontal="center" wrapText="1"/>
    </xf>
    <xf numFmtId="166" fontId="83" fillId="21" borderId="25" xfId="0" applyNumberFormat="1" applyFont="1" applyFill="1" applyBorder="1" applyAlignment="1" applyProtection="1">
      <alignment horizontal="center" wrapText="1"/>
    </xf>
    <xf numFmtId="166" fontId="83" fillId="5" borderId="25" xfId="0" applyNumberFormat="1" applyFont="1" applyFill="1" applyBorder="1" applyAlignment="1" applyProtection="1">
      <alignment horizontal="center" wrapText="1"/>
    </xf>
    <xf numFmtId="166" fontId="83" fillId="15" borderId="25" xfId="0" applyNumberFormat="1" applyFont="1" applyFill="1" applyBorder="1" applyAlignment="1" applyProtection="1">
      <alignment horizontal="center" wrapText="1"/>
    </xf>
    <xf numFmtId="166" fontId="83" fillId="7" borderId="25" xfId="0" applyNumberFormat="1" applyFont="1" applyFill="1" applyBorder="1" applyAlignment="1" applyProtection="1">
      <alignment horizontal="center" wrapText="1"/>
    </xf>
    <xf numFmtId="0" fontId="87" fillId="5" borderId="47" xfId="0" applyNumberFormat="1" applyFont="1" applyFill="1" applyBorder="1" applyAlignment="1" applyProtection="1">
      <alignment horizontal="left" wrapText="1"/>
    </xf>
    <xf numFmtId="0" fontId="87" fillId="5" borderId="28" xfId="0" applyNumberFormat="1" applyFont="1" applyFill="1" applyBorder="1" applyAlignment="1" applyProtection="1">
      <alignment horizontal="left" wrapText="1"/>
    </xf>
    <xf numFmtId="166" fontId="87" fillId="13" borderId="0" xfId="0" applyNumberFormat="1" applyFont="1" applyFill="1" applyBorder="1" applyAlignment="1" applyProtection="1">
      <alignment horizontal="center" wrapText="1"/>
    </xf>
    <xf numFmtId="166" fontId="87" fillId="13" borderId="28" xfId="0" applyNumberFormat="1" applyFont="1" applyFill="1" applyBorder="1" applyAlignment="1" applyProtection="1">
      <alignment horizontal="center" wrapText="1"/>
    </xf>
    <xf numFmtId="166" fontId="87" fillId="6" borderId="0" xfId="0" applyNumberFormat="1" applyFont="1" applyFill="1" applyBorder="1" applyAlignment="1" applyProtection="1">
      <alignment horizontal="center" wrapText="1"/>
    </xf>
    <xf numFmtId="166" fontId="87" fillId="6" borderId="28" xfId="0" applyNumberFormat="1" applyFont="1" applyFill="1" applyBorder="1" applyAlignment="1" applyProtection="1">
      <alignment horizontal="center" wrapText="1"/>
    </xf>
    <xf numFmtId="166" fontId="87" fillId="14" borderId="0" xfId="0" applyNumberFormat="1" applyFont="1" applyFill="1" applyBorder="1" applyAlignment="1" applyProtection="1">
      <alignment horizontal="center" wrapText="1"/>
    </xf>
    <xf numFmtId="166" fontId="87" fillId="14" borderId="28" xfId="0" applyNumberFormat="1" applyFont="1" applyFill="1" applyBorder="1" applyAlignment="1" applyProtection="1">
      <alignment horizontal="center" wrapText="1"/>
    </xf>
    <xf numFmtId="166" fontId="87" fillId="21" borderId="0" xfId="0" applyNumberFormat="1" applyFont="1" applyFill="1" applyBorder="1" applyAlignment="1" applyProtection="1">
      <alignment horizontal="center" wrapText="1"/>
    </xf>
    <xf numFmtId="166" fontId="87" fillId="21" borderId="28" xfId="0" applyNumberFormat="1" applyFont="1" applyFill="1" applyBorder="1" applyAlignment="1" applyProtection="1">
      <alignment horizontal="center" wrapText="1"/>
    </xf>
    <xf numFmtId="166" fontId="87" fillId="5" borderId="0" xfId="0" applyNumberFormat="1" applyFont="1" applyFill="1" applyBorder="1" applyAlignment="1" applyProtection="1">
      <alignment horizontal="center" wrapText="1"/>
    </xf>
    <xf numFmtId="166" fontId="87" fillId="15" borderId="0" xfId="0" applyNumberFormat="1" applyFont="1" applyFill="1" applyBorder="1" applyAlignment="1" applyProtection="1">
      <alignment horizontal="center" wrapText="1"/>
    </xf>
    <xf numFmtId="166" fontId="87" fillId="15" borderId="28" xfId="0" applyNumberFormat="1" applyFont="1" applyFill="1" applyBorder="1" applyAlignment="1" applyProtection="1">
      <alignment horizontal="center" wrapText="1"/>
    </xf>
    <xf numFmtId="166" fontId="87" fillId="7" borderId="0" xfId="0" applyNumberFormat="1" applyFont="1" applyFill="1" applyBorder="1" applyAlignment="1" applyProtection="1">
      <alignment horizontal="center" wrapText="1"/>
    </xf>
    <xf numFmtId="166" fontId="87" fillId="7" borderId="28" xfId="0" applyNumberFormat="1" applyFont="1" applyFill="1" applyBorder="1" applyAlignment="1" applyProtection="1">
      <alignment horizontal="center" wrapText="1"/>
    </xf>
    <xf numFmtId="0" fontId="87" fillId="5" borderId="48" xfId="0" applyNumberFormat="1" applyFont="1" applyFill="1" applyBorder="1" applyAlignment="1" applyProtection="1">
      <alignment horizontal="left" wrapText="1"/>
    </xf>
    <xf numFmtId="0" fontId="87" fillId="5" borderId="29" xfId="0" applyNumberFormat="1" applyFont="1" applyFill="1" applyBorder="1" applyAlignment="1" applyProtection="1">
      <alignment horizontal="left" wrapText="1"/>
    </xf>
    <xf numFmtId="166" fontId="87" fillId="13" borderId="26" xfId="0" applyNumberFormat="1" applyFont="1" applyFill="1" applyBorder="1" applyAlignment="1" applyProtection="1">
      <alignment horizontal="center" wrapText="1"/>
    </xf>
    <xf numFmtId="166" fontId="87" fillId="13" borderId="29" xfId="0" applyNumberFormat="1" applyFont="1" applyFill="1" applyBorder="1" applyAlignment="1" applyProtection="1">
      <alignment horizontal="center" wrapText="1"/>
    </xf>
    <xf numFmtId="166" fontId="87" fillId="6" borderId="26" xfId="0" applyNumberFormat="1" applyFont="1" applyFill="1" applyBorder="1" applyAlignment="1" applyProtection="1">
      <alignment horizontal="center" wrapText="1"/>
    </xf>
    <xf numFmtId="166" fontId="87" fillId="6" borderId="29" xfId="0" applyNumberFormat="1" applyFont="1" applyFill="1" applyBorder="1" applyAlignment="1" applyProtection="1">
      <alignment horizontal="center" wrapText="1"/>
    </xf>
    <xf numFmtId="166" fontId="87" fillId="14" borderId="26" xfId="0" applyNumberFormat="1" applyFont="1" applyFill="1" applyBorder="1" applyAlignment="1" applyProtection="1">
      <alignment horizontal="center" wrapText="1"/>
    </xf>
    <xf numFmtId="166" fontId="87" fillId="14" borderId="29" xfId="0" applyNumberFormat="1" applyFont="1" applyFill="1" applyBorder="1" applyAlignment="1" applyProtection="1">
      <alignment horizontal="center" wrapText="1"/>
    </xf>
    <xf numFmtId="166" fontId="87" fillId="21" borderId="26" xfId="0" applyNumberFormat="1" applyFont="1" applyFill="1" applyBorder="1" applyAlignment="1" applyProtection="1">
      <alignment horizontal="center" wrapText="1"/>
    </xf>
    <xf numFmtId="166" fontId="87" fillId="21" borderId="29" xfId="0" applyNumberFormat="1" applyFont="1" applyFill="1" applyBorder="1" applyAlignment="1" applyProtection="1">
      <alignment horizontal="center" wrapText="1"/>
    </xf>
    <xf numFmtId="166" fontId="87" fillId="5" borderId="26" xfId="0" applyNumberFormat="1" applyFont="1" applyFill="1" applyBorder="1" applyAlignment="1" applyProtection="1">
      <alignment horizontal="center" wrapText="1"/>
    </xf>
    <xf numFmtId="166" fontId="87" fillId="15" borderId="26" xfId="0" applyNumberFormat="1" applyFont="1" applyFill="1" applyBorder="1" applyAlignment="1" applyProtection="1">
      <alignment horizontal="center" wrapText="1"/>
    </xf>
    <xf numFmtId="166" fontId="87" fillId="15" borderId="29" xfId="0" applyNumberFormat="1" applyFont="1" applyFill="1" applyBorder="1" applyAlignment="1" applyProtection="1">
      <alignment horizontal="center" wrapText="1"/>
    </xf>
    <xf numFmtId="166" fontId="87" fillId="7" borderId="26" xfId="0" applyNumberFormat="1" applyFont="1" applyFill="1" applyBorder="1" applyAlignment="1" applyProtection="1">
      <alignment horizontal="center" wrapText="1"/>
    </xf>
    <xf numFmtId="166" fontId="87" fillId="7" borderId="29" xfId="0" applyNumberFormat="1" applyFont="1" applyFill="1" applyBorder="1" applyAlignment="1" applyProtection="1">
      <alignment horizontal="center" wrapText="1"/>
    </xf>
    <xf numFmtId="166" fontId="87" fillId="14" borderId="0" xfId="0" applyNumberFormat="1" applyFont="1" applyFill="1" applyBorder="1" applyAlignment="1" applyProtection="1">
      <alignment horizontal="right" wrapText="1"/>
    </xf>
    <xf numFmtId="166" fontId="87" fillId="14" borderId="28" xfId="0" applyNumberFormat="1" applyFont="1" applyFill="1" applyBorder="1" applyAlignment="1" applyProtection="1">
      <alignment horizontal="left" wrapText="1"/>
    </xf>
    <xf numFmtId="166" fontId="87" fillId="6" borderId="26" xfId="0" applyNumberFormat="1" applyFont="1" applyFill="1" applyBorder="1" applyAlignment="1" applyProtection="1">
      <alignment horizontal="right" wrapText="1"/>
    </xf>
    <xf numFmtId="166" fontId="87" fillId="6" borderId="29" xfId="0" applyNumberFormat="1" applyFont="1" applyFill="1" applyBorder="1" applyAlignment="1" applyProtection="1">
      <alignment horizontal="left" wrapText="1"/>
    </xf>
    <xf numFmtId="166" fontId="87" fillId="21" borderId="26" xfId="0" applyNumberFormat="1" applyFont="1" applyFill="1" applyBorder="1" applyAlignment="1" applyProtection="1">
      <alignment horizontal="right" wrapText="1"/>
    </xf>
    <xf numFmtId="166" fontId="87" fillId="21" borderId="29" xfId="0" applyNumberFormat="1" applyFont="1" applyFill="1" applyBorder="1" applyAlignment="1" applyProtection="1">
      <alignment horizontal="left" wrapText="1"/>
    </xf>
    <xf numFmtId="166" fontId="87" fillId="5" borderId="26" xfId="0" applyNumberFormat="1" applyFont="1" applyFill="1" applyBorder="1" applyAlignment="1" applyProtection="1">
      <alignment horizontal="right" wrapText="1"/>
    </xf>
    <xf numFmtId="166" fontId="87" fillId="5" borderId="26" xfId="0" applyNumberFormat="1" applyFont="1" applyFill="1" applyBorder="1" applyAlignment="1" applyProtection="1">
      <alignment horizontal="left" wrapText="1"/>
    </xf>
    <xf numFmtId="166" fontId="87" fillId="15" borderId="26" xfId="0" applyNumberFormat="1" applyFont="1" applyFill="1" applyBorder="1" applyAlignment="1" applyProtection="1">
      <alignment horizontal="right" wrapText="1"/>
    </xf>
    <xf numFmtId="166" fontId="87" fillId="15" borderId="29" xfId="0" applyNumberFormat="1" applyFont="1" applyFill="1" applyBorder="1" applyAlignment="1" applyProtection="1">
      <alignment horizontal="left" wrapText="1"/>
    </xf>
    <xf numFmtId="166" fontId="87" fillId="6" borderId="0" xfId="0" applyNumberFormat="1" applyFont="1" applyFill="1" applyBorder="1" applyAlignment="1" applyProtection="1">
      <alignment horizontal="right" wrapText="1"/>
    </xf>
    <xf numFmtId="166" fontId="87" fillId="6" borderId="28" xfId="0" applyNumberFormat="1" applyFont="1" applyFill="1" applyBorder="1" applyAlignment="1" applyProtection="1">
      <alignment horizontal="left" wrapText="1"/>
    </xf>
    <xf numFmtId="166" fontId="87" fillId="21" borderId="0" xfId="0" applyNumberFormat="1" applyFont="1" applyFill="1" applyBorder="1" applyAlignment="1" applyProtection="1">
      <alignment horizontal="right" wrapText="1"/>
    </xf>
    <xf numFmtId="166" fontId="87" fillId="21" borderId="28" xfId="0" applyNumberFormat="1" applyFont="1" applyFill="1" applyBorder="1" applyAlignment="1" applyProtection="1">
      <alignment horizontal="left" wrapText="1"/>
    </xf>
    <xf numFmtId="166" fontId="87" fillId="5" borderId="0" xfId="0" applyNumberFormat="1" applyFont="1" applyFill="1" applyBorder="1" applyAlignment="1" applyProtection="1">
      <alignment horizontal="right" wrapText="1"/>
    </xf>
    <xf numFmtId="166" fontId="87" fillId="5" borderId="0" xfId="0" applyNumberFormat="1" applyFont="1" applyFill="1" applyBorder="1" applyAlignment="1" applyProtection="1">
      <alignment horizontal="left" wrapText="1"/>
    </xf>
    <xf numFmtId="166" fontId="87" fillId="15" borderId="0" xfId="0" applyNumberFormat="1" applyFont="1" applyFill="1" applyBorder="1" applyAlignment="1" applyProtection="1">
      <alignment horizontal="right" wrapText="1"/>
    </xf>
    <xf numFmtId="166" fontId="87" fillId="15" borderId="28" xfId="0" applyNumberFormat="1" applyFont="1" applyFill="1" applyBorder="1" applyAlignment="1" applyProtection="1">
      <alignment horizontal="left" wrapText="1"/>
    </xf>
    <xf numFmtId="166" fontId="87" fillId="14" borderId="26" xfId="0" applyNumberFormat="1" applyFont="1" applyFill="1" applyBorder="1" applyAlignment="1" applyProtection="1">
      <alignment horizontal="right" wrapText="1"/>
    </xf>
    <xf numFmtId="166" fontId="87" fillId="14" borderId="29" xfId="0" applyNumberFormat="1" applyFont="1" applyFill="1" applyBorder="1" applyAlignment="1" applyProtection="1">
      <alignment horizontal="left" wrapText="1"/>
    </xf>
    <xf numFmtId="166" fontId="87" fillId="13" borderId="0" xfId="0" applyNumberFormat="1" applyFont="1" applyFill="1" applyBorder="1" applyAlignment="1" applyProtection="1">
      <alignment horizontal="right" wrapText="1"/>
    </xf>
    <xf numFmtId="166" fontId="87" fillId="13" borderId="28" xfId="0" applyNumberFormat="1" applyFont="1" applyFill="1" applyBorder="1" applyAlignment="1" applyProtection="1">
      <alignment horizontal="left" wrapText="1"/>
    </xf>
    <xf numFmtId="166" fontId="87" fillId="7" borderId="0" xfId="0" applyNumberFormat="1" applyFont="1" applyFill="1" applyBorder="1" applyAlignment="1" applyProtection="1">
      <alignment horizontal="right" wrapText="1"/>
    </xf>
    <xf numFmtId="166" fontId="87" fillId="7" borderId="28" xfId="0" applyNumberFormat="1" applyFont="1" applyFill="1" applyBorder="1" applyAlignment="1" applyProtection="1">
      <alignment horizontal="left" wrapText="1"/>
    </xf>
    <xf numFmtId="166" fontId="87" fillId="13" borderId="26" xfId="0" applyNumberFormat="1" applyFont="1" applyFill="1" applyBorder="1" applyAlignment="1" applyProtection="1">
      <alignment horizontal="right" wrapText="1"/>
    </xf>
    <xf numFmtId="166" fontId="87" fillId="13" borderId="29" xfId="0" applyNumberFormat="1" applyFont="1" applyFill="1" applyBorder="1" applyAlignment="1" applyProtection="1">
      <alignment horizontal="left" wrapText="1"/>
    </xf>
    <xf numFmtId="166" fontId="87" fillId="7" borderId="26" xfId="0" applyNumberFormat="1" applyFont="1" applyFill="1" applyBorder="1" applyAlignment="1" applyProtection="1">
      <alignment horizontal="right" wrapText="1"/>
    </xf>
    <xf numFmtId="166" fontId="87" fillId="7" borderId="29" xfId="0" applyNumberFormat="1" applyFont="1" applyFill="1" applyBorder="1" applyAlignment="1" applyProtection="1">
      <alignment horizontal="left" wrapText="1"/>
    </xf>
    <xf numFmtId="0" fontId="79" fillId="5" borderId="25" xfId="0" applyNumberFormat="1" applyFont="1" applyFill="1" applyBorder="1" applyAlignment="1" applyProtection="1">
      <alignment horizontal="center" wrapText="1"/>
    </xf>
    <xf numFmtId="166" fontId="79" fillId="7" borderId="25" xfId="0" applyNumberFormat="1" applyFont="1" applyFill="1" applyBorder="1" applyAlignment="1" applyProtection="1">
      <alignment horizontal="center" wrapText="1"/>
    </xf>
    <xf numFmtId="0" fontId="79" fillId="7" borderId="25" xfId="0" applyNumberFormat="1" applyFont="1" applyFill="1" applyBorder="1" applyAlignment="1" applyProtection="1">
      <alignment horizontal="center" wrapText="1"/>
    </xf>
    <xf numFmtId="166" fontId="79" fillId="11" borderId="25" xfId="0" applyNumberFormat="1" applyFont="1" applyFill="1" applyBorder="1" applyAlignment="1" applyProtection="1">
      <alignment horizontal="center" wrapText="1"/>
    </xf>
    <xf numFmtId="0" fontId="79" fillId="11" borderId="25" xfId="0" applyNumberFormat="1" applyFont="1" applyFill="1" applyBorder="1" applyAlignment="1" applyProtection="1">
      <alignment horizontal="center" wrapText="1"/>
    </xf>
    <xf numFmtId="166" fontId="79" fillId="9" borderId="25" xfId="0" applyNumberFormat="1" applyFont="1" applyFill="1" applyBorder="1" applyAlignment="1" applyProtection="1">
      <alignment horizontal="center" wrapText="1"/>
    </xf>
    <xf numFmtId="0" fontId="79" fillId="9" borderId="25" xfId="0" applyNumberFormat="1" applyFont="1" applyFill="1" applyBorder="1" applyAlignment="1" applyProtection="1">
      <alignment horizontal="center" wrapText="1"/>
    </xf>
    <xf numFmtId="0" fontId="87" fillId="5" borderId="0" xfId="0" applyNumberFormat="1" applyFont="1" applyFill="1" applyBorder="1" applyAlignment="1" applyProtection="1">
      <alignment horizontal="left" wrapText="1"/>
    </xf>
    <xf numFmtId="166" fontId="87" fillId="7" borderId="47" xfId="0" applyNumberFormat="1" applyFont="1" applyFill="1" applyBorder="1" applyAlignment="1" applyProtection="1">
      <alignment horizontal="right" wrapText="1"/>
    </xf>
    <xf numFmtId="0" fontId="87" fillId="7" borderId="0" xfId="0" applyNumberFormat="1" applyFont="1" applyFill="1" applyBorder="1" applyAlignment="1" applyProtection="1">
      <alignment horizontal="left" wrapText="1"/>
    </xf>
    <xf numFmtId="0" fontId="87" fillId="7" borderId="0" xfId="0" applyNumberFormat="1" applyFont="1" applyFill="1" applyBorder="1" applyAlignment="1" applyProtection="1">
      <alignment horizontal="center" wrapText="1"/>
    </xf>
    <xf numFmtId="166" fontId="87" fillId="7" borderId="28" xfId="0" applyNumberFormat="1" applyFont="1" applyFill="1" applyBorder="1" applyAlignment="1" applyProtection="1">
      <alignment horizontal="right" wrapText="1"/>
    </xf>
    <xf numFmtId="166" fontId="87" fillId="11" borderId="0" xfId="0" applyNumberFormat="1" applyFont="1" applyFill="1" applyBorder="1" applyAlignment="1" applyProtection="1">
      <alignment horizontal="center" wrapText="1"/>
    </xf>
    <xf numFmtId="0" fontId="87" fillId="11" borderId="0" xfId="0" applyNumberFormat="1" applyFont="1" applyFill="1" applyBorder="1" applyAlignment="1" applyProtection="1">
      <alignment horizontal="center" wrapText="1"/>
    </xf>
    <xf numFmtId="166" fontId="87" fillId="11" borderId="0" xfId="0" applyNumberFormat="1" applyFont="1" applyFill="1" applyBorder="1" applyAlignment="1" applyProtection="1">
      <alignment horizontal="right" wrapText="1"/>
    </xf>
    <xf numFmtId="0" fontId="87" fillId="11" borderId="0" xfId="0" applyNumberFormat="1" applyFont="1" applyFill="1" applyBorder="1" applyAlignment="1" applyProtection="1">
      <alignment horizontal="left" wrapText="1"/>
    </xf>
    <xf numFmtId="0" fontId="87" fillId="11" borderId="28" xfId="0" applyNumberFormat="1" applyFont="1" applyFill="1" applyBorder="1" applyAlignment="1" applyProtection="1">
      <alignment horizontal="center" wrapText="1"/>
    </xf>
    <xf numFmtId="166" fontId="87" fillId="11" borderId="28" xfId="0" applyNumberFormat="1" applyFont="1" applyFill="1" applyBorder="1" applyAlignment="1" applyProtection="1">
      <alignment horizontal="left" wrapText="1"/>
    </xf>
    <xf numFmtId="166" fontId="87" fillId="9" borderId="0" xfId="0" applyNumberFormat="1" applyFont="1" applyFill="1" applyBorder="1" applyAlignment="1" applyProtection="1">
      <alignment horizontal="center" wrapText="1"/>
    </xf>
    <xf numFmtId="0" fontId="87" fillId="9" borderId="0" xfId="0" applyNumberFormat="1" applyFont="1" applyFill="1" applyBorder="1" applyAlignment="1" applyProtection="1">
      <alignment horizontal="center" wrapText="1"/>
    </xf>
    <xf numFmtId="166" fontId="87" fillId="9" borderId="28" xfId="0" applyNumberFormat="1" applyFont="1" applyFill="1" applyBorder="1" applyAlignment="1" applyProtection="1">
      <alignment horizontal="right" wrapText="1"/>
    </xf>
    <xf numFmtId="0" fontId="87" fillId="7" borderId="0" xfId="0" applyNumberFormat="1" applyFont="1" applyFill="1" applyBorder="1" applyAlignment="1" applyProtection="1">
      <alignment horizontal="right" wrapText="1"/>
    </xf>
    <xf numFmtId="0" fontId="87" fillId="5" borderId="26" xfId="0" applyNumberFormat="1" applyFont="1" applyFill="1" applyBorder="1" applyAlignment="1" applyProtection="1">
      <alignment horizontal="left" wrapText="1"/>
    </xf>
    <xf numFmtId="166" fontId="87" fillId="7" borderId="48" xfId="0" applyNumberFormat="1" applyFont="1" applyFill="1" applyBorder="1" applyAlignment="1" applyProtection="1">
      <alignment horizontal="right" wrapText="1"/>
    </xf>
    <xf numFmtId="0" fontId="87" fillId="7" borderId="26" xfId="0" applyNumberFormat="1" applyFont="1" applyFill="1" applyBorder="1" applyAlignment="1" applyProtection="1">
      <alignment horizontal="left" wrapText="1"/>
    </xf>
    <xf numFmtId="0" fontId="87" fillId="7" borderId="26" xfId="0" applyNumberFormat="1" applyFont="1" applyFill="1" applyBorder="1" applyAlignment="1" applyProtection="1">
      <alignment horizontal="center" wrapText="1"/>
    </xf>
    <xf numFmtId="166" fontId="87" fillId="7" borderId="29" xfId="0" applyNumberFormat="1" applyFont="1" applyFill="1" applyBorder="1" applyAlignment="1" applyProtection="1">
      <alignment horizontal="right" wrapText="1"/>
    </xf>
    <xf numFmtId="166" fontId="87" fillId="11" borderId="26" xfId="0" applyNumberFormat="1" applyFont="1" applyFill="1" applyBorder="1" applyAlignment="1" applyProtection="1">
      <alignment horizontal="center" wrapText="1"/>
    </xf>
    <xf numFmtId="0" fontId="87" fillId="11" borderId="26" xfId="0" applyNumberFormat="1" applyFont="1" applyFill="1" applyBorder="1" applyAlignment="1" applyProtection="1">
      <alignment horizontal="center" wrapText="1"/>
    </xf>
    <xf numFmtId="166" fontId="87" fillId="11" borderId="26" xfId="0" applyNumberFormat="1" applyFont="1" applyFill="1" applyBorder="1" applyAlignment="1" applyProtection="1">
      <alignment horizontal="right" wrapText="1"/>
    </xf>
    <xf numFmtId="0" fontId="87" fillId="11" borderId="26" xfId="0" applyNumberFormat="1" applyFont="1" applyFill="1" applyBorder="1" applyAlignment="1" applyProtection="1">
      <alignment horizontal="left" wrapText="1"/>
    </xf>
    <xf numFmtId="0" fontId="87" fillId="11" borderId="29" xfId="0" applyNumberFormat="1" applyFont="1" applyFill="1" applyBorder="1" applyAlignment="1" applyProtection="1">
      <alignment horizontal="center" wrapText="1"/>
    </xf>
    <xf numFmtId="166" fontId="87" fillId="11" borderId="29" xfId="0" applyNumberFormat="1" applyFont="1" applyFill="1" applyBorder="1" applyAlignment="1" applyProtection="1">
      <alignment horizontal="left" wrapText="1"/>
    </xf>
    <xf numFmtId="166" fontId="87" fillId="9" borderId="26" xfId="0" applyNumberFormat="1" applyFont="1" applyFill="1" applyBorder="1" applyAlignment="1" applyProtection="1">
      <alignment horizontal="center" wrapText="1"/>
    </xf>
    <xf numFmtId="0" fontId="87" fillId="9" borderId="26" xfId="0" applyNumberFormat="1" applyFont="1" applyFill="1" applyBorder="1" applyAlignment="1" applyProtection="1">
      <alignment horizontal="center" wrapText="1"/>
    </xf>
    <xf numFmtId="166" fontId="87" fillId="9" borderId="29" xfId="0" applyNumberFormat="1" applyFont="1" applyFill="1" applyBorder="1" applyAlignment="1" applyProtection="1">
      <alignment horizontal="right" wrapText="1"/>
    </xf>
    <xf numFmtId="0" fontId="87" fillId="11" borderId="28" xfId="0" applyNumberFormat="1" applyFont="1" applyFill="1" applyBorder="1" applyAlignment="1" applyProtection="1">
      <alignment horizontal="left" wrapText="1"/>
    </xf>
    <xf numFmtId="166" fontId="87" fillId="9" borderId="0" xfId="0" applyNumberFormat="1" applyFont="1" applyFill="1" applyBorder="1" applyAlignment="1" applyProtection="1">
      <alignment horizontal="right" wrapText="1"/>
    </xf>
    <xf numFmtId="0" fontId="87" fillId="9" borderId="0" xfId="0" applyNumberFormat="1" applyFont="1" applyFill="1" applyBorder="1" applyAlignment="1" applyProtection="1">
      <alignment horizontal="left" wrapText="1"/>
    </xf>
    <xf numFmtId="0" fontId="87" fillId="7" borderId="26" xfId="0" applyNumberFormat="1" applyFont="1" applyFill="1" applyBorder="1" applyAlignment="1" applyProtection="1">
      <alignment horizontal="right" wrapText="1"/>
    </xf>
    <xf numFmtId="166" fontId="87" fillId="7" borderId="47" xfId="0" applyNumberFormat="1" applyFont="1" applyFill="1" applyBorder="1" applyAlignment="1" applyProtection="1">
      <alignment horizontal="center" wrapText="1"/>
    </xf>
    <xf numFmtId="166" fontId="87" fillId="7" borderId="48" xfId="0" applyNumberFormat="1" applyFont="1" applyFill="1" applyBorder="1" applyAlignment="1" applyProtection="1">
      <alignment horizontal="center" wrapText="1"/>
    </xf>
    <xf numFmtId="166" fontId="87" fillId="11" borderId="28" xfId="0" applyNumberFormat="1" applyFont="1" applyFill="1" applyBorder="1" applyAlignment="1" applyProtection="1">
      <alignment horizontal="center" wrapText="1"/>
    </xf>
    <xf numFmtId="166" fontId="87" fillId="9" borderId="28" xfId="0" applyNumberFormat="1" applyFont="1" applyFill="1" applyBorder="1" applyAlignment="1" applyProtection="1">
      <alignment horizontal="center" wrapText="1"/>
    </xf>
    <xf numFmtId="166" fontId="87" fillId="11" borderId="29" xfId="0" applyNumberFormat="1" applyFont="1" applyFill="1" applyBorder="1" applyAlignment="1" applyProtection="1">
      <alignment horizontal="center" wrapText="1"/>
    </xf>
    <xf numFmtId="166" fontId="87" fillId="9" borderId="29" xfId="0" applyNumberFormat="1" applyFont="1" applyFill="1" applyBorder="1" applyAlignment="1" applyProtection="1">
      <alignment horizontal="center" wrapText="1"/>
    </xf>
    <xf numFmtId="166" fontId="87" fillId="9" borderId="26" xfId="0" applyNumberFormat="1" applyFont="1" applyFill="1" applyBorder="1" applyAlignment="1" applyProtection="1">
      <alignment horizontal="right" wrapText="1"/>
    </xf>
    <xf numFmtId="0" fontId="87" fillId="11" borderId="29" xfId="0" applyNumberFormat="1" applyFont="1" applyFill="1" applyBorder="1" applyAlignment="1" applyProtection="1">
      <alignment horizontal="left" wrapText="1"/>
    </xf>
    <xf numFmtId="0" fontId="87" fillId="9" borderId="26" xfId="0" applyNumberFormat="1" applyFont="1" applyFill="1" applyBorder="1" applyAlignment="1" applyProtection="1">
      <alignment horizontal="left" wrapText="1"/>
    </xf>
    <xf numFmtId="0" fontId="20" fillId="0" borderId="54" xfId="0" applyFont="1" applyBorder="1" applyAlignment="1" applyProtection="1">
      <alignment horizontal="center"/>
    </xf>
    <xf numFmtId="0" fontId="20" fillId="0" borderId="67" xfId="0" applyFont="1" applyBorder="1" applyAlignment="1" applyProtection="1">
      <alignment horizontal="center"/>
    </xf>
    <xf numFmtId="0" fontId="20" fillId="0" borderId="66" xfId="0" applyFont="1" applyBorder="1" applyAlignment="1" applyProtection="1">
      <alignment horizontal="left"/>
    </xf>
    <xf numFmtId="0" fontId="63" fillId="18" borderId="0" xfId="9" applyFill="1" applyAlignment="1" applyProtection="1">
      <alignment vertical="center" wrapText="1"/>
    </xf>
    <xf numFmtId="0" fontId="11" fillId="18" borderId="0" xfId="0" applyFont="1" applyFill="1" applyAlignment="1">
      <alignment horizontal="left" wrapText="1" indent="7"/>
    </xf>
    <xf numFmtId="0" fontId="74" fillId="18" borderId="0" xfId="9" applyFont="1" applyFill="1" applyAlignment="1" applyProtection="1">
      <alignment horizontal="left" vertical="center" wrapText="1" indent="7"/>
    </xf>
    <xf numFmtId="173" fontId="20" fillId="0" borderId="0" xfId="0" applyNumberFormat="1" applyFont="1" applyProtection="1"/>
    <xf numFmtId="174" fontId="20" fillId="0" borderId="0" xfId="0" applyNumberFormat="1" applyFont="1" applyProtection="1"/>
    <xf numFmtId="0" fontId="1" fillId="0" borderId="0" xfId="1" applyNumberFormat="1" applyFont="1" applyFill="1" applyBorder="1" applyAlignment="1" applyProtection="1">
      <protection locked="0"/>
    </xf>
    <xf numFmtId="0" fontId="79" fillId="10" borderId="0" xfId="0" applyFont="1" applyFill="1" applyBorder="1" applyProtection="1">
      <protection locked="0"/>
    </xf>
    <xf numFmtId="0" fontId="77" fillId="10" borderId="0" xfId="0" applyFont="1" applyFill="1" applyBorder="1" applyAlignment="1" applyProtection="1">
      <alignment horizontal="center" vertical="center"/>
    </xf>
    <xf numFmtId="11" fontId="26" fillId="0" borderId="0" xfId="0" applyNumberFormat="1" applyFont="1" applyFill="1" applyBorder="1" applyAlignment="1" applyProtection="1">
      <alignment horizontal="left" vertical="center" wrapText="1"/>
    </xf>
    <xf numFmtId="11" fontId="26" fillId="0" borderId="0" xfId="0" applyNumberFormat="1" applyFont="1" applyFill="1" applyBorder="1" applyAlignment="1" applyProtection="1">
      <alignment horizontal="right" vertical="center"/>
    </xf>
    <xf numFmtId="11" fontId="20" fillId="0" borderId="0" xfId="0" applyNumberFormat="1" applyFont="1" applyBorder="1" applyAlignment="1" applyProtection="1">
      <alignment horizontal="right"/>
    </xf>
    <xf numFmtId="0" fontId="20" fillId="0" borderId="12" xfId="0" applyFont="1" applyFill="1" applyBorder="1" applyAlignment="1" applyProtection="1">
      <alignment vertical="center"/>
    </xf>
    <xf numFmtId="0" fontId="19" fillId="0" borderId="13" xfId="0" applyFont="1" applyFill="1" applyBorder="1" applyAlignment="1" applyProtection="1">
      <alignment vertical="center"/>
    </xf>
    <xf numFmtId="0" fontId="19" fillId="0" borderId="13" xfId="0" applyFont="1" applyFill="1" applyBorder="1" applyAlignment="1" applyProtection="1">
      <alignment horizontal="center" vertical="center"/>
    </xf>
    <xf numFmtId="0" fontId="72" fillId="0" borderId="19" xfId="0" applyFont="1" applyFill="1" applyBorder="1" applyAlignment="1" applyProtection="1">
      <alignment vertical="center" wrapText="1"/>
    </xf>
    <xf numFmtId="0" fontId="72" fillId="0" borderId="17" xfId="0" applyFont="1" applyFill="1" applyBorder="1" applyAlignment="1" applyProtection="1">
      <alignment vertical="center" wrapText="1"/>
    </xf>
    <xf numFmtId="11" fontId="72" fillId="0" borderId="0" xfId="0" applyNumberFormat="1" applyFont="1" applyFill="1" applyBorder="1" applyAlignment="1" applyProtection="1">
      <alignment horizontal="left" vertical="center" wrapText="1"/>
    </xf>
    <xf numFmtId="171" fontId="11" fillId="0" borderId="0" xfId="0" applyNumberFormat="1" applyFont="1" applyAlignment="1">
      <alignment wrapText="1"/>
    </xf>
    <xf numFmtId="11" fontId="45" fillId="0" borderId="0" xfId="0" applyNumberFormat="1" applyFont="1" applyFill="1" applyBorder="1" applyAlignment="1" applyProtection="1">
      <alignment horizontal="center" vertical="center" wrapText="1"/>
    </xf>
    <xf numFmtId="166" fontId="0" fillId="7" borderId="0" xfId="0" applyNumberFormat="1" applyFont="1" applyFill="1" applyBorder="1" applyAlignment="1" applyProtection="1">
      <alignment horizontal="right"/>
    </xf>
    <xf numFmtId="49" fontId="11" fillId="0" borderId="1" xfId="8" applyNumberFormat="1" applyFont="1" applyFill="1" applyBorder="1" applyAlignment="1" applyProtection="1">
      <alignment horizontal="left"/>
    </xf>
    <xf numFmtId="11" fontId="11" fillId="0" borderId="1" xfId="8" applyNumberFormat="1" applyFont="1" applyFill="1" applyBorder="1" applyAlignment="1" applyProtection="1">
      <alignment horizontal="center"/>
    </xf>
    <xf numFmtId="0" fontId="26" fillId="2" borderId="0" xfId="0" applyFont="1" applyFill="1" applyBorder="1" applyAlignment="1" applyProtection="1">
      <alignment horizontal="left" vertical="center" wrapText="1"/>
    </xf>
    <xf numFmtId="0" fontId="26" fillId="2" borderId="17" xfId="0" applyFont="1" applyFill="1" applyBorder="1" applyAlignment="1" applyProtection="1">
      <alignment horizontal="left" vertical="center" wrapText="1"/>
    </xf>
    <xf numFmtId="0" fontId="45" fillId="2" borderId="15" xfId="0" applyNumberFormat="1" applyFont="1" applyFill="1" applyBorder="1" applyAlignment="1" applyProtection="1">
      <alignment horizontal="center" vertical="top" wrapText="1"/>
    </xf>
    <xf numFmtId="0" fontId="19" fillId="2" borderId="0" xfId="0" applyFont="1" applyFill="1" applyBorder="1" applyAlignment="1" applyProtection="1">
      <alignment horizontal="left" vertical="center"/>
    </xf>
    <xf numFmtId="11" fontId="26" fillId="0" borderId="0" xfId="0" applyNumberFormat="1" applyFont="1" applyFill="1" applyBorder="1" applyAlignment="1" applyProtection="1">
      <alignment horizontal="left" vertical="center" wrapText="1"/>
    </xf>
    <xf numFmtId="11" fontId="26" fillId="0" borderId="17" xfId="0" applyNumberFormat="1" applyFont="1" applyFill="1" applyBorder="1" applyAlignment="1" applyProtection="1">
      <alignment horizontal="left" vertical="center" wrapText="1"/>
    </xf>
    <xf numFmtId="0" fontId="90" fillId="0" borderId="4" xfId="0" applyFont="1" applyFill="1" applyBorder="1" applyAlignment="1" applyProtection="1">
      <alignment horizontal="left" vertical="center" wrapText="1"/>
    </xf>
    <xf numFmtId="0" fontId="90" fillId="0" borderId="5" xfId="0" applyFont="1" applyFill="1" applyBorder="1" applyAlignment="1" applyProtection="1">
      <alignment horizontal="left" vertical="center" wrapText="1"/>
    </xf>
    <xf numFmtId="0" fontId="90" fillId="0" borderId="0" xfId="0" applyFont="1" applyFill="1" applyBorder="1" applyAlignment="1" applyProtection="1">
      <alignment horizontal="left" vertical="center" wrapText="1"/>
    </xf>
    <xf numFmtId="0" fontId="90" fillId="0" borderId="7" xfId="0" applyFont="1" applyFill="1" applyBorder="1" applyAlignment="1" applyProtection="1">
      <alignment horizontal="left" vertical="center" wrapText="1"/>
    </xf>
    <xf numFmtId="0" fontId="90" fillId="0" borderId="13" xfId="0" applyFont="1" applyFill="1" applyBorder="1" applyAlignment="1" applyProtection="1">
      <alignment horizontal="left" vertical="center" wrapText="1"/>
    </xf>
    <xf numFmtId="0" fontId="90" fillId="0" borderId="63" xfId="0" applyFont="1" applyFill="1" applyBorder="1" applyAlignment="1" applyProtection="1">
      <alignment horizontal="left" vertical="center" wrapText="1"/>
    </xf>
    <xf numFmtId="0" fontId="39" fillId="6" borderId="14" xfId="0" applyFont="1" applyFill="1" applyBorder="1" applyAlignment="1" applyProtection="1">
      <alignment horizontal="left" vertical="center" wrapText="1"/>
    </xf>
    <xf numFmtId="0" fontId="39" fillId="6" borderId="15" xfId="0" applyFont="1" applyFill="1" applyBorder="1" applyAlignment="1" applyProtection="1">
      <alignment horizontal="left" vertical="center" wrapText="1"/>
    </xf>
    <xf numFmtId="0" fontId="39" fillId="6" borderId="16" xfId="0" applyFont="1" applyFill="1" applyBorder="1" applyAlignment="1" applyProtection="1">
      <alignment horizontal="left" vertical="center" wrapText="1"/>
    </xf>
    <xf numFmtId="0" fontId="8" fillId="2" borderId="0" xfId="0" applyFont="1" applyFill="1" applyBorder="1" applyAlignment="1" applyProtection="1">
      <alignment horizontal="left" vertical="center" wrapText="1"/>
    </xf>
    <xf numFmtId="0" fontId="20" fillId="2" borderId="0" xfId="0" applyFont="1" applyFill="1" applyBorder="1" applyAlignment="1" applyProtection="1">
      <alignment horizontal="left" vertical="center" wrapText="1"/>
    </xf>
    <xf numFmtId="11" fontId="26" fillId="0" borderId="9" xfId="0" applyNumberFormat="1" applyFont="1" applyFill="1" applyBorder="1" applyAlignment="1" applyProtection="1">
      <alignment horizontal="center" vertical="center" wrapText="1"/>
    </xf>
    <xf numFmtId="0" fontId="20" fillId="0" borderId="0" xfId="0" applyFont="1" applyAlignment="1" applyProtection="1">
      <alignment horizontal="left" vertical="center" wrapText="1"/>
    </xf>
    <xf numFmtId="0" fontId="20" fillId="0" borderId="13" xfId="0" applyFont="1" applyBorder="1" applyAlignment="1" applyProtection="1">
      <alignment horizontal="left" vertical="center" wrapText="1"/>
    </xf>
    <xf numFmtId="0" fontId="26" fillId="2" borderId="17" xfId="0" applyFont="1" applyFill="1" applyBorder="1" applyAlignment="1" applyProtection="1">
      <alignment horizontal="center" vertical="center" wrapText="1"/>
    </xf>
    <xf numFmtId="0" fontId="39" fillId="6" borderId="19" xfId="0" applyFont="1" applyFill="1" applyBorder="1" applyAlignment="1" applyProtection="1">
      <alignment horizontal="left" vertical="center" wrapText="1"/>
    </xf>
    <xf numFmtId="0" fontId="8" fillId="2" borderId="0" xfId="0" applyFont="1" applyFill="1" applyBorder="1" applyAlignment="1" applyProtection="1">
      <alignment horizontal="left" vertical="center"/>
    </xf>
    <xf numFmtId="0" fontId="45" fillId="2" borderId="0" xfId="0" applyNumberFormat="1" applyFont="1" applyFill="1" applyBorder="1" applyAlignment="1" applyProtection="1">
      <alignment horizontal="center" vertical="top" wrapText="1"/>
    </xf>
    <xf numFmtId="0" fontId="68" fillId="3" borderId="0" xfId="0" applyFont="1" applyFill="1" applyBorder="1" applyAlignment="1" applyProtection="1">
      <alignment horizontal="left" vertical="center" wrapText="1"/>
    </xf>
    <xf numFmtId="0" fontId="39" fillId="6" borderId="0" xfId="0" applyFont="1" applyFill="1" applyAlignment="1">
      <alignment horizontal="left" vertical="center" wrapText="1"/>
    </xf>
    <xf numFmtId="0" fontId="39" fillId="6" borderId="11" xfId="0" applyFont="1" applyFill="1" applyBorder="1" applyAlignment="1" applyProtection="1">
      <alignment horizontal="left" vertical="center" wrapText="1"/>
    </xf>
    <xf numFmtId="0" fontId="39" fillId="6" borderId="0" xfId="0" applyFont="1" applyFill="1" applyBorder="1" applyAlignment="1" applyProtection="1">
      <alignment horizontal="left" vertical="center" wrapText="1"/>
    </xf>
    <xf numFmtId="0" fontId="8" fillId="2" borderId="9" xfId="0" applyFont="1" applyFill="1" applyBorder="1" applyAlignment="1" applyProtection="1">
      <alignment horizontal="left" vertical="center" wrapText="1"/>
    </xf>
    <xf numFmtId="0" fontId="39" fillId="6" borderId="11" xfId="0" applyFont="1" applyFill="1" applyBorder="1" applyAlignment="1" applyProtection="1">
      <alignment horizontal="center" vertical="center" wrapText="1"/>
    </xf>
    <xf numFmtId="0" fontId="39" fillId="6" borderId="0" xfId="0" applyFont="1" applyFill="1" applyBorder="1" applyAlignment="1" applyProtection="1">
      <alignment horizontal="center" vertical="center" wrapText="1"/>
    </xf>
    <xf numFmtId="1" fontId="12" fillId="17" borderId="9" xfId="0" applyNumberFormat="1" applyFont="1" applyFill="1" applyBorder="1" applyAlignment="1" applyProtection="1">
      <alignment horizontal="center" wrapText="1"/>
    </xf>
    <xf numFmtId="1" fontId="12" fillId="17" borderId="10" xfId="0" applyNumberFormat="1" applyFont="1" applyFill="1" applyBorder="1" applyAlignment="1" applyProtection="1">
      <alignment horizontal="center" wrapText="1"/>
    </xf>
    <xf numFmtId="1" fontId="12" fillId="17" borderId="8" xfId="0" applyNumberFormat="1" applyFont="1" applyFill="1" applyBorder="1" applyAlignment="1" applyProtection="1">
      <alignment horizontal="center" wrapText="1"/>
    </xf>
    <xf numFmtId="166" fontId="9" fillId="17" borderId="11" xfId="0" applyNumberFormat="1" applyFont="1" applyFill="1" applyBorder="1" applyAlignment="1" applyProtection="1">
      <alignment horizontal="center"/>
    </xf>
    <xf numFmtId="166" fontId="9" fillId="17" borderId="0" xfId="0" applyNumberFormat="1" applyFont="1" applyFill="1" applyBorder="1" applyAlignment="1" applyProtection="1">
      <alignment horizontal="center"/>
    </xf>
    <xf numFmtId="166" fontId="9" fillId="17" borderId="17" xfId="0" applyNumberFormat="1" applyFont="1" applyFill="1" applyBorder="1" applyAlignment="1" applyProtection="1">
      <alignment horizontal="center"/>
    </xf>
    <xf numFmtId="166" fontId="9" fillId="3" borderId="11" xfId="8" applyNumberFormat="1" applyFont="1" applyFill="1" applyBorder="1" applyAlignment="1" applyProtection="1">
      <alignment horizontal="center"/>
    </xf>
    <xf numFmtId="166" fontId="9" fillId="3" borderId="17" xfId="8" applyNumberFormat="1" applyFont="1" applyFill="1" applyBorder="1" applyAlignment="1" applyProtection="1">
      <alignment horizontal="center"/>
    </xf>
    <xf numFmtId="11" fontId="12" fillId="3" borderId="8" xfId="8" applyNumberFormat="1" applyFont="1" applyFill="1" applyBorder="1" applyAlignment="1" applyProtection="1">
      <alignment horizontal="center" wrapText="1"/>
    </xf>
    <xf numFmtId="11" fontId="12" fillId="3" borderId="10" xfId="8" applyNumberFormat="1" applyFont="1" applyFill="1" applyBorder="1" applyAlignment="1" applyProtection="1">
      <alignment horizontal="center" wrapText="1"/>
    </xf>
    <xf numFmtId="11" fontId="12" fillId="17" borderId="8" xfId="8" applyNumberFormat="1" applyFont="1" applyFill="1" applyBorder="1" applyAlignment="1" applyProtection="1">
      <alignment horizontal="center" wrapText="1"/>
    </xf>
    <xf numFmtId="11" fontId="12" fillId="17" borderId="10" xfId="8" applyNumberFormat="1" applyFont="1" applyFill="1" applyBorder="1" applyAlignment="1" applyProtection="1">
      <alignment horizontal="center" wrapText="1"/>
    </xf>
    <xf numFmtId="11" fontId="12" fillId="3" borderId="8" xfId="8" applyNumberFormat="1" applyFont="1" applyFill="1" applyBorder="1" applyAlignment="1" applyProtection="1">
      <alignment wrapText="1"/>
    </xf>
    <xf numFmtId="11" fontId="12" fillId="3" borderId="10" xfId="8" applyNumberFormat="1" applyFont="1" applyFill="1" applyBorder="1" applyAlignment="1" applyProtection="1">
      <alignment wrapText="1"/>
    </xf>
    <xf numFmtId="0" fontId="49" fillId="0" borderId="0" xfId="0" applyFont="1" applyAlignment="1">
      <alignment horizontal="left" vertical="center" wrapText="1"/>
    </xf>
    <xf numFmtId="0" fontId="0" fillId="10" borderId="23" xfId="0" applyNumberFormat="1" applyFont="1" applyFill="1" applyBorder="1" applyAlignment="1" applyProtection="1">
      <alignment horizontal="center" wrapText="1"/>
    </xf>
    <xf numFmtId="0" fontId="0" fillId="10" borderId="27" xfId="0" applyNumberFormat="1" applyFont="1" applyFill="1" applyBorder="1" applyAlignment="1" applyProtection="1">
      <alignment horizontal="center" wrapText="1"/>
    </xf>
    <xf numFmtId="0" fontId="0" fillId="10" borderId="24" xfId="0" applyNumberFormat="1" applyFont="1" applyFill="1" applyBorder="1" applyAlignment="1" applyProtection="1">
      <alignment horizontal="center" wrapText="1"/>
    </xf>
    <xf numFmtId="0" fontId="77" fillId="10" borderId="0" xfId="0" applyFont="1" applyFill="1" applyBorder="1" applyAlignment="1" applyProtection="1">
      <alignment horizontal="center" vertical="center"/>
    </xf>
    <xf numFmtId="0" fontId="11" fillId="18" borderId="47" xfId="0" applyNumberFormat="1" applyFont="1" applyFill="1" applyBorder="1" applyAlignment="1" applyProtection="1">
      <alignment horizontal="left" wrapText="1"/>
    </xf>
    <xf numFmtId="0" fontId="11" fillId="18" borderId="0" xfId="0" applyNumberFormat="1" applyFont="1" applyFill="1" applyBorder="1" applyAlignment="1" applyProtection="1">
      <alignment horizontal="left" wrapText="1"/>
    </xf>
    <xf numFmtId="0" fontId="11" fillId="18" borderId="48" xfId="0" applyNumberFormat="1" applyFont="1" applyFill="1" applyBorder="1" applyAlignment="1" applyProtection="1">
      <alignment horizontal="left" wrapText="1"/>
    </xf>
    <xf numFmtId="0" fontId="11" fillId="18" borderId="26" xfId="0" applyNumberFormat="1" applyFont="1" applyFill="1" applyBorder="1" applyAlignment="1" applyProtection="1">
      <alignment horizontal="left" wrapText="1"/>
    </xf>
    <xf numFmtId="0" fontId="38" fillId="0" borderId="13" xfId="5" applyFont="1" applyBorder="1" applyAlignment="1" applyProtection="1">
      <alignment horizontal="center"/>
    </xf>
    <xf numFmtId="0" fontId="19" fillId="2" borderId="0" xfId="5" applyFont="1" applyFill="1" applyBorder="1" applyAlignment="1" applyProtection="1">
      <alignment horizontal="left" vertical="center" wrapText="1"/>
    </xf>
  </cellXfs>
  <cellStyles count="10">
    <cellStyle name="Hyperlink" xfId="9" builtinId="8"/>
    <cellStyle name="Normal" xfId="0" builtinId="0"/>
    <cellStyle name="Normal 2" xfId="1" xr:uid="{00000000-0005-0000-0000-000002000000}"/>
    <cellStyle name="Normal 3" xfId="3" xr:uid="{00000000-0005-0000-0000-000003000000}"/>
    <cellStyle name="Normal 4" xfId="2" xr:uid="{00000000-0005-0000-0000-000004000000}"/>
    <cellStyle name="Normal 5" xfId="4" xr:uid="{00000000-0005-0000-0000-000005000000}"/>
    <cellStyle name="Normal 6" xfId="5" xr:uid="{00000000-0005-0000-0000-000006000000}"/>
    <cellStyle name="Normal 7" xfId="6" xr:uid="{00000000-0005-0000-0000-000007000000}"/>
    <cellStyle name="Normal_RBCbase1-NEW" xfId="8" xr:uid="{00000000-0005-0000-0000-000008000000}"/>
    <cellStyle name="Percent" xfId="7" builtinId="5"/>
  </cellStyles>
  <dxfs count="4">
    <dxf>
      <fill>
        <patternFill>
          <bgColor rgb="FFFFFF00"/>
        </patternFill>
      </fill>
    </dxf>
    <dxf>
      <fill>
        <patternFill>
          <bgColor rgb="FFFFC000"/>
        </patternFill>
      </fill>
    </dxf>
    <dxf>
      <fill>
        <patternFill>
          <bgColor rgb="FFFFFF00"/>
        </patternFill>
      </fill>
    </dxf>
    <dxf>
      <fill>
        <patternFill>
          <bgColor rgb="FFFFC000"/>
        </patternFill>
      </fill>
    </dxf>
  </dxfs>
  <tableStyles count="0" defaultTableStyle="TableStyleMedium9" defaultPivotStyle="PivotStyleLight16"/>
  <colors>
    <mruColors>
      <color rgb="FFFFFFCC"/>
      <color rgb="FFCCFFCC"/>
      <color rgb="FFFFFF99"/>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0.15342219181900518"/>
          <c:y val="7.1260498687664015E-2"/>
          <c:w val="0.68305729792250569"/>
          <c:h val="0.6864826031361464"/>
        </c:manualLayout>
      </c:layout>
      <c:scatterChart>
        <c:scatterStyle val="lineMarker"/>
        <c:varyColors val="0"/>
        <c:ser>
          <c:idx val="0"/>
          <c:order val="0"/>
          <c:tx>
            <c:v>Calculated</c:v>
          </c:tx>
          <c:spPr>
            <a:ln w="28575">
              <a:noFill/>
            </a:ln>
          </c:spPr>
          <c:marker>
            <c:symbol val="circle"/>
            <c:size val="3"/>
          </c:marker>
          <c:xVal>
            <c:numRef>
              <c:f>([0]!XValuesA,[0]!XValuesB,[0]!XValuesC)</c:f>
            </c:numRef>
          </c:xVal>
          <c:yVal>
            <c:numRef>
              <c:f>([0]!YValuesA,[0]!YValuesB,[0]!YValuesC)</c:f>
            </c:numRef>
          </c:yVal>
          <c:smooth val="0"/>
          <c:extLst>
            <c:ext xmlns:c16="http://schemas.microsoft.com/office/drawing/2014/chart" uri="{C3380CC4-5D6E-409C-BE32-E72D297353CC}">
              <c16:uniqueId val="{00000000-C8A0-45E4-B316-F661D1F18E77}"/>
            </c:ext>
          </c:extLst>
        </c:ser>
        <c:ser>
          <c:idx val="1"/>
          <c:order val="1"/>
          <c:tx>
            <c:v>Measured</c:v>
          </c:tx>
          <c:spPr>
            <a:ln w="28575">
              <a:noFill/>
            </a:ln>
          </c:spPr>
          <c:marker>
            <c:symbol val="square"/>
            <c:size val="3"/>
          </c:marker>
          <c:xVal>
            <c:numRef>
              <c:f>MEASURED_SOIL_GAS_CONC.!$B$5:$B$29</c:f>
              <c:numCache>
                <c:formatCode>General</c:formatCode>
                <c:ptCount val="25"/>
              </c:numCache>
            </c:numRef>
          </c:xVal>
          <c:yVal>
            <c:numRef>
              <c:f>MEASURED_SOIL_GAS_CONC.!$A$5:$A$29</c:f>
              <c:numCache>
                <c:formatCode>General</c:formatCode>
                <c:ptCount val="25"/>
              </c:numCache>
            </c:numRef>
          </c:yVal>
          <c:smooth val="0"/>
          <c:extLst>
            <c:ext xmlns:c16="http://schemas.microsoft.com/office/drawing/2014/chart" uri="{C3380CC4-5D6E-409C-BE32-E72D297353CC}">
              <c16:uniqueId val="{00000001-C8A0-45E4-B316-F661D1F18E77}"/>
            </c:ext>
          </c:extLst>
        </c:ser>
        <c:dLbls>
          <c:showLegendKey val="0"/>
          <c:showVal val="0"/>
          <c:showCatName val="0"/>
          <c:showSerName val="0"/>
          <c:showPercent val="0"/>
          <c:showBubbleSize val="0"/>
        </c:dLbls>
        <c:axId val="598377256"/>
        <c:axId val="598372160"/>
      </c:scatterChart>
      <c:valAx>
        <c:axId val="598377256"/>
        <c:scaling>
          <c:orientation val="minMax"/>
        </c:scaling>
        <c:delete val="0"/>
        <c:axPos val="b"/>
        <c:title>
          <c:tx>
            <c:rich>
              <a:bodyPr/>
              <a:lstStyle/>
              <a:p>
                <a:pPr>
                  <a:defRPr sz="1100" b="1"/>
                </a:pPr>
                <a:r>
                  <a:rPr lang="en-US" sz="1100" b="1"/>
                  <a:t>Soil</a:t>
                </a:r>
                <a:r>
                  <a:rPr lang="en-US" sz="1100" b="1" baseline="0"/>
                  <a:t> Gas Concentration (ug/m3)</a:t>
                </a:r>
                <a:endParaRPr lang="en-US" sz="1100" b="1"/>
              </a:p>
            </c:rich>
          </c:tx>
          <c:overlay val="0"/>
        </c:title>
        <c:numFmt formatCode="0.0E+00" sourceLinked="0"/>
        <c:majorTickMark val="out"/>
        <c:minorTickMark val="none"/>
        <c:tickLblPos val="nextTo"/>
        <c:crossAx val="598372160"/>
        <c:crosses val="max"/>
        <c:crossBetween val="midCat"/>
      </c:valAx>
      <c:valAx>
        <c:axId val="598372160"/>
        <c:scaling>
          <c:orientation val="maxMin"/>
        </c:scaling>
        <c:delete val="0"/>
        <c:axPos val="l"/>
        <c:majorGridlines/>
        <c:title>
          <c:tx>
            <c:rich>
              <a:bodyPr rot="-5400000" vert="horz"/>
              <a:lstStyle/>
              <a:p>
                <a:pPr>
                  <a:defRPr/>
                </a:pPr>
                <a:r>
                  <a:rPr lang="en-US"/>
                  <a:t>Depth (meter)</a:t>
                </a:r>
              </a:p>
            </c:rich>
          </c:tx>
          <c:overlay val="0"/>
        </c:title>
        <c:numFmt formatCode="#,##0.0" sourceLinked="0"/>
        <c:majorTickMark val="out"/>
        <c:minorTickMark val="none"/>
        <c:tickLblPos val="nextTo"/>
        <c:crossAx val="598377256"/>
        <c:crosses val="autoZero"/>
        <c:crossBetween val="midCat"/>
      </c:valAx>
      <c:spPr>
        <a:ln>
          <a:solidFill>
            <a:schemeClr val="tx1"/>
          </a:solidFill>
        </a:ln>
      </c:spPr>
    </c:plotArea>
    <c:legend>
      <c:legendPos val="r"/>
      <c:layout>
        <c:manualLayout>
          <c:xMode val="edge"/>
          <c:yMode val="edge"/>
          <c:x val="0.83178055073624257"/>
          <c:y val="0.42272259236826204"/>
          <c:w val="0.16821944926375729"/>
          <c:h val="0.1545548152634767"/>
        </c:manualLayout>
      </c:layout>
      <c:overlay val="0"/>
    </c:legend>
    <c:plotVisOnly val="1"/>
    <c:dispBlanksAs val="gap"/>
    <c:showDLblsOverMax val="0"/>
  </c:chart>
  <c:printSettings>
    <c:headerFooter/>
    <c:pageMargins b="0.75000000000000877" l="0.70000000000000062" r="0.70000000000000062" t="0.75000000000000877"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28575">
              <a:noFill/>
            </a:ln>
          </c:spPr>
          <c:xVal>
            <c:numRef>
              <c:f>MODEL!$BE$223:$BE$225</c:f>
            </c:numRef>
          </c:xVal>
          <c:yVal>
            <c:numRef>
              <c:f>MODEL!$BF$223:$BF$225</c:f>
            </c:numRef>
          </c:yVal>
          <c:smooth val="0"/>
          <c:extLst>
            <c:ext xmlns:c16="http://schemas.microsoft.com/office/drawing/2014/chart" uri="{C3380CC4-5D6E-409C-BE32-E72D297353CC}">
              <c16:uniqueId val="{00000000-00C5-4469-BF13-E2C097C1606F}"/>
            </c:ext>
          </c:extLst>
        </c:ser>
        <c:ser>
          <c:idx val="1"/>
          <c:order val="1"/>
          <c:spPr>
            <a:ln w="28575">
              <a:noFill/>
            </a:ln>
          </c:spPr>
          <c:xVal>
            <c:numRef>
              <c:f>MODEL!$BC$223:$BC$225</c:f>
            </c:numRef>
          </c:xVal>
          <c:yVal>
            <c:numRef>
              <c:f>MODEL!$BD$223:$BD$225</c:f>
            </c:numRef>
          </c:yVal>
          <c:smooth val="0"/>
          <c:extLst>
            <c:ext xmlns:c16="http://schemas.microsoft.com/office/drawing/2014/chart" uri="{C3380CC4-5D6E-409C-BE32-E72D297353CC}">
              <c16:uniqueId val="{00000001-00C5-4469-BF13-E2C097C1606F}"/>
            </c:ext>
          </c:extLst>
        </c:ser>
        <c:ser>
          <c:idx val="2"/>
          <c:order val="2"/>
          <c:spPr>
            <a:ln w="28575">
              <a:noFill/>
            </a:ln>
          </c:spPr>
          <c:xVal>
            <c:numRef>
              <c:f>MODEL!$BA$223:$BA$225</c:f>
            </c:numRef>
          </c:xVal>
          <c:yVal>
            <c:numRef>
              <c:f>MODEL!$BB$223:$BB$225</c:f>
            </c:numRef>
          </c:yVal>
          <c:smooth val="0"/>
          <c:extLst>
            <c:ext xmlns:c16="http://schemas.microsoft.com/office/drawing/2014/chart" uri="{C3380CC4-5D6E-409C-BE32-E72D297353CC}">
              <c16:uniqueId val="{00000002-00C5-4469-BF13-E2C097C1606F}"/>
            </c:ext>
          </c:extLst>
        </c:ser>
        <c:dLbls>
          <c:showLegendKey val="0"/>
          <c:showVal val="0"/>
          <c:showCatName val="0"/>
          <c:showSerName val="0"/>
          <c:showPercent val="0"/>
          <c:showBubbleSize val="0"/>
        </c:dLbls>
        <c:axId val="598370984"/>
        <c:axId val="598370592"/>
      </c:scatterChart>
      <c:valAx>
        <c:axId val="598370984"/>
        <c:scaling>
          <c:orientation val="minMax"/>
        </c:scaling>
        <c:delete val="0"/>
        <c:axPos val="b"/>
        <c:numFmt formatCode="0.0" sourceLinked="1"/>
        <c:majorTickMark val="out"/>
        <c:minorTickMark val="none"/>
        <c:tickLblPos val="nextTo"/>
        <c:crossAx val="598370592"/>
        <c:crosses val="autoZero"/>
        <c:crossBetween val="midCat"/>
      </c:valAx>
      <c:valAx>
        <c:axId val="598370592"/>
        <c:scaling>
          <c:orientation val="minMax"/>
        </c:scaling>
        <c:delete val="0"/>
        <c:axPos val="l"/>
        <c:majorGridlines/>
        <c:numFmt formatCode="0.00E+00" sourceLinked="1"/>
        <c:majorTickMark val="out"/>
        <c:minorTickMark val="none"/>
        <c:tickLblPos val="nextTo"/>
        <c:crossAx val="598370984"/>
        <c:crosses val="autoZero"/>
        <c:crossBetween val="midCat"/>
      </c:valAx>
    </c:plotArea>
    <c:legend>
      <c:legendPos val="r"/>
      <c:overlay val="0"/>
    </c:legend>
    <c:plotVisOnly val="1"/>
    <c:dispBlanksAs val="gap"/>
    <c:showDLblsOverMax val="0"/>
  </c:chart>
  <c:printSettings>
    <c:headerFooter/>
    <c:pageMargins b="0.75000000000000488" l="0.70000000000000062" r="0.70000000000000062" t="0.75000000000000488"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5342219181900518"/>
          <c:y val="7.1260498687664015E-2"/>
          <c:w val="0.68305729792250569"/>
          <c:h val="0.6864826031361464"/>
        </c:manualLayout>
      </c:layout>
      <c:scatterChart>
        <c:scatterStyle val="lineMarker"/>
        <c:varyColors val="0"/>
        <c:ser>
          <c:idx val="0"/>
          <c:order val="0"/>
          <c:tx>
            <c:v>Calculated</c:v>
          </c:tx>
          <c:spPr>
            <a:ln w="28575">
              <a:noFill/>
            </a:ln>
          </c:spPr>
          <c:marker>
            <c:symbol val="circle"/>
            <c:size val="3"/>
          </c:marker>
          <c:xVal>
            <c:numRef>
              <c:f>(MODEL!$BB$223:$BB$231,MODEL!$BD$223,MODEL!$BF$223)</c:f>
            </c:numRef>
          </c:xVal>
          <c:yVal>
            <c:numRef>
              <c:f>(MODEL!$BA$223:$BA$231,MODEL!$BC$223,MODEL!$BE$223)</c:f>
            </c:numRef>
          </c:yVal>
          <c:smooth val="0"/>
          <c:extLst>
            <c:ext xmlns:c16="http://schemas.microsoft.com/office/drawing/2014/chart" uri="{C3380CC4-5D6E-409C-BE32-E72D297353CC}">
              <c16:uniqueId val="{00000000-8764-4195-96B8-735397FA0133}"/>
            </c:ext>
          </c:extLst>
        </c:ser>
        <c:ser>
          <c:idx val="1"/>
          <c:order val="1"/>
          <c:tx>
            <c:v>Measured</c:v>
          </c:tx>
          <c:spPr>
            <a:ln w="28575">
              <a:noFill/>
            </a:ln>
          </c:spPr>
          <c:marker>
            <c:symbol val="square"/>
            <c:size val="3"/>
          </c:marker>
          <c:xVal>
            <c:numRef>
              <c:f>MEASURED_SOIL_GAS_CONC.!$B$5:$B$29</c:f>
              <c:numCache>
                <c:formatCode>General</c:formatCode>
                <c:ptCount val="25"/>
              </c:numCache>
            </c:numRef>
          </c:xVal>
          <c:yVal>
            <c:numRef>
              <c:f>MEASURED_SOIL_GAS_CONC.!$A$5:$A$29</c:f>
              <c:numCache>
                <c:formatCode>General</c:formatCode>
                <c:ptCount val="25"/>
              </c:numCache>
            </c:numRef>
          </c:yVal>
          <c:smooth val="0"/>
          <c:extLst>
            <c:ext xmlns:c16="http://schemas.microsoft.com/office/drawing/2014/chart" uri="{C3380CC4-5D6E-409C-BE32-E72D297353CC}">
              <c16:uniqueId val="{00000001-8764-4195-96B8-735397FA0133}"/>
            </c:ext>
          </c:extLst>
        </c:ser>
        <c:dLbls>
          <c:showLegendKey val="0"/>
          <c:showVal val="0"/>
          <c:showCatName val="0"/>
          <c:showSerName val="0"/>
          <c:showPercent val="0"/>
          <c:showBubbleSize val="0"/>
        </c:dLbls>
        <c:axId val="598369808"/>
        <c:axId val="598378432"/>
      </c:scatterChart>
      <c:valAx>
        <c:axId val="598369808"/>
        <c:scaling>
          <c:orientation val="minMax"/>
        </c:scaling>
        <c:delete val="0"/>
        <c:axPos val="b"/>
        <c:title>
          <c:tx>
            <c:rich>
              <a:bodyPr/>
              <a:lstStyle/>
              <a:p>
                <a:pPr>
                  <a:defRPr sz="1100" b="1"/>
                </a:pPr>
                <a:r>
                  <a:rPr lang="en-US" sz="1100" b="1"/>
                  <a:t>Soil</a:t>
                </a:r>
                <a:r>
                  <a:rPr lang="en-US" sz="1100" b="1" baseline="0"/>
                  <a:t> Gas Concentration (ug/m3)</a:t>
                </a:r>
                <a:endParaRPr lang="en-US" sz="1100" b="1"/>
              </a:p>
            </c:rich>
          </c:tx>
          <c:overlay val="0"/>
        </c:title>
        <c:numFmt formatCode="0.0E+00" sourceLinked="0"/>
        <c:majorTickMark val="out"/>
        <c:minorTickMark val="none"/>
        <c:tickLblPos val="nextTo"/>
        <c:crossAx val="598378432"/>
        <c:crosses val="max"/>
        <c:crossBetween val="midCat"/>
      </c:valAx>
      <c:valAx>
        <c:axId val="598378432"/>
        <c:scaling>
          <c:orientation val="maxMin"/>
        </c:scaling>
        <c:delete val="0"/>
        <c:axPos val="l"/>
        <c:majorGridlines/>
        <c:title>
          <c:tx>
            <c:rich>
              <a:bodyPr rot="-5400000" vert="horz"/>
              <a:lstStyle/>
              <a:p>
                <a:pPr>
                  <a:defRPr/>
                </a:pPr>
                <a:r>
                  <a:rPr lang="en-US"/>
                  <a:t>Depth (meter)</a:t>
                </a:r>
              </a:p>
            </c:rich>
          </c:tx>
          <c:overlay val="0"/>
        </c:title>
        <c:numFmt formatCode="#,##0.0" sourceLinked="0"/>
        <c:majorTickMark val="out"/>
        <c:minorTickMark val="none"/>
        <c:tickLblPos val="nextTo"/>
        <c:crossAx val="598369808"/>
        <c:crosses val="autoZero"/>
        <c:crossBetween val="midCat"/>
      </c:valAx>
      <c:spPr>
        <a:ln>
          <a:solidFill>
            <a:schemeClr val="tx1"/>
          </a:solidFill>
        </a:ln>
      </c:spPr>
    </c:plotArea>
    <c:legend>
      <c:legendPos val="r"/>
      <c:layout>
        <c:manualLayout>
          <c:xMode val="edge"/>
          <c:yMode val="edge"/>
          <c:x val="0.83178055073624257"/>
          <c:y val="0.42272259236826204"/>
          <c:w val="0.16821944926375729"/>
          <c:h val="0.1545548152634767"/>
        </c:manualLayout>
      </c:layout>
      <c:overlay val="0"/>
    </c:legend>
    <c:plotVisOnly val="1"/>
    <c:dispBlanksAs val="gap"/>
    <c:showDLblsOverMax val="0"/>
  </c:chart>
  <c:printSettings>
    <c:headerFooter/>
    <c:pageMargins b="0.75000000000000877" l="0.70000000000000062" r="0.70000000000000062" t="0.75000000000000877"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5342219181900518"/>
          <c:y val="7.1260498687664015E-2"/>
          <c:w val="0.68305729792250569"/>
          <c:h val="0.6864826031361464"/>
        </c:manualLayout>
      </c:layout>
      <c:scatterChart>
        <c:scatterStyle val="lineMarker"/>
        <c:varyColors val="0"/>
        <c:ser>
          <c:idx val="0"/>
          <c:order val="0"/>
          <c:tx>
            <c:v>Calculated</c:v>
          </c:tx>
          <c:spPr>
            <a:ln w="28575">
              <a:noFill/>
            </a:ln>
          </c:spPr>
          <c:marker>
            <c:symbol val="circle"/>
            <c:size val="3"/>
          </c:marker>
          <c:xVal>
            <c:numRef>
              <c:f>(MODEL!$BB$223:$BB$231,MODEL!$BD$223,MODEL!$BF$223)</c:f>
            </c:numRef>
          </c:xVal>
          <c:yVal>
            <c:numRef>
              <c:f>(MODEL!$BA$223:$BA$231,MODEL!$BC$223,MODEL!$BE$223)</c:f>
            </c:numRef>
          </c:yVal>
          <c:smooth val="0"/>
          <c:extLst>
            <c:ext xmlns:c16="http://schemas.microsoft.com/office/drawing/2014/chart" uri="{C3380CC4-5D6E-409C-BE32-E72D297353CC}">
              <c16:uniqueId val="{00000000-A231-44E2-88CD-479DFBA5AC2B}"/>
            </c:ext>
          </c:extLst>
        </c:ser>
        <c:ser>
          <c:idx val="1"/>
          <c:order val="1"/>
          <c:tx>
            <c:v>Measured</c:v>
          </c:tx>
          <c:spPr>
            <a:ln w="28575">
              <a:noFill/>
            </a:ln>
          </c:spPr>
          <c:marker>
            <c:symbol val="square"/>
            <c:size val="3"/>
          </c:marker>
          <c:xVal>
            <c:numRef>
              <c:f>MEASURED_SOIL_GAS_CONC.!$B$5:$B$29</c:f>
              <c:numCache>
                <c:formatCode>General</c:formatCode>
                <c:ptCount val="25"/>
              </c:numCache>
            </c:numRef>
          </c:xVal>
          <c:yVal>
            <c:numRef>
              <c:f>MEASURED_SOIL_GAS_CONC.!$A$5:$A$29</c:f>
              <c:numCache>
                <c:formatCode>General</c:formatCode>
                <c:ptCount val="25"/>
              </c:numCache>
            </c:numRef>
          </c:yVal>
          <c:smooth val="0"/>
          <c:extLst>
            <c:ext xmlns:c16="http://schemas.microsoft.com/office/drawing/2014/chart" uri="{C3380CC4-5D6E-409C-BE32-E72D297353CC}">
              <c16:uniqueId val="{00000001-A231-44E2-88CD-479DFBA5AC2B}"/>
            </c:ext>
          </c:extLst>
        </c:ser>
        <c:dLbls>
          <c:showLegendKey val="0"/>
          <c:showVal val="0"/>
          <c:showCatName val="0"/>
          <c:showSerName val="0"/>
          <c:showPercent val="0"/>
          <c:showBubbleSize val="0"/>
        </c:dLbls>
        <c:axId val="598379216"/>
        <c:axId val="598379608"/>
      </c:scatterChart>
      <c:valAx>
        <c:axId val="598379216"/>
        <c:scaling>
          <c:orientation val="minMax"/>
        </c:scaling>
        <c:delete val="0"/>
        <c:axPos val="b"/>
        <c:title>
          <c:tx>
            <c:rich>
              <a:bodyPr/>
              <a:lstStyle/>
              <a:p>
                <a:pPr>
                  <a:defRPr sz="1100" b="1"/>
                </a:pPr>
                <a:r>
                  <a:rPr lang="en-US" sz="1100" b="1"/>
                  <a:t>Soil</a:t>
                </a:r>
                <a:r>
                  <a:rPr lang="en-US" sz="1100" b="1" baseline="0"/>
                  <a:t> Gas Concentration (ug/m3)</a:t>
                </a:r>
                <a:endParaRPr lang="en-US" sz="1100" b="1"/>
              </a:p>
            </c:rich>
          </c:tx>
          <c:overlay val="0"/>
        </c:title>
        <c:numFmt formatCode="0.0E+00" sourceLinked="0"/>
        <c:majorTickMark val="out"/>
        <c:minorTickMark val="none"/>
        <c:tickLblPos val="nextTo"/>
        <c:crossAx val="598379608"/>
        <c:crosses val="max"/>
        <c:crossBetween val="midCat"/>
      </c:valAx>
      <c:valAx>
        <c:axId val="598379608"/>
        <c:scaling>
          <c:orientation val="maxMin"/>
        </c:scaling>
        <c:delete val="0"/>
        <c:axPos val="l"/>
        <c:majorGridlines/>
        <c:title>
          <c:tx>
            <c:rich>
              <a:bodyPr rot="-5400000" vert="horz"/>
              <a:lstStyle/>
              <a:p>
                <a:pPr>
                  <a:defRPr/>
                </a:pPr>
                <a:r>
                  <a:rPr lang="en-US"/>
                  <a:t>Depth (meter)</a:t>
                </a:r>
              </a:p>
            </c:rich>
          </c:tx>
          <c:overlay val="0"/>
        </c:title>
        <c:numFmt formatCode="#,##0.0" sourceLinked="0"/>
        <c:majorTickMark val="out"/>
        <c:minorTickMark val="none"/>
        <c:tickLblPos val="nextTo"/>
        <c:crossAx val="598379216"/>
        <c:crosses val="autoZero"/>
        <c:crossBetween val="midCat"/>
      </c:valAx>
      <c:spPr>
        <a:ln>
          <a:solidFill>
            <a:schemeClr val="tx1"/>
          </a:solidFill>
        </a:ln>
      </c:spPr>
    </c:plotArea>
    <c:legend>
      <c:legendPos val="r"/>
      <c:layout>
        <c:manualLayout>
          <c:xMode val="edge"/>
          <c:yMode val="edge"/>
          <c:x val="0.83178055073624257"/>
          <c:y val="0.42272259236826204"/>
          <c:w val="0.16821944926375729"/>
          <c:h val="0.1545548152634767"/>
        </c:manualLayout>
      </c:layout>
      <c:overlay val="0"/>
    </c:legend>
    <c:plotVisOnly val="1"/>
    <c:dispBlanksAs val="gap"/>
    <c:showDLblsOverMax val="0"/>
  </c:chart>
  <c:printSettings>
    <c:headerFooter/>
    <c:pageMargins b="0.75000000000000877" l="0.70000000000000062" r="0.70000000000000062" t="0.75000000000000877" header="0.30000000000000032" footer="0.30000000000000032"/>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GBox" noThreeD="1"/>
</file>

<file path=xl/ctrlProps/ctrlProp11.xml><?xml version="1.0" encoding="utf-8"?>
<formControlPr xmlns="http://schemas.microsoft.com/office/spreadsheetml/2009/9/main" objectType="Radio" checked="Checked" firstButton="1" fmlaLink="$G$31" lockText="1" noThreeD="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xdr:from>
      <xdr:col>4</xdr:col>
      <xdr:colOff>504825</xdr:colOff>
      <xdr:row>115</xdr:row>
      <xdr:rowOff>28575</xdr:rowOff>
    </xdr:from>
    <xdr:to>
      <xdr:col>10</xdr:col>
      <xdr:colOff>0</xdr:colOff>
      <xdr:row>132</xdr:row>
      <xdr:rowOff>142875</xdr:rowOff>
    </xdr:to>
    <xdr:graphicFrame macro="">
      <xdr:nvGraphicFramePr>
        <xdr:cNvPr id="12" name="Chart 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57</xdr:col>
      <xdr:colOff>1338943</xdr:colOff>
      <xdr:row>226</xdr:row>
      <xdr:rowOff>57150</xdr:rowOff>
    </xdr:from>
    <xdr:to>
      <xdr:col>66</xdr:col>
      <xdr:colOff>794657</xdr:colOff>
      <xdr:row>242</xdr:row>
      <xdr:rowOff>57150</xdr:rowOff>
    </xdr:to>
    <xdr:graphicFrame macro="">
      <xdr:nvGraphicFramePr>
        <xdr:cNvPr id="5" name="Chart 4">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30</xdr:col>
      <xdr:colOff>504825</xdr:colOff>
      <xdr:row>115</xdr:row>
      <xdr:rowOff>28575</xdr:rowOff>
    </xdr:from>
    <xdr:to>
      <xdr:col>35</xdr:col>
      <xdr:colOff>23812</xdr:colOff>
      <xdr:row>132</xdr:row>
      <xdr:rowOff>142875</xdr:rowOff>
    </xdr:to>
    <xdr:graphicFrame macro="">
      <xdr:nvGraphicFramePr>
        <xdr:cNvPr id="15" name="Chart 1">
          <a:extLst>
            <a:ext uri="{FF2B5EF4-FFF2-40B4-BE49-F238E27FC236}">
              <a16:creationId xmlns:a16="http://schemas.microsoft.com/office/drawing/2014/main" id="{00000000-0008-0000-0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xdr:from>
          <xdr:col>7</xdr:col>
          <xdr:colOff>485775</xdr:colOff>
          <xdr:row>5</xdr:row>
          <xdr:rowOff>0</xdr:rowOff>
        </xdr:from>
        <xdr:to>
          <xdr:col>10</xdr:col>
          <xdr:colOff>571500</xdr:colOff>
          <xdr:row>6</xdr:row>
          <xdr:rowOff>38100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800000"/>
                  </a:solidFill>
                  <a:latin typeface="Arial Black"/>
                </a:rPr>
                <a:t>RESET TO DEFAULTS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2028825</xdr:colOff>
          <xdr:row>76</xdr:row>
          <xdr:rowOff>66675</xdr:rowOff>
        </xdr:from>
        <xdr:to>
          <xdr:col>2</xdr:col>
          <xdr:colOff>2219325</xdr:colOff>
          <xdr:row>77</xdr:row>
          <xdr:rowOff>19050</xdr:rowOff>
        </xdr:to>
        <xdr:sp macro="" textlink="">
          <xdr:nvSpPr>
            <xdr:cNvPr id="3078" name="Button 6" hidden="1">
              <a:extLst>
                <a:ext uri="{63B3BB69-23CF-44E3-9099-C40C66FF867C}">
                  <a14:compatExt spid="_x0000_s3078"/>
                </a:ext>
                <a:ext uri="{FF2B5EF4-FFF2-40B4-BE49-F238E27FC236}">
                  <a16:creationId xmlns:a16="http://schemas.microsoft.com/office/drawing/2014/main" id="{00000000-0008-0000-0100-0000060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200" b="0" i="0" u="none" strike="noStrike" baseline="0">
                  <a:solidFill>
                    <a:srgbClr val="800000"/>
                  </a:solidFill>
                  <a:latin typeface="Arial Black"/>
                </a:rPr>
                <a:t>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1905000</xdr:colOff>
          <xdr:row>22</xdr:row>
          <xdr:rowOff>38100</xdr:rowOff>
        </xdr:from>
        <xdr:to>
          <xdr:col>2</xdr:col>
          <xdr:colOff>2095500</xdr:colOff>
          <xdr:row>23</xdr:row>
          <xdr:rowOff>9525</xdr:rowOff>
        </xdr:to>
        <xdr:sp macro="" textlink="">
          <xdr:nvSpPr>
            <xdr:cNvPr id="3080" name="Button 8" hidden="1">
              <a:extLst>
                <a:ext uri="{63B3BB69-23CF-44E3-9099-C40C66FF867C}">
                  <a14:compatExt spid="_x0000_s3080"/>
                </a:ext>
                <a:ext uri="{FF2B5EF4-FFF2-40B4-BE49-F238E27FC236}">
                  <a16:creationId xmlns:a16="http://schemas.microsoft.com/office/drawing/2014/main" id="{00000000-0008-0000-0100-0000080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200" b="0" i="0" u="none" strike="noStrike" baseline="0">
                  <a:solidFill>
                    <a:srgbClr val="800000"/>
                  </a:solidFill>
                  <a:latin typeface="Arial Black"/>
                </a:rPr>
                <a:t>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1800225</xdr:colOff>
          <xdr:row>26</xdr:row>
          <xdr:rowOff>66675</xdr:rowOff>
        </xdr:from>
        <xdr:to>
          <xdr:col>2</xdr:col>
          <xdr:colOff>2047875</xdr:colOff>
          <xdr:row>26</xdr:row>
          <xdr:rowOff>285750</xdr:rowOff>
        </xdr:to>
        <xdr:sp macro="" textlink="">
          <xdr:nvSpPr>
            <xdr:cNvPr id="3082" name="Button 10" hidden="1">
              <a:extLst>
                <a:ext uri="{63B3BB69-23CF-44E3-9099-C40C66FF867C}">
                  <a14:compatExt spid="_x0000_s3082"/>
                </a:ext>
                <a:ext uri="{FF2B5EF4-FFF2-40B4-BE49-F238E27FC236}">
                  <a16:creationId xmlns:a16="http://schemas.microsoft.com/office/drawing/2014/main" id="{00000000-0008-0000-0100-00000A0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200" b="0" i="0" u="none" strike="noStrike" baseline="0">
                  <a:solidFill>
                    <a:srgbClr val="800000"/>
                  </a:solidFill>
                  <a:latin typeface="Arial Black"/>
                </a:rPr>
                <a:t>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800100</xdr:colOff>
          <xdr:row>15</xdr:row>
          <xdr:rowOff>38100</xdr:rowOff>
        </xdr:from>
        <xdr:to>
          <xdr:col>2</xdr:col>
          <xdr:colOff>990600</xdr:colOff>
          <xdr:row>16</xdr:row>
          <xdr:rowOff>9525</xdr:rowOff>
        </xdr:to>
        <xdr:sp macro="" textlink="">
          <xdr:nvSpPr>
            <xdr:cNvPr id="3083" name="Button 11" hidden="1">
              <a:extLst>
                <a:ext uri="{63B3BB69-23CF-44E3-9099-C40C66FF867C}">
                  <a14:compatExt spid="_x0000_s3083"/>
                </a:ext>
                <a:ext uri="{FF2B5EF4-FFF2-40B4-BE49-F238E27FC236}">
                  <a16:creationId xmlns:a16="http://schemas.microsoft.com/office/drawing/2014/main" id="{00000000-0008-0000-0100-00000B0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200" b="0" i="0" u="none" strike="noStrike" baseline="0">
                  <a:solidFill>
                    <a:srgbClr val="800000"/>
                  </a:solidFill>
                  <a:latin typeface="Arial Black"/>
                </a:rPr>
                <a:t>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2286000</xdr:colOff>
          <xdr:row>53</xdr:row>
          <xdr:rowOff>9525</xdr:rowOff>
        </xdr:from>
        <xdr:to>
          <xdr:col>2</xdr:col>
          <xdr:colOff>2476500</xdr:colOff>
          <xdr:row>54</xdr:row>
          <xdr:rowOff>9525</xdr:rowOff>
        </xdr:to>
        <xdr:sp macro="" textlink="">
          <xdr:nvSpPr>
            <xdr:cNvPr id="3085" name="Button 13" hidden="1">
              <a:extLst>
                <a:ext uri="{63B3BB69-23CF-44E3-9099-C40C66FF867C}">
                  <a14:compatExt spid="_x0000_s3085"/>
                </a:ext>
                <a:ext uri="{FF2B5EF4-FFF2-40B4-BE49-F238E27FC236}">
                  <a16:creationId xmlns:a16="http://schemas.microsoft.com/office/drawing/2014/main" id="{00000000-0008-0000-0100-00000D0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200" b="0" i="0" u="none" strike="noStrike" baseline="0">
                  <a:solidFill>
                    <a:srgbClr val="800000"/>
                  </a:solidFill>
                  <a:latin typeface="Arial Black"/>
                </a:rPr>
                <a:t>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22</xdr:row>
          <xdr:rowOff>38100</xdr:rowOff>
        </xdr:from>
        <xdr:to>
          <xdr:col>26</xdr:col>
          <xdr:colOff>0</xdr:colOff>
          <xdr:row>23</xdr:row>
          <xdr:rowOff>9525</xdr:rowOff>
        </xdr:to>
        <xdr:sp macro="" textlink="">
          <xdr:nvSpPr>
            <xdr:cNvPr id="3136" name="Button 64" hidden="1">
              <a:extLst>
                <a:ext uri="{63B3BB69-23CF-44E3-9099-C40C66FF867C}">
                  <a14:compatExt spid="_x0000_s3136"/>
                </a:ext>
                <a:ext uri="{FF2B5EF4-FFF2-40B4-BE49-F238E27FC236}">
                  <a16:creationId xmlns:a16="http://schemas.microsoft.com/office/drawing/2014/main" id="{00000000-0008-0000-0100-0000400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200" b="0" i="0" u="none" strike="noStrike" baseline="0">
                  <a:solidFill>
                    <a:srgbClr val="800000"/>
                  </a:solidFill>
                  <a:latin typeface="Arial Black"/>
                </a:rPr>
                <a:t>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15</xdr:row>
          <xdr:rowOff>38100</xdr:rowOff>
        </xdr:from>
        <xdr:to>
          <xdr:col>26</xdr:col>
          <xdr:colOff>0</xdr:colOff>
          <xdr:row>16</xdr:row>
          <xdr:rowOff>9525</xdr:rowOff>
        </xdr:to>
        <xdr:sp macro="" textlink="">
          <xdr:nvSpPr>
            <xdr:cNvPr id="3137" name="Button 65" hidden="1">
              <a:extLst>
                <a:ext uri="{63B3BB69-23CF-44E3-9099-C40C66FF867C}">
                  <a14:compatExt spid="_x0000_s3137"/>
                </a:ext>
                <a:ext uri="{FF2B5EF4-FFF2-40B4-BE49-F238E27FC236}">
                  <a16:creationId xmlns:a16="http://schemas.microsoft.com/office/drawing/2014/main" id="{00000000-0008-0000-0100-0000410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200" b="0" i="0" u="none" strike="noStrike" baseline="0">
                  <a:solidFill>
                    <a:srgbClr val="800000"/>
                  </a:solidFill>
                  <a:latin typeface="Arial Black"/>
                </a:rPr>
                <a:t>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504825</xdr:colOff>
          <xdr:row>7</xdr:row>
          <xdr:rowOff>219075</xdr:rowOff>
        </xdr:from>
        <xdr:to>
          <xdr:col>9</xdr:col>
          <xdr:colOff>333375</xdr:colOff>
          <xdr:row>7</xdr:row>
          <xdr:rowOff>542925</xdr:rowOff>
        </xdr:to>
        <xdr:sp macro="" textlink="">
          <xdr:nvSpPr>
            <xdr:cNvPr id="3138" name="CommandButton1" hidden="1">
              <a:extLst>
                <a:ext uri="{63B3BB69-23CF-44E3-9099-C40C66FF867C}">
                  <a14:compatExt spid="_x0000_s3138"/>
                </a:ext>
                <a:ext uri="{FF2B5EF4-FFF2-40B4-BE49-F238E27FC236}">
                  <a16:creationId xmlns:a16="http://schemas.microsoft.com/office/drawing/2014/main" id="{00000000-0008-0000-0100-00004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28</xdr:col>
          <xdr:colOff>2028825</xdr:colOff>
          <xdr:row>76</xdr:row>
          <xdr:rowOff>66675</xdr:rowOff>
        </xdr:from>
        <xdr:to>
          <xdr:col>28</xdr:col>
          <xdr:colOff>2219325</xdr:colOff>
          <xdr:row>77</xdr:row>
          <xdr:rowOff>19050</xdr:rowOff>
        </xdr:to>
        <xdr:sp macro="" textlink="">
          <xdr:nvSpPr>
            <xdr:cNvPr id="3146" name="Button 74" hidden="1">
              <a:extLst>
                <a:ext uri="{63B3BB69-23CF-44E3-9099-C40C66FF867C}">
                  <a14:compatExt spid="_x0000_s3146"/>
                </a:ext>
                <a:ext uri="{FF2B5EF4-FFF2-40B4-BE49-F238E27FC236}">
                  <a16:creationId xmlns:a16="http://schemas.microsoft.com/office/drawing/2014/main" id="{00000000-0008-0000-0100-00004A0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200" b="0" i="0" u="none" strike="noStrike" baseline="0">
                  <a:solidFill>
                    <a:srgbClr val="800000"/>
                  </a:solidFill>
                  <a:latin typeface="Arial Black"/>
                </a:rPr>
                <a:t>R</a:t>
              </a:r>
            </a:p>
          </xdr:txBody>
        </xdr:sp>
        <xdr:clientData fPrintsWithSheet="0"/>
      </xdr:twoCellAnchor>
    </mc:Choice>
    <mc:Fallback/>
  </mc:AlternateContent>
  <xdr:twoCellAnchor>
    <xdr:from>
      <xdr:col>30</xdr:col>
      <xdr:colOff>504825</xdr:colOff>
      <xdr:row>115</xdr:row>
      <xdr:rowOff>28575</xdr:rowOff>
    </xdr:from>
    <xdr:to>
      <xdr:col>35</xdr:col>
      <xdr:colOff>23812</xdr:colOff>
      <xdr:row>132</xdr:row>
      <xdr:rowOff>142875</xdr:rowOff>
    </xdr:to>
    <xdr:graphicFrame macro="">
      <xdr:nvGraphicFramePr>
        <xdr:cNvPr id="22" name="Chart 1">
          <a:extLst>
            <a:ext uri="{FF2B5EF4-FFF2-40B4-BE49-F238E27FC236}">
              <a16:creationId xmlns:a16="http://schemas.microsoft.com/office/drawing/2014/main" id="{00000000-0008-0000-0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66675</xdr:colOff>
          <xdr:row>30</xdr:row>
          <xdr:rowOff>66675</xdr:rowOff>
        </xdr:from>
        <xdr:to>
          <xdr:col>5</xdr:col>
          <xdr:colOff>285750</xdr:colOff>
          <xdr:row>33</xdr:row>
          <xdr:rowOff>57150</xdr:rowOff>
        </xdr:to>
        <xdr:sp macro="" textlink="">
          <xdr:nvSpPr>
            <xdr:cNvPr id="3282" name="Group Box 210" hidden="1">
              <a:extLst>
                <a:ext uri="{63B3BB69-23CF-44E3-9099-C40C66FF867C}">
                  <a14:compatExt spid="_x0000_s3282"/>
                </a:ext>
                <a:ext uri="{FF2B5EF4-FFF2-40B4-BE49-F238E27FC236}">
                  <a16:creationId xmlns:a16="http://schemas.microsoft.com/office/drawing/2014/main" id="{00000000-0008-0000-0100-0000D2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Select Building Assumptions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30</xdr:row>
          <xdr:rowOff>209550</xdr:rowOff>
        </xdr:from>
        <xdr:to>
          <xdr:col>4</xdr:col>
          <xdr:colOff>114300</xdr:colOff>
          <xdr:row>31</xdr:row>
          <xdr:rowOff>219075</xdr:rowOff>
        </xdr:to>
        <xdr:sp macro="" textlink="">
          <xdr:nvSpPr>
            <xdr:cNvPr id="3283" name="Option Button 211" hidden="1">
              <a:extLst>
                <a:ext uri="{63B3BB69-23CF-44E3-9099-C40C66FF867C}">
                  <a14:compatExt spid="_x0000_s3283"/>
                </a:ext>
                <a:ext uri="{FF2B5EF4-FFF2-40B4-BE49-F238E27FC236}">
                  <a16:creationId xmlns:a16="http://schemas.microsoft.com/office/drawing/2014/main" id="{00000000-0008-0000-0100-0000D3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ratio for Qsoil/Qbuilding (recommended if no site specific data available)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31</xdr:row>
          <xdr:rowOff>209550</xdr:rowOff>
        </xdr:from>
        <xdr:to>
          <xdr:col>3</xdr:col>
          <xdr:colOff>981075</xdr:colOff>
          <xdr:row>32</xdr:row>
          <xdr:rowOff>200025</xdr:rowOff>
        </xdr:to>
        <xdr:sp macro="" textlink="">
          <xdr:nvSpPr>
            <xdr:cNvPr id="3284" name="Option Button 212" hidden="1">
              <a:extLst>
                <a:ext uri="{63B3BB69-23CF-44E3-9099-C40C66FF867C}">
                  <a14:compatExt spid="_x0000_s3284"/>
                </a:ext>
                <a:ext uri="{FF2B5EF4-FFF2-40B4-BE49-F238E27FC236}">
                  <a16:creationId xmlns:a16="http://schemas.microsoft.com/office/drawing/2014/main" id="{00000000-0008-0000-0100-0000D4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Specify Qsoil and Qbuilding separately; calculate ratio</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57150</xdr:colOff>
          <xdr:row>32</xdr:row>
          <xdr:rowOff>19050</xdr:rowOff>
        </xdr:from>
        <xdr:to>
          <xdr:col>5</xdr:col>
          <xdr:colOff>238125</xdr:colOff>
          <xdr:row>33</xdr:row>
          <xdr:rowOff>38100</xdr:rowOff>
        </xdr:to>
        <xdr:sp macro="" textlink="">
          <xdr:nvSpPr>
            <xdr:cNvPr id="3285" name="Button 213" hidden="1">
              <a:extLst>
                <a:ext uri="{63B3BB69-23CF-44E3-9099-C40C66FF867C}">
                  <a14:compatExt spid="_x0000_s3285"/>
                </a:ext>
                <a:ext uri="{FF2B5EF4-FFF2-40B4-BE49-F238E27FC236}">
                  <a16:creationId xmlns:a16="http://schemas.microsoft.com/office/drawing/2014/main" id="{00000000-0008-0000-0100-0000D5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1" i="0" u="none" strike="noStrike" baseline="0">
                  <a:solidFill>
                    <a:srgbClr val="000000"/>
                  </a:solidFill>
                  <a:latin typeface="Arial"/>
                  <a:cs typeface="Arial"/>
                </a:rPr>
                <a:t>Click </a:t>
              </a:r>
              <a:r>
                <a:rPr lang="en-US" sz="900" b="0" i="0" u="none" strike="noStrike" baseline="0">
                  <a:solidFill>
                    <a:srgbClr val="000000"/>
                  </a:solidFill>
                  <a:latin typeface="Arial"/>
                  <a:cs typeface="Arial"/>
                </a:rPr>
                <a:t>to change assumptions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504825</xdr:colOff>
          <xdr:row>2</xdr:row>
          <xdr:rowOff>180975</xdr:rowOff>
        </xdr:from>
        <xdr:to>
          <xdr:col>1</xdr:col>
          <xdr:colOff>1609725</xdr:colOff>
          <xdr:row>2</xdr:row>
          <xdr:rowOff>447675</xdr:rowOff>
        </xdr:to>
        <xdr:sp macro="" textlink="">
          <xdr:nvSpPr>
            <xdr:cNvPr id="23556" name="Button 4" hidden="1">
              <a:extLst>
                <a:ext uri="{63B3BB69-23CF-44E3-9099-C40C66FF867C}">
                  <a14:compatExt spid="_x0000_s23556"/>
                </a:ext>
                <a:ext uri="{FF2B5EF4-FFF2-40B4-BE49-F238E27FC236}">
                  <a16:creationId xmlns:a16="http://schemas.microsoft.com/office/drawing/2014/main" id="{00000000-0008-0000-0200-0000045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Inputs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2</xdr:row>
          <xdr:rowOff>38100</xdr:rowOff>
        </xdr:from>
        <xdr:to>
          <xdr:col>0</xdr:col>
          <xdr:colOff>1790700</xdr:colOff>
          <xdr:row>2</xdr:row>
          <xdr:rowOff>371475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300-000001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Calculate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2</xdr:row>
          <xdr:rowOff>409575</xdr:rowOff>
        </xdr:from>
        <xdr:to>
          <xdr:col>0</xdr:col>
          <xdr:colOff>1790700</xdr:colOff>
          <xdr:row>3</xdr:row>
          <xdr:rowOff>209550</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300-000002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Inputs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352425</xdr:colOff>
          <xdr:row>2</xdr:row>
          <xdr:rowOff>47625</xdr:rowOff>
        </xdr:from>
        <xdr:to>
          <xdr:col>3</xdr:col>
          <xdr:colOff>9525</xdr:colOff>
          <xdr:row>3</xdr:row>
          <xdr:rowOff>114300</xdr:rowOff>
        </xdr:to>
        <xdr:sp macro="" textlink="">
          <xdr:nvSpPr>
            <xdr:cNvPr id="9223" name="Button 7" hidden="1">
              <a:extLst>
                <a:ext uri="{63B3BB69-23CF-44E3-9099-C40C66FF867C}">
                  <a14:compatExt spid="_x0000_s9223"/>
                </a:ext>
                <a:ext uri="{FF2B5EF4-FFF2-40B4-BE49-F238E27FC236}">
                  <a16:creationId xmlns:a16="http://schemas.microsoft.com/office/drawing/2014/main" id="{00000000-0008-0000-0400-000007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Values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14</xdr:row>
          <xdr:rowOff>85725</xdr:rowOff>
        </xdr:from>
        <xdr:to>
          <xdr:col>2</xdr:col>
          <xdr:colOff>2762250</xdr:colOff>
          <xdr:row>16</xdr:row>
          <xdr:rowOff>133350</xdr:rowOff>
        </xdr:to>
        <xdr:sp macro="" textlink="">
          <xdr:nvSpPr>
            <xdr:cNvPr id="11265" name="CommandButton1" hidden="1">
              <a:extLst>
                <a:ext uri="{63B3BB69-23CF-44E3-9099-C40C66FF867C}">
                  <a14:compatExt spid="_x0000_s11265"/>
                </a:ext>
                <a:ext uri="{FF2B5EF4-FFF2-40B4-BE49-F238E27FC236}">
                  <a16:creationId xmlns:a16="http://schemas.microsoft.com/office/drawing/2014/main" id="{00000000-0008-0000-0500-00000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17</xdr:row>
          <xdr:rowOff>142875</xdr:rowOff>
        </xdr:from>
        <xdr:to>
          <xdr:col>2</xdr:col>
          <xdr:colOff>2771775</xdr:colOff>
          <xdr:row>20</xdr:row>
          <xdr:rowOff>28575</xdr:rowOff>
        </xdr:to>
        <xdr:sp macro="" textlink="">
          <xdr:nvSpPr>
            <xdr:cNvPr id="11266" name="CommandButton2" hidden="1">
              <a:extLst>
                <a:ext uri="{63B3BB69-23CF-44E3-9099-C40C66FF867C}">
                  <a14:compatExt spid="_x0000_s11266"/>
                </a:ext>
                <a:ext uri="{FF2B5EF4-FFF2-40B4-BE49-F238E27FC236}">
                  <a16:creationId xmlns:a16="http://schemas.microsoft.com/office/drawing/2014/main" id="{00000000-0008-0000-0500-000002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21</xdr:row>
          <xdr:rowOff>85725</xdr:rowOff>
        </xdr:from>
        <xdr:to>
          <xdr:col>2</xdr:col>
          <xdr:colOff>2762250</xdr:colOff>
          <xdr:row>23</xdr:row>
          <xdr:rowOff>85725</xdr:rowOff>
        </xdr:to>
        <xdr:sp macro="" textlink="">
          <xdr:nvSpPr>
            <xdr:cNvPr id="11267" name="Button 3" hidden="1">
              <a:extLst>
                <a:ext uri="{63B3BB69-23CF-44E3-9099-C40C66FF867C}">
                  <a14:compatExt spid="_x0000_s11267"/>
                </a:ext>
                <a:ext uri="{FF2B5EF4-FFF2-40B4-BE49-F238E27FC236}">
                  <a16:creationId xmlns:a16="http://schemas.microsoft.com/office/drawing/2014/main" id="{00000000-0008-0000-0500-0000032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Clear Inputs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oneCellAnchor>
    <xdr:from>
      <xdr:col>11</xdr:col>
      <xdr:colOff>0</xdr:colOff>
      <xdr:row>25</xdr:row>
      <xdr:rowOff>38100</xdr:rowOff>
    </xdr:from>
    <xdr:ext cx="5600700" cy="3097899"/>
    <xdr:sp macro="" textlink="">
      <xdr:nvSpPr>
        <xdr:cNvPr id="2" name="TextBox 1">
          <a:extLst>
            <a:ext uri="{FF2B5EF4-FFF2-40B4-BE49-F238E27FC236}">
              <a16:creationId xmlns:a16="http://schemas.microsoft.com/office/drawing/2014/main" id="{00000000-0008-0000-0C00-000002000000}"/>
            </a:ext>
          </a:extLst>
        </xdr:cNvPr>
        <xdr:cNvSpPr txBox="1"/>
      </xdr:nvSpPr>
      <xdr:spPr>
        <a:xfrm>
          <a:off x="5391150" y="5476875"/>
          <a:ext cx="5600700" cy="30978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pAutoFit/>
        </a:bodyPr>
        <a:lstStyle/>
        <a:p>
          <a:r>
            <a:rPr lang="en-US" sz="9600" b="0" i="0" baseline="0">
              <a:ln>
                <a:solidFill>
                  <a:srgbClr val="FF0000"/>
                </a:solidFill>
                <a:prstDash val="dash"/>
              </a:ln>
              <a:noFill/>
              <a:effectLst>
                <a:outerShdw blurRad="63500" dir="3600000" algn="tl" rotWithShape="0">
                  <a:srgbClr val="000000">
                    <a:alpha val="70000"/>
                  </a:srgbClr>
                </a:outerShdw>
              </a:effectLst>
              <a:latin typeface="+mn-lt"/>
              <a:ea typeface="+mn-ea"/>
              <a:cs typeface="+mn-cs"/>
            </a:rPr>
            <a:t>TR=1E-06</a:t>
          </a:r>
        </a:p>
        <a:p>
          <a:r>
            <a:rPr lang="en-US" sz="9600" b="0" i="0" baseline="0">
              <a:ln>
                <a:solidFill>
                  <a:srgbClr val="FF0000"/>
                </a:solidFill>
                <a:prstDash val="dash"/>
              </a:ln>
              <a:noFill/>
              <a:effectLst>
                <a:outerShdw blurRad="63500" dir="3600000" algn="tl" rotWithShape="0">
                  <a:srgbClr val="000000">
                    <a:alpha val="70000"/>
                  </a:srgbClr>
                </a:outerShdw>
              </a:effectLst>
              <a:latin typeface="+mn-lt"/>
              <a:ea typeface="+mn-ea"/>
              <a:cs typeface="+mn-cs"/>
            </a:rPr>
            <a:t>THQ=1.0</a:t>
          </a:r>
          <a:endParaRPr lang="en-US" sz="800">
            <a:ln>
              <a:solidFill>
                <a:srgbClr val="FF0000"/>
              </a:solidFill>
              <a:prstDash val="dash"/>
            </a:ln>
            <a:noFill/>
          </a:endParaRPr>
        </a:p>
      </xdr:txBody>
    </xdr:sp>
    <xdr:clientData/>
  </xdr:oneCellAnchor>
  <xdr:oneCellAnchor>
    <xdr:from>
      <xdr:col>11</xdr:col>
      <xdr:colOff>0</xdr:colOff>
      <xdr:row>91</xdr:row>
      <xdr:rowOff>171450</xdr:rowOff>
    </xdr:from>
    <xdr:ext cx="5600700" cy="3097899"/>
    <xdr:sp macro="" textlink="">
      <xdr:nvSpPr>
        <xdr:cNvPr id="3" name="TextBox 2">
          <a:extLst>
            <a:ext uri="{FF2B5EF4-FFF2-40B4-BE49-F238E27FC236}">
              <a16:creationId xmlns:a16="http://schemas.microsoft.com/office/drawing/2014/main" id="{00000000-0008-0000-0C00-000003000000}"/>
            </a:ext>
          </a:extLst>
        </xdr:cNvPr>
        <xdr:cNvSpPr txBox="1"/>
      </xdr:nvSpPr>
      <xdr:spPr>
        <a:xfrm>
          <a:off x="5457825" y="18392775"/>
          <a:ext cx="5600700" cy="30978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pAutoFit/>
        </a:bodyPr>
        <a:lstStyle/>
        <a:p>
          <a:r>
            <a:rPr lang="en-US" sz="9600" b="0" i="0" baseline="0">
              <a:ln>
                <a:solidFill>
                  <a:srgbClr val="FF0000"/>
                </a:solidFill>
                <a:prstDash val="dash"/>
              </a:ln>
              <a:noFill/>
              <a:effectLst>
                <a:outerShdw blurRad="63500" dir="3600000" algn="tl" rotWithShape="0">
                  <a:srgbClr val="000000">
                    <a:alpha val="70000"/>
                  </a:srgbClr>
                </a:outerShdw>
              </a:effectLst>
              <a:latin typeface="+mn-lt"/>
              <a:ea typeface="+mn-ea"/>
              <a:cs typeface="+mn-cs"/>
            </a:rPr>
            <a:t>TR=1E-06</a:t>
          </a:r>
        </a:p>
        <a:p>
          <a:r>
            <a:rPr lang="en-US" sz="9600" b="0" i="0" baseline="0">
              <a:ln>
                <a:solidFill>
                  <a:srgbClr val="FF0000"/>
                </a:solidFill>
                <a:prstDash val="dash"/>
              </a:ln>
              <a:noFill/>
              <a:effectLst>
                <a:outerShdw blurRad="63500" dir="3600000" algn="tl" rotWithShape="0">
                  <a:srgbClr val="000000">
                    <a:alpha val="70000"/>
                  </a:srgbClr>
                </a:outerShdw>
              </a:effectLst>
              <a:latin typeface="+mn-lt"/>
              <a:ea typeface="+mn-ea"/>
              <a:cs typeface="+mn-cs"/>
            </a:rPr>
            <a:t>THQ=1.0</a:t>
          </a:r>
          <a:endParaRPr lang="en-US" sz="800">
            <a:ln>
              <a:solidFill>
                <a:srgbClr val="FF0000"/>
              </a:solidFill>
              <a:prstDash val="dash"/>
            </a:ln>
            <a:noFill/>
          </a:endParaRPr>
        </a:p>
      </xdr:txBody>
    </xdr:sp>
    <xdr:clientData/>
  </xdr:oneCellAnchor>
  <xdr:oneCellAnchor>
    <xdr:from>
      <xdr:col>11</xdr:col>
      <xdr:colOff>0</xdr:colOff>
      <xdr:row>159</xdr:row>
      <xdr:rowOff>171450</xdr:rowOff>
    </xdr:from>
    <xdr:ext cx="5600700" cy="3097899"/>
    <xdr:sp macro="" textlink="">
      <xdr:nvSpPr>
        <xdr:cNvPr id="4" name="TextBox 3">
          <a:extLst>
            <a:ext uri="{FF2B5EF4-FFF2-40B4-BE49-F238E27FC236}">
              <a16:creationId xmlns:a16="http://schemas.microsoft.com/office/drawing/2014/main" id="{00000000-0008-0000-0C00-000004000000}"/>
            </a:ext>
          </a:extLst>
        </xdr:cNvPr>
        <xdr:cNvSpPr txBox="1"/>
      </xdr:nvSpPr>
      <xdr:spPr>
        <a:xfrm>
          <a:off x="5457825" y="31565850"/>
          <a:ext cx="5600700" cy="30978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pAutoFit/>
        </a:bodyPr>
        <a:lstStyle/>
        <a:p>
          <a:r>
            <a:rPr lang="en-US" sz="9600" b="0" i="0" baseline="0">
              <a:ln>
                <a:solidFill>
                  <a:srgbClr val="FF0000"/>
                </a:solidFill>
                <a:prstDash val="dash"/>
              </a:ln>
              <a:noFill/>
              <a:effectLst>
                <a:outerShdw blurRad="63500" dir="3600000" algn="tl" rotWithShape="0">
                  <a:srgbClr val="000000">
                    <a:alpha val="70000"/>
                  </a:srgbClr>
                </a:outerShdw>
              </a:effectLst>
              <a:latin typeface="+mn-lt"/>
              <a:ea typeface="+mn-ea"/>
              <a:cs typeface="+mn-cs"/>
            </a:rPr>
            <a:t>TR=1E-06</a:t>
          </a:r>
        </a:p>
        <a:p>
          <a:r>
            <a:rPr lang="en-US" sz="9600" b="0" i="0" baseline="0">
              <a:ln>
                <a:solidFill>
                  <a:srgbClr val="FF0000"/>
                </a:solidFill>
                <a:prstDash val="dash"/>
              </a:ln>
              <a:noFill/>
              <a:effectLst>
                <a:outerShdw blurRad="63500" dir="3600000" algn="tl" rotWithShape="0">
                  <a:srgbClr val="000000">
                    <a:alpha val="70000"/>
                  </a:srgbClr>
                </a:outerShdw>
              </a:effectLst>
              <a:latin typeface="+mn-lt"/>
              <a:ea typeface="+mn-ea"/>
              <a:cs typeface="+mn-cs"/>
            </a:rPr>
            <a:t>THQ=1.0</a:t>
          </a:r>
          <a:endParaRPr lang="en-US" sz="800">
            <a:ln>
              <a:solidFill>
                <a:srgbClr val="FF0000"/>
              </a:solidFill>
              <a:prstDash val="dash"/>
            </a:ln>
            <a:noFill/>
          </a:endParaRPr>
        </a:p>
      </xdr:txBody>
    </xdr:sp>
    <xdr:clientData/>
  </xdr:oneCellAnchor>
  <xdr:oneCellAnchor>
    <xdr:from>
      <xdr:col>11</xdr:col>
      <xdr:colOff>0</xdr:colOff>
      <xdr:row>224</xdr:row>
      <xdr:rowOff>180975</xdr:rowOff>
    </xdr:from>
    <xdr:ext cx="5600700" cy="3097899"/>
    <xdr:sp macro="" textlink="">
      <xdr:nvSpPr>
        <xdr:cNvPr id="5" name="TextBox 4">
          <a:extLst>
            <a:ext uri="{FF2B5EF4-FFF2-40B4-BE49-F238E27FC236}">
              <a16:creationId xmlns:a16="http://schemas.microsoft.com/office/drawing/2014/main" id="{00000000-0008-0000-0C00-000005000000}"/>
            </a:ext>
          </a:extLst>
        </xdr:cNvPr>
        <xdr:cNvSpPr txBox="1"/>
      </xdr:nvSpPr>
      <xdr:spPr>
        <a:xfrm>
          <a:off x="5457825" y="44157900"/>
          <a:ext cx="5600700" cy="30978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pAutoFit/>
        </a:bodyPr>
        <a:lstStyle/>
        <a:p>
          <a:r>
            <a:rPr lang="en-US" sz="9600" b="0" i="0" baseline="0">
              <a:ln>
                <a:solidFill>
                  <a:srgbClr val="FF0000"/>
                </a:solidFill>
                <a:prstDash val="dash"/>
              </a:ln>
              <a:noFill/>
              <a:effectLst>
                <a:outerShdw blurRad="63500" dir="3600000" algn="tl" rotWithShape="0">
                  <a:srgbClr val="000000">
                    <a:alpha val="70000"/>
                  </a:srgbClr>
                </a:outerShdw>
              </a:effectLst>
              <a:latin typeface="+mn-lt"/>
              <a:ea typeface="+mn-ea"/>
              <a:cs typeface="+mn-cs"/>
            </a:rPr>
            <a:t>TR=1E-06</a:t>
          </a:r>
        </a:p>
        <a:p>
          <a:r>
            <a:rPr lang="en-US" sz="9600" b="0" i="0" baseline="0">
              <a:ln>
                <a:solidFill>
                  <a:srgbClr val="FF0000"/>
                </a:solidFill>
                <a:prstDash val="dash"/>
              </a:ln>
              <a:noFill/>
              <a:effectLst>
                <a:outerShdw blurRad="63500" dir="3600000" algn="tl" rotWithShape="0">
                  <a:srgbClr val="000000">
                    <a:alpha val="70000"/>
                  </a:srgbClr>
                </a:outerShdw>
              </a:effectLst>
              <a:latin typeface="+mn-lt"/>
              <a:ea typeface="+mn-ea"/>
              <a:cs typeface="+mn-cs"/>
            </a:rPr>
            <a:t>THQ=1.0</a:t>
          </a:r>
          <a:endParaRPr lang="en-US" sz="800">
            <a:ln>
              <a:solidFill>
                <a:srgbClr val="FF0000"/>
              </a:solidFill>
              <a:prstDash val="dash"/>
            </a:ln>
            <a:noFill/>
          </a:endParaRPr>
        </a:p>
      </xdr:txBody>
    </xdr:sp>
    <xdr:clientData/>
  </xdr:oneCellAnchor>
  <xdr:oneCellAnchor>
    <xdr:from>
      <xdr:col>11</xdr:col>
      <xdr:colOff>0</xdr:colOff>
      <xdr:row>289</xdr:row>
      <xdr:rowOff>171450</xdr:rowOff>
    </xdr:from>
    <xdr:ext cx="5600700" cy="3097899"/>
    <xdr:sp macro="" textlink="">
      <xdr:nvSpPr>
        <xdr:cNvPr id="6" name="TextBox 5">
          <a:extLst>
            <a:ext uri="{FF2B5EF4-FFF2-40B4-BE49-F238E27FC236}">
              <a16:creationId xmlns:a16="http://schemas.microsoft.com/office/drawing/2014/main" id="{00000000-0008-0000-0C00-000006000000}"/>
            </a:ext>
          </a:extLst>
        </xdr:cNvPr>
        <xdr:cNvSpPr txBox="1"/>
      </xdr:nvSpPr>
      <xdr:spPr>
        <a:xfrm>
          <a:off x="5457825" y="56740425"/>
          <a:ext cx="5600700" cy="30978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pAutoFit/>
        </a:bodyPr>
        <a:lstStyle/>
        <a:p>
          <a:r>
            <a:rPr lang="en-US" sz="9600" b="0" i="0" baseline="0">
              <a:ln>
                <a:solidFill>
                  <a:srgbClr val="FF0000"/>
                </a:solidFill>
                <a:prstDash val="dash"/>
              </a:ln>
              <a:noFill/>
              <a:effectLst>
                <a:outerShdw blurRad="63500" dir="3600000" algn="tl" rotWithShape="0">
                  <a:srgbClr val="000000">
                    <a:alpha val="70000"/>
                  </a:srgbClr>
                </a:outerShdw>
              </a:effectLst>
              <a:latin typeface="+mn-lt"/>
              <a:ea typeface="+mn-ea"/>
              <a:cs typeface="+mn-cs"/>
            </a:rPr>
            <a:t>TR=1E-06</a:t>
          </a:r>
        </a:p>
        <a:p>
          <a:r>
            <a:rPr lang="en-US" sz="9600" b="0" i="0" baseline="0">
              <a:ln>
                <a:solidFill>
                  <a:srgbClr val="FF0000"/>
                </a:solidFill>
                <a:prstDash val="dash"/>
              </a:ln>
              <a:noFill/>
              <a:effectLst>
                <a:outerShdw blurRad="63500" dir="3600000" algn="tl" rotWithShape="0">
                  <a:srgbClr val="000000">
                    <a:alpha val="70000"/>
                  </a:srgbClr>
                </a:outerShdw>
              </a:effectLst>
              <a:latin typeface="+mn-lt"/>
              <a:ea typeface="+mn-ea"/>
              <a:cs typeface="+mn-cs"/>
            </a:rPr>
            <a:t>THQ=1.0</a:t>
          </a:r>
          <a:endParaRPr lang="en-US" sz="800">
            <a:ln>
              <a:solidFill>
                <a:srgbClr val="FF0000"/>
              </a:solidFill>
              <a:prstDash val="dash"/>
            </a:ln>
            <a:noFill/>
          </a:endParaRPr>
        </a:p>
      </xdr:txBody>
    </xdr:sp>
    <xdr:clientData/>
  </xdr:oneCellAnchor>
  <xdr:oneCellAnchor>
    <xdr:from>
      <xdr:col>11</xdr:col>
      <xdr:colOff>0</xdr:colOff>
      <xdr:row>353</xdr:row>
      <xdr:rowOff>180975</xdr:rowOff>
    </xdr:from>
    <xdr:ext cx="5600700" cy="3097899"/>
    <xdr:sp macro="" textlink="">
      <xdr:nvSpPr>
        <xdr:cNvPr id="7" name="TextBox 6">
          <a:extLst>
            <a:ext uri="{FF2B5EF4-FFF2-40B4-BE49-F238E27FC236}">
              <a16:creationId xmlns:a16="http://schemas.microsoft.com/office/drawing/2014/main" id="{00000000-0008-0000-0C00-000007000000}"/>
            </a:ext>
          </a:extLst>
        </xdr:cNvPr>
        <xdr:cNvSpPr txBox="1"/>
      </xdr:nvSpPr>
      <xdr:spPr>
        <a:xfrm>
          <a:off x="5457825" y="69141975"/>
          <a:ext cx="5600700" cy="30978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pAutoFit/>
        </a:bodyPr>
        <a:lstStyle/>
        <a:p>
          <a:r>
            <a:rPr lang="en-US" sz="9600" b="0" i="0" baseline="0">
              <a:ln>
                <a:solidFill>
                  <a:srgbClr val="FF0000"/>
                </a:solidFill>
                <a:prstDash val="dash"/>
              </a:ln>
              <a:noFill/>
              <a:effectLst>
                <a:outerShdw blurRad="63500" dir="3600000" algn="tl" rotWithShape="0">
                  <a:srgbClr val="000000">
                    <a:alpha val="70000"/>
                  </a:srgbClr>
                </a:outerShdw>
              </a:effectLst>
              <a:latin typeface="+mn-lt"/>
              <a:ea typeface="+mn-ea"/>
              <a:cs typeface="+mn-cs"/>
            </a:rPr>
            <a:t>TR=1E-06</a:t>
          </a:r>
        </a:p>
        <a:p>
          <a:r>
            <a:rPr lang="en-US" sz="9600" b="0" i="0" baseline="0">
              <a:ln>
                <a:solidFill>
                  <a:srgbClr val="FF0000"/>
                </a:solidFill>
                <a:prstDash val="dash"/>
              </a:ln>
              <a:noFill/>
              <a:effectLst>
                <a:outerShdw blurRad="63500" dir="3600000" algn="tl" rotWithShape="0">
                  <a:srgbClr val="000000">
                    <a:alpha val="70000"/>
                  </a:srgbClr>
                </a:outerShdw>
              </a:effectLst>
              <a:latin typeface="+mn-lt"/>
              <a:ea typeface="+mn-ea"/>
              <a:cs typeface="+mn-cs"/>
            </a:rPr>
            <a:t>THQ=1.0</a:t>
          </a:r>
          <a:endParaRPr lang="en-US" sz="800">
            <a:ln>
              <a:solidFill>
                <a:srgbClr val="FF0000"/>
              </a:solidFill>
              <a:prstDash val="dash"/>
            </a:ln>
            <a:noFill/>
          </a:endParaRPr>
        </a:p>
      </xdr:txBody>
    </xdr:sp>
    <xdr:clientData/>
  </xdr:oneCellAnchor>
  <xdr:oneCellAnchor>
    <xdr:from>
      <xdr:col>11</xdr:col>
      <xdr:colOff>0</xdr:colOff>
      <xdr:row>419</xdr:row>
      <xdr:rowOff>180975</xdr:rowOff>
    </xdr:from>
    <xdr:ext cx="5600700" cy="3097899"/>
    <xdr:sp macro="" textlink="">
      <xdr:nvSpPr>
        <xdr:cNvPr id="8" name="TextBox 7">
          <a:extLst>
            <a:ext uri="{FF2B5EF4-FFF2-40B4-BE49-F238E27FC236}">
              <a16:creationId xmlns:a16="http://schemas.microsoft.com/office/drawing/2014/main" id="{00000000-0008-0000-0C00-000008000000}"/>
            </a:ext>
          </a:extLst>
        </xdr:cNvPr>
        <xdr:cNvSpPr txBox="1"/>
      </xdr:nvSpPr>
      <xdr:spPr>
        <a:xfrm>
          <a:off x="5457825" y="81924525"/>
          <a:ext cx="5600700" cy="30978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pAutoFit/>
        </a:bodyPr>
        <a:lstStyle/>
        <a:p>
          <a:r>
            <a:rPr lang="en-US" sz="9600" b="0" i="0" baseline="0">
              <a:ln>
                <a:solidFill>
                  <a:srgbClr val="FF0000"/>
                </a:solidFill>
                <a:prstDash val="dash"/>
              </a:ln>
              <a:noFill/>
              <a:effectLst>
                <a:outerShdw blurRad="63500" dir="3600000" algn="tl" rotWithShape="0">
                  <a:srgbClr val="000000">
                    <a:alpha val="70000"/>
                  </a:srgbClr>
                </a:outerShdw>
              </a:effectLst>
              <a:latin typeface="+mn-lt"/>
              <a:ea typeface="+mn-ea"/>
              <a:cs typeface="+mn-cs"/>
            </a:rPr>
            <a:t>TR=1E-06</a:t>
          </a:r>
        </a:p>
        <a:p>
          <a:r>
            <a:rPr lang="en-US" sz="9600" b="0" i="0" baseline="0">
              <a:ln>
                <a:solidFill>
                  <a:srgbClr val="FF0000"/>
                </a:solidFill>
                <a:prstDash val="dash"/>
              </a:ln>
              <a:noFill/>
              <a:effectLst>
                <a:outerShdw blurRad="63500" dir="3600000" algn="tl" rotWithShape="0">
                  <a:srgbClr val="000000">
                    <a:alpha val="70000"/>
                  </a:srgbClr>
                </a:outerShdw>
              </a:effectLst>
              <a:latin typeface="+mn-lt"/>
              <a:ea typeface="+mn-ea"/>
              <a:cs typeface="+mn-cs"/>
            </a:rPr>
            <a:t>THQ=1.0</a:t>
          </a:r>
          <a:endParaRPr lang="en-US" sz="800">
            <a:ln>
              <a:solidFill>
                <a:srgbClr val="FF0000"/>
              </a:solidFill>
              <a:prstDash val="dash"/>
            </a:ln>
            <a:noFill/>
          </a:endParaRPr>
        </a:p>
      </xdr:txBody>
    </xdr:sp>
    <xdr:clientData/>
  </xdr:oneCellAnchor>
  <xdr:oneCellAnchor>
    <xdr:from>
      <xdr:col>11</xdr:col>
      <xdr:colOff>0</xdr:colOff>
      <xdr:row>483</xdr:row>
      <xdr:rowOff>171450</xdr:rowOff>
    </xdr:from>
    <xdr:ext cx="5600700" cy="3097899"/>
    <xdr:sp macro="" textlink="">
      <xdr:nvSpPr>
        <xdr:cNvPr id="9" name="TextBox 8">
          <a:extLst>
            <a:ext uri="{FF2B5EF4-FFF2-40B4-BE49-F238E27FC236}">
              <a16:creationId xmlns:a16="http://schemas.microsoft.com/office/drawing/2014/main" id="{00000000-0008-0000-0C00-000009000000}"/>
            </a:ext>
          </a:extLst>
        </xdr:cNvPr>
        <xdr:cNvSpPr txBox="1"/>
      </xdr:nvSpPr>
      <xdr:spPr>
        <a:xfrm>
          <a:off x="5457825" y="94316550"/>
          <a:ext cx="5600700" cy="30978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pAutoFit/>
        </a:bodyPr>
        <a:lstStyle/>
        <a:p>
          <a:r>
            <a:rPr lang="en-US" sz="9600" b="0" i="0" baseline="0">
              <a:ln>
                <a:solidFill>
                  <a:srgbClr val="FF0000"/>
                </a:solidFill>
                <a:prstDash val="dash"/>
              </a:ln>
              <a:noFill/>
              <a:effectLst>
                <a:outerShdw blurRad="63500" dir="3600000" algn="tl" rotWithShape="0">
                  <a:srgbClr val="000000">
                    <a:alpha val="70000"/>
                  </a:srgbClr>
                </a:outerShdw>
              </a:effectLst>
              <a:latin typeface="+mn-lt"/>
              <a:ea typeface="+mn-ea"/>
              <a:cs typeface="+mn-cs"/>
            </a:rPr>
            <a:t>TR=1E-06</a:t>
          </a:r>
        </a:p>
        <a:p>
          <a:r>
            <a:rPr lang="en-US" sz="9600" b="0" i="0" baseline="0">
              <a:ln>
                <a:solidFill>
                  <a:srgbClr val="FF0000"/>
                </a:solidFill>
                <a:prstDash val="dash"/>
              </a:ln>
              <a:noFill/>
              <a:effectLst>
                <a:outerShdw blurRad="63500" dir="3600000" algn="tl" rotWithShape="0">
                  <a:srgbClr val="000000">
                    <a:alpha val="70000"/>
                  </a:srgbClr>
                </a:outerShdw>
              </a:effectLst>
              <a:latin typeface="+mn-lt"/>
              <a:ea typeface="+mn-ea"/>
              <a:cs typeface="+mn-cs"/>
            </a:rPr>
            <a:t>THQ=1.0</a:t>
          </a:r>
          <a:endParaRPr lang="en-US" sz="800">
            <a:ln>
              <a:solidFill>
                <a:srgbClr val="FF0000"/>
              </a:solidFill>
              <a:prstDash val="dash"/>
            </a:ln>
            <a:noFill/>
          </a:endParaRPr>
        </a:p>
      </xdr:txBody>
    </xdr:sp>
    <xdr:clientData/>
  </xdr:oneCellAnchor>
  <xdr:oneCellAnchor>
    <xdr:from>
      <xdr:col>11</xdr:col>
      <xdr:colOff>0</xdr:colOff>
      <xdr:row>551</xdr:row>
      <xdr:rowOff>180975</xdr:rowOff>
    </xdr:from>
    <xdr:ext cx="5600700" cy="3097899"/>
    <xdr:sp macro="" textlink="">
      <xdr:nvSpPr>
        <xdr:cNvPr id="10" name="TextBox 9">
          <a:extLst>
            <a:ext uri="{FF2B5EF4-FFF2-40B4-BE49-F238E27FC236}">
              <a16:creationId xmlns:a16="http://schemas.microsoft.com/office/drawing/2014/main" id="{00000000-0008-0000-0C00-00000A000000}"/>
            </a:ext>
          </a:extLst>
        </xdr:cNvPr>
        <xdr:cNvSpPr txBox="1"/>
      </xdr:nvSpPr>
      <xdr:spPr>
        <a:xfrm>
          <a:off x="5457825" y="107632500"/>
          <a:ext cx="5600700" cy="30978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pAutoFit/>
        </a:bodyPr>
        <a:lstStyle/>
        <a:p>
          <a:r>
            <a:rPr lang="en-US" sz="9600" b="0" i="0" baseline="0">
              <a:ln>
                <a:solidFill>
                  <a:srgbClr val="FF0000"/>
                </a:solidFill>
                <a:prstDash val="dash"/>
              </a:ln>
              <a:noFill/>
              <a:effectLst>
                <a:outerShdw blurRad="63500" dir="3600000" algn="tl" rotWithShape="0">
                  <a:srgbClr val="000000">
                    <a:alpha val="70000"/>
                  </a:srgbClr>
                </a:outerShdw>
              </a:effectLst>
              <a:latin typeface="+mn-lt"/>
              <a:ea typeface="+mn-ea"/>
              <a:cs typeface="+mn-cs"/>
            </a:rPr>
            <a:t>TR=1E-06</a:t>
          </a:r>
        </a:p>
        <a:p>
          <a:r>
            <a:rPr lang="en-US" sz="9600" b="0" i="0" baseline="0">
              <a:ln>
                <a:solidFill>
                  <a:srgbClr val="FF0000"/>
                </a:solidFill>
                <a:prstDash val="dash"/>
              </a:ln>
              <a:noFill/>
              <a:effectLst>
                <a:outerShdw blurRad="63500" dir="3600000" algn="tl" rotWithShape="0">
                  <a:srgbClr val="000000">
                    <a:alpha val="70000"/>
                  </a:srgbClr>
                </a:outerShdw>
              </a:effectLst>
              <a:latin typeface="+mn-lt"/>
              <a:ea typeface="+mn-ea"/>
              <a:cs typeface="+mn-cs"/>
            </a:rPr>
            <a:t>THQ=1.0</a:t>
          </a:r>
          <a:endParaRPr lang="en-US" sz="800">
            <a:ln>
              <a:solidFill>
                <a:srgbClr val="FF0000"/>
              </a:solidFill>
              <a:prstDash val="dash"/>
            </a:ln>
            <a:noFill/>
          </a:endParaRPr>
        </a:p>
      </xdr:txBody>
    </xdr:sp>
    <xdr:clientData/>
  </xdr:oneCellAnchor>
  <xdr:oneCellAnchor>
    <xdr:from>
      <xdr:col>11</xdr:col>
      <xdr:colOff>0</xdr:colOff>
      <xdr:row>615</xdr:row>
      <xdr:rowOff>171450</xdr:rowOff>
    </xdr:from>
    <xdr:ext cx="5600700" cy="3097899"/>
    <xdr:sp macro="" textlink="">
      <xdr:nvSpPr>
        <xdr:cNvPr id="11" name="TextBox 10">
          <a:extLst>
            <a:ext uri="{FF2B5EF4-FFF2-40B4-BE49-F238E27FC236}">
              <a16:creationId xmlns:a16="http://schemas.microsoft.com/office/drawing/2014/main" id="{00000000-0008-0000-0C00-00000B000000}"/>
            </a:ext>
          </a:extLst>
        </xdr:cNvPr>
        <xdr:cNvSpPr txBox="1"/>
      </xdr:nvSpPr>
      <xdr:spPr>
        <a:xfrm>
          <a:off x="5457825" y="120167400"/>
          <a:ext cx="5600700" cy="30978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pAutoFit/>
        </a:bodyPr>
        <a:lstStyle/>
        <a:p>
          <a:r>
            <a:rPr lang="en-US" sz="9600" b="0" i="0" baseline="0">
              <a:ln>
                <a:solidFill>
                  <a:srgbClr val="FF0000"/>
                </a:solidFill>
                <a:prstDash val="dash"/>
              </a:ln>
              <a:noFill/>
              <a:effectLst>
                <a:outerShdw blurRad="63500" dir="3600000" algn="tl" rotWithShape="0">
                  <a:srgbClr val="000000">
                    <a:alpha val="70000"/>
                  </a:srgbClr>
                </a:outerShdw>
              </a:effectLst>
              <a:latin typeface="+mn-lt"/>
              <a:ea typeface="+mn-ea"/>
              <a:cs typeface="+mn-cs"/>
            </a:rPr>
            <a:t>TR=1E-06</a:t>
          </a:r>
        </a:p>
        <a:p>
          <a:r>
            <a:rPr lang="en-US" sz="9600" b="0" i="0" baseline="0">
              <a:ln>
                <a:solidFill>
                  <a:srgbClr val="FF0000"/>
                </a:solidFill>
                <a:prstDash val="dash"/>
              </a:ln>
              <a:noFill/>
              <a:effectLst>
                <a:outerShdw blurRad="63500" dir="3600000" algn="tl" rotWithShape="0">
                  <a:srgbClr val="000000">
                    <a:alpha val="70000"/>
                  </a:srgbClr>
                </a:outerShdw>
              </a:effectLst>
              <a:latin typeface="+mn-lt"/>
              <a:ea typeface="+mn-ea"/>
              <a:cs typeface="+mn-cs"/>
            </a:rPr>
            <a:t>THQ=1.0</a:t>
          </a:r>
          <a:endParaRPr lang="en-US" sz="800">
            <a:ln>
              <a:solidFill>
                <a:srgbClr val="FF0000"/>
              </a:solidFill>
              <a:prstDash val="dash"/>
            </a:ln>
            <a:noFill/>
          </a:endParaRPr>
        </a:p>
      </xdr:txBody>
    </xdr:sp>
    <xdr:clientData/>
  </xdr:oneCellAnchor>
  <xdr:oneCellAnchor>
    <xdr:from>
      <xdr:col>11</xdr:col>
      <xdr:colOff>0</xdr:colOff>
      <xdr:row>679</xdr:row>
      <xdr:rowOff>171450</xdr:rowOff>
    </xdr:from>
    <xdr:ext cx="5600700" cy="3097899"/>
    <xdr:sp macro="" textlink="">
      <xdr:nvSpPr>
        <xdr:cNvPr id="12" name="TextBox 11">
          <a:extLst>
            <a:ext uri="{FF2B5EF4-FFF2-40B4-BE49-F238E27FC236}">
              <a16:creationId xmlns:a16="http://schemas.microsoft.com/office/drawing/2014/main" id="{00000000-0008-0000-0C00-00000C000000}"/>
            </a:ext>
          </a:extLst>
        </xdr:cNvPr>
        <xdr:cNvSpPr txBox="1"/>
      </xdr:nvSpPr>
      <xdr:spPr>
        <a:xfrm>
          <a:off x="5457825" y="132559425"/>
          <a:ext cx="5600700" cy="30978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pAutoFit/>
        </a:bodyPr>
        <a:lstStyle/>
        <a:p>
          <a:r>
            <a:rPr lang="en-US" sz="9600" b="0" i="0" baseline="0">
              <a:ln>
                <a:solidFill>
                  <a:srgbClr val="FF0000"/>
                </a:solidFill>
                <a:prstDash val="dash"/>
              </a:ln>
              <a:noFill/>
              <a:effectLst>
                <a:outerShdw blurRad="63500" dir="3600000" algn="tl" rotWithShape="0">
                  <a:srgbClr val="000000">
                    <a:alpha val="70000"/>
                  </a:srgbClr>
                </a:outerShdw>
              </a:effectLst>
              <a:latin typeface="+mn-lt"/>
              <a:ea typeface="+mn-ea"/>
              <a:cs typeface="+mn-cs"/>
            </a:rPr>
            <a:t>TR=1E-06</a:t>
          </a:r>
        </a:p>
        <a:p>
          <a:r>
            <a:rPr lang="en-US" sz="9600" b="0" i="0" baseline="0">
              <a:ln>
                <a:solidFill>
                  <a:srgbClr val="FF0000"/>
                </a:solidFill>
                <a:prstDash val="dash"/>
              </a:ln>
              <a:noFill/>
              <a:effectLst>
                <a:outerShdw blurRad="63500" dir="3600000" algn="tl" rotWithShape="0">
                  <a:srgbClr val="000000">
                    <a:alpha val="70000"/>
                  </a:srgbClr>
                </a:outerShdw>
              </a:effectLst>
              <a:latin typeface="+mn-lt"/>
              <a:ea typeface="+mn-ea"/>
              <a:cs typeface="+mn-cs"/>
            </a:rPr>
            <a:t>THQ=1.0</a:t>
          </a:r>
          <a:endParaRPr lang="en-US" sz="800">
            <a:ln>
              <a:solidFill>
                <a:srgbClr val="FF0000"/>
              </a:solidFill>
              <a:prstDash val="dash"/>
            </a:ln>
            <a:noFill/>
          </a:endParaRPr>
        </a:p>
      </xdr:txBody>
    </xdr:sp>
    <xdr:clientData/>
  </xdr:oneCellAnchor>
  <xdr:oneCellAnchor>
    <xdr:from>
      <xdr:col>11</xdr:col>
      <xdr:colOff>0</xdr:colOff>
      <xdr:row>745</xdr:row>
      <xdr:rowOff>171450</xdr:rowOff>
    </xdr:from>
    <xdr:ext cx="5600700" cy="3097899"/>
    <xdr:sp macro="" textlink="">
      <xdr:nvSpPr>
        <xdr:cNvPr id="13" name="TextBox 12">
          <a:extLst>
            <a:ext uri="{FF2B5EF4-FFF2-40B4-BE49-F238E27FC236}">
              <a16:creationId xmlns:a16="http://schemas.microsoft.com/office/drawing/2014/main" id="{00000000-0008-0000-0C00-00000D000000}"/>
            </a:ext>
          </a:extLst>
        </xdr:cNvPr>
        <xdr:cNvSpPr txBox="1"/>
      </xdr:nvSpPr>
      <xdr:spPr>
        <a:xfrm>
          <a:off x="5457825" y="145341975"/>
          <a:ext cx="5600700" cy="30978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pAutoFit/>
        </a:bodyPr>
        <a:lstStyle/>
        <a:p>
          <a:r>
            <a:rPr lang="en-US" sz="9600" b="0" i="0" baseline="0">
              <a:ln>
                <a:solidFill>
                  <a:srgbClr val="FF0000"/>
                </a:solidFill>
                <a:prstDash val="dash"/>
              </a:ln>
              <a:noFill/>
              <a:effectLst>
                <a:outerShdw blurRad="63500" dir="3600000" algn="tl" rotWithShape="0">
                  <a:srgbClr val="000000">
                    <a:alpha val="70000"/>
                  </a:srgbClr>
                </a:outerShdw>
              </a:effectLst>
              <a:latin typeface="+mn-lt"/>
              <a:ea typeface="+mn-ea"/>
              <a:cs typeface="+mn-cs"/>
            </a:rPr>
            <a:t>TR=1E-06</a:t>
          </a:r>
        </a:p>
        <a:p>
          <a:r>
            <a:rPr lang="en-US" sz="9600" b="0" i="0" baseline="0">
              <a:ln>
                <a:solidFill>
                  <a:srgbClr val="FF0000"/>
                </a:solidFill>
                <a:prstDash val="dash"/>
              </a:ln>
              <a:noFill/>
              <a:effectLst>
                <a:outerShdw blurRad="63500" dir="3600000" algn="tl" rotWithShape="0">
                  <a:srgbClr val="000000">
                    <a:alpha val="70000"/>
                  </a:srgbClr>
                </a:outerShdw>
              </a:effectLst>
              <a:latin typeface="+mn-lt"/>
              <a:ea typeface="+mn-ea"/>
              <a:cs typeface="+mn-cs"/>
            </a:rPr>
            <a:t>THQ=1.0</a:t>
          </a:r>
          <a:endParaRPr lang="en-US" sz="800">
            <a:ln>
              <a:solidFill>
                <a:srgbClr val="FF0000"/>
              </a:solidFill>
              <a:prstDash val="dash"/>
            </a:ln>
            <a:noFill/>
          </a:endParaRPr>
        </a:p>
      </xdr:txBody>
    </xdr:sp>
    <xdr:clientData/>
  </xdr:oneCellAnchor>
  <xdr:oneCellAnchor>
    <xdr:from>
      <xdr:col>6</xdr:col>
      <xdr:colOff>346075</xdr:colOff>
      <xdr:row>27</xdr:row>
      <xdr:rowOff>161925</xdr:rowOff>
    </xdr:from>
    <xdr:ext cx="5600700" cy="3097899"/>
    <xdr:sp macro="" textlink="">
      <xdr:nvSpPr>
        <xdr:cNvPr id="14" name="TextBox 13">
          <a:extLst>
            <a:ext uri="{FF2B5EF4-FFF2-40B4-BE49-F238E27FC236}">
              <a16:creationId xmlns:a16="http://schemas.microsoft.com/office/drawing/2014/main" id="{00000000-0008-0000-0C00-00000E000000}"/>
            </a:ext>
          </a:extLst>
        </xdr:cNvPr>
        <xdr:cNvSpPr txBox="1"/>
      </xdr:nvSpPr>
      <xdr:spPr>
        <a:xfrm>
          <a:off x="1965325" y="6229350"/>
          <a:ext cx="5600700" cy="30978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pAutoFit/>
        </a:bodyPr>
        <a:lstStyle/>
        <a:p>
          <a:r>
            <a:rPr lang="en-US" sz="9600" b="0" i="0" baseline="0">
              <a:ln>
                <a:solidFill>
                  <a:srgbClr val="FF0000"/>
                </a:solidFill>
                <a:prstDash val="dash"/>
              </a:ln>
              <a:noFill/>
              <a:effectLst>
                <a:outerShdw blurRad="63500" dir="3600000" algn="tl" rotWithShape="0">
                  <a:srgbClr val="000000">
                    <a:alpha val="70000"/>
                  </a:srgbClr>
                </a:outerShdw>
              </a:effectLst>
              <a:latin typeface="+mn-lt"/>
              <a:ea typeface="+mn-ea"/>
              <a:cs typeface="+mn-cs"/>
            </a:rPr>
            <a:t>TR=1E-06</a:t>
          </a:r>
        </a:p>
        <a:p>
          <a:r>
            <a:rPr lang="en-US" sz="9600" b="0" i="0" baseline="0">
              <a:ln>
                <a:solidFill>
                  <a:srgbClr val="FF0000"/>
                </a:solidFill>
                <a:prstDash val="dash"/>
              </a:ln>
              <a:noFill/>
              <a:effectLst>
                <a:outerShdw blurRad="63500" dir="3600000" algn="tl" rotWithShape="0">
                  <a:srgbClr val="000000">
                    <a:alpha val="70000"/>
                  </a:srgbClr>
                </a:outerShdw>
              </a:effectLst>
              <a:latin typeface="+mn-lt"/>
              <a:ea typeface="+mn-ea"/>
              <a:cs typeface="+mn-cs"/>
            </a:rPr>
            <a:t>THQ=1.0</a:t>
          </a:r>
          <a:endParaRPr lang="en-US" sz="800">
            <a:ln>
              <a:solidFill>
                <a:srgbClr val="FF0000"/>
              </a:solidFill>
              <a:prstDash val="dash"/>
            </a:ln>
            <a:noFill/>
          </a:endParaRPr>
        </a:p>
      </xdr:txBody>
    </xdr:sp>
    <xdr:clientData/>
  </xdr:oneCellAnchor>
  <xdr:oneCellAnchor>
    <xdr:from>
      <xdr:col>6</xdr:col>
      <xdr:colOff>403225</xdr:colOff>
      <xdr:row>175</xdr:row>
      <xdr:rowOff>120650</xdr:rowOff>
    </xdr:from>
    <xdr:ext cx="5600700" cy="3097899"/>
    <xdr:sp macro="" textlink="">
      <xdr:nvSpPr>
        <xdr:cNvPr id="16" name="TextBox 15">
          <a:extLst>
            <a:ext uri="{FF2B5EF4-FFF2-40B4-BE49-F238E27FC236}">
              <a16:creationId xmlns:a16="http://schemas.microsoft.com/office/drawing/2014/main" id="{00000000-0008-0000-0C00-000010000000}"/>
            </a:ext>
          </a:extLst>
        </xdr:cNvPr>
        <xdr:cNvSpPr txBox="1"/>
      </xdr:nvSpPr>
      <xdr:spPr>
        <a:xfrm>
          <a:off x="2022475" y="34848800"/>
          <a:ext cx="5600700" cy="30978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pAutoFit/>
        </a:bodyPr>
        <a:lstStyle/>
        <a:p>
          <a:r>
            <a:rPr lang="en-US" sz="9600" b="0" i="0" baseline="0">
              <a:ln>
                <a:solidFill>
                  <a:srgbClr val="FF0000"/>
                </a:solidFill>
                <a:prstDash val="dash"/>
              </a:ln>
              <a:noFill/>
              <a:effectLst>
                <a:outerShdw blurRad="63500" dir="3600000" algn="tl" rotWithShape="0">
                  <a:srgbClr val="000000">
                    <a:alpha val="70000"/>
                  </a:srgbClr>
                </a:outerShdw>
              </a:effectLst>
              <a:latin typeface="+mn-lt"/>
              <a:ea typeface="+mn-ea"/>
              <a:cs typeface="+mn-cs"/>
            </a:rPr>
            <a:t>TR=1E-06</a:t>
          </a:r>
        </a:p>
        <a:p>
          <a:r>
            <a:rPr lang="en-US" sz="9600" b="0" i="0" baseline="0">
              <a:ln>
                <a:solidFill>
                  <a:srgbClr val="FF0000"/>
                </a:solidFill>
                <a:prstDash val="dash"/>
              </a:ln>
              <a:noFill/>
              <a:effectLst>
                <a:outerShdw blurRad="63500" dir="3600000" algn="tl" rotWithShape="0">
                  <a:srgbClr val="000000">
                    <a:alpha val="70000"/>
                  </a:srgbClr>
                </a:outerShdw>
              </a:effectLst>
              <a:latin typeface="+mn-lt"/>
              <a:ea typeface="+mn-ea"/>
              <a:cs typeface="+mn-cs"/>
            </a:rPr>
            <a:t>THQ=1.0</a:t>
          </a:r>
          <a:endParaRPr lang="en-US" sz="800">
            <a:ln>
              <a:solidFill>
                <a:srgbClr val="FF0000"/>
              </a:solidFill>
              <a:prstDash val="dash"/>
            </a:ln>
            <a:noFill/>
          </a:endParaRPr>
        </a:p>
      </xdr:txBody>
    </xdr:sp>
    <xdr:clientData/>
  </xdr:oneCellAnchor>
  <xdr:oneCellAnchor>
    <xdr:from>
      <xdr:col>6</xdr:col>
      <xdr:colOff>238125</xdr:colOff>
      <xdr:row>256</xdr:row>
      <xdr:rowOff>120650</xdr:rowOff>
    </xdr:from>
    <xdr:ext cx="5600700" cy="3097899"/>
    <xdr:sp macro="" textlink="">
      <xdr:nvSpPr>
        <xdr:cNvPr id="17" name="TextBox 16">
          <a:extLst>
            <a:ext uri="{FF2B5EF4-FFF2-40B4-BE49-F238E27FC236}">
              <a16:creationId xmlns:a16="http://schemas.microsoft.com/office/drawing/2014/main" id="{00000000-0008-0000-0C00-000011000000}"/>
            </a:ext>
          </a:extLst>
        </xdr:cNvPr>
        <xdr:cNvSpPr txBox="1"/>
      </xdr:nvSpPr>
      <xdr:spPr>
        <a:xfrm>
          <a:off x="1857375" y="50536475"/>
          <a:ext cx="5600700" cy="30978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pAutoFit/>
        </a:bodyPr>
        <a:lstStyle/>
        <a:p>
          <a:r>
            <a:rPr lang="en-US" sz="9600" b="0" i="0" baseline="0">
              <a:ln>
                <a:solidFill>
                  <a:srgbClr val="FF0000"/>
                </a:solidFill>
                <a:prstDash val="dash"/>
              </a:ln>
              <a:noFill/>
              <a:effectLst>
                <a:outerShdw blurRad="63500" dir="3600000" algn="tl" rotWithShape="0">
                  <a:srgbClr val="000000">
                    <a:alpha val="70000"/>
                  </a:srgbClr>
                </a:outerShdw>
              </a:effectLst>
              <a:latin typeface="+mn-lt"/>
              <a:ea typeface="+mn-ea"/>
              <a:cs typeface="+mn-cs"/>
            </a:rPr>
            <a:t>TR=1E-06</a:t>
          </a:r>
        </a:p>
        <a:p>
          <a:r>
            <a:rPr lang="en-US" sz="9600" b="0" i="0" baseline="0">
              <a:ln>
                <a:solidFill>
                  <a:srgbClr val="FF0000"/>
                </a:solidFill>
                <a:prstDash val="dash"/>
              </a:ln>
              <a:noFill/>
              <a:effectLst>
                <a:outerShdw blurRad="63500" dir="3600000" algn="tl" rotWithShape="0">
                  <a:srgbClr val="000000">
                    <a:alpha val="70000"/>
                  </a:srgbClr>
                </a:outerShdw>
              </a:effectLst>
              <a:latin typeface="+mn-lt"/>
              <a:ea typeface="+mn-ea"/>
              <a:cs typeface="+mn-cs"/>
            </a:rPr>
            <a:t>THQ=1.0</a:t>
          </a:r>
          <a:endParaRPr lang="en-US" sz="800">
            <a:ln>
              <a:solidFill>
                <a:srgbClr val="FF0000"/>
              </a:solidFill>
              <a:prstDash val="dash"/>
            </a:ln>
            <a:noFill/>
          </a:endParaRPr>
        </a:p>
      </xdr:txBody>
    </xdr:sp>
    <xdr:clientData/>
  </xdr:oneCellAnchor>
  <xdr:oneCellAnchor>
    <xdr:from>
      <xdr:col>6</xdr:col>
      <xdr:colOff>269875</xdr:colOff>
      <xdr:row>331</xdr:row>
      <xdr:rowOff>41275</xdr:rowOff>
    </xdr:from>
    <xdr:ext cx="5600700" cy="3097899"/>
    <xdr:sp macro="" textlink="">
      <xdr:nvSpPr>
        <xdr:cNvPr id="18" name="TextBox 17">
          <a:extLst>
            <a:ext uri="{FF2B5EF4-FFF2-40B4-BE49-F238E27FC236}">
              <a16:creationId xmlns:a16="http://schemas.microsoft.com/office/drawing/2014/main" id="{00000000-0008-0000-0C00-000012000000}"/>
            </a:ext>
          </a:extLst>
        </xdr:cNvPr>
        <xdr:cNvSpPr txBox="1"/>
      </xdr:nvSpPr>
      <xdr:spPr>
        <a:xfrm>
          <a:off x="1889125" y="64982725"/>
          <a:ext cx="5600700" cy="30978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pAutoFit/>
        </a:bodyPr>
        <a:lstStyle/>
        <a:p>
          <a:r>
            <a:rPr lang="en-US" sz="9600" b="0" i="0" baseline="0">
              <a:ln>
                <a:solidFill>
                  <a:srgbClr val="FF0000"/>
                </a:solidFill>
                <a:prstDash val="dash"/>
              </a:ln>
              <a:noFill/>
              <a:effectLst>
                <a:outerShdw blurRad="63500" dir="3600000" algn="tl" rotWithShape="0">
                  <a:srgbClr val="000000">
                    <a:alpha val="70000"/>
                  </a:srgbClr>
                </a:outerShdw>
              </a:effectLst>
              <a:latin typeface="+mn-lt"/>
              <a:ea typeface="+mn-ea"/>
              <a:cs typeface="+mn-cs"/>
            </a:rPr>
            <a:t>TR=1E-06</a:t>
          </a:r>
        </a:p>
        <a:p>
          <a:r>
            <a:rPr lang="en-US" sz="9600" b="0" i="0" baseline="0">
              <a:ln>
                <a:solidFill>
                  <a:srgbClr val="FF0000"/>
                </a:solidFill>
                <a:prstDash val="dash"/>
              </a:ln>
              <a:noFill/>
              <a:effectLst>
                <a:outerShdw blurRad="63500" dir="3600000" algn="tl" rotWithShape="0">
                  <a:srgbClr val="000000">
                    <a:alpha val="70000"/>
                  </a:srgbClr>
                </a:outerShdw>
              </a:effectLst>
              <a:latin typeface="+mn-lt"/>
              <a:ea typeface="+mn-ea"/>
              <a:cs typeface="+mn-cs"/>
            </a:rPr>
            <a:t>THQ=1.0</a:t>
          </a:r>
          <a:endParaRPr lang="en-US" sz="800">
            <a:ln>
              <a:solidFill>
                <a:srgbClr val="FF0000"/>
              </a:solidFill>
              <a:prstDash val="dash"/>
            </a:ln>
            <a:noFill/>
          </a:endParaRPr>
        </a:p>
      </xdr:txBody>
    </xdr:sp>
    <xdr:clientData/>
  </xdr:oneCellAnchor>
  <xdr:oneCellAnchor>
    <xdr:from>
      <xdr:col>6</xdr:col>
      <xdr:colOff>222250</xdr:colOff>
      <xdr:row>406</xdr:row>
      <xdr:rowOff>57150</xdr:rowOff>
    </xdr:from>
    <xdr:ext cx="5600700" cy="3097899"/>
    <xdr:sp macro="" textlink="">
      <xdr:nvSpPr>
        <xdr:cNvPr id="19" name="TextBox 18">
          <a:extLst>
            <a:ext uri="{FF2B5EF4-FFF2-40B4-BE49-F238E27FC236}">
              <a16:creationId xmlns:a16="http://schemas.microsoft.com/office/drawing/2014/main" id="{00000000-0008-0000-0C00-000013000000}"/>
            </a:ext>
          </a:extLst>
        </xdr:cNvPr>
        <xdr:cNvSpPr txBox="1"/>
      </xdr:nvSpPr>
      <xdr:spPr>
        <a:xfrm>
          <a:off x="1841500" y="79524225"/>
          <a:ext cx="5600700" cy="30978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pAutoFit/>
        </a:bodyPr>
        <a:lstStyle/>
        <a:p>
          <a:r>
            <a:rPr lang="en-US" sz="9600" b="0" i="0" baseline="0">
              <a:ln>
                <a:solidFill>
                  <a:srgbClr val="FF0000"/>
                </a:solidFill>
                <a:prstDash val="dash"/>
              </a:ln>
              <a:noFill/>
              <a:effectLst>
                <a:outerShdw blurRad="63500" dir="3600000" algn="tl" rotWithShape="0">
                  <a:srgbClr val="000000">
                    <a:alpha val="70000"/>
                  </a:srgbClr>
                </a:outerShdw>
              </a:effectLst>
              <a:latin typeface="+mn-lt"/>
              <a:ea typeface="+mn-ea"/>
              <a:cs typeface="+mn-cs"/>
            </a:rPr>
            <a:t>TR=1E-06</a:t>
          </a:r>
        </a:p>
        <a:p>
          <a:r>
            <a:rPr lang="en-US" sz="9600" b="0" i="0" baseline="0">
              <a:ln>
                <a:solidFill>
                  <a:srgbClr val="FF0000"/>
                </a:solidFill>
                <a:prstDash val="dash"/>
              </a:ln>
              <a:noFill/>
              <a:effectLst>
                <a:outerShdw blurRad="63500" dir="3600000" algn="tl" rotWithShape="0">
                  <a:srgbClr val="000000">
                    <a:alpha val="70000"/>
                  </a:srgbClr>
                </a:outerShdw>
              </a:effectLst>
              <a:latin typeface="+mn-lt"/>
              <a:ea typeface="+mn-ea"/>
              <a:cs typeface="+mn-cs"/>
            </a:rPr>
            <a:t>THQ=1.0</a:t>
          </a:r>
          <a:endParaRPr lang="en-US" sz="800">
            <a:ln>
              <a:solidFill>
                <a:srgbClr val="FF0000"/>
              </a:solidFill>
              <a:prstDash val="dash"/>
            </a:ln>
            <a:noFill/>
          </a:endParaRPr>
        </a:p>
      </xdr:txBody>
    </xdr:sp>
    <xdr:clientData/>
  </xdr:oneCellAnchor>
  <xdr:oneCellAnchor>
    <xdr:from>
      <xdr:col>6</xdr:col>
      <xdr:colOff>222250</xdr:colOff>
      <xdr:row>482</xdr:row>
      <xdr:rowOff>41275</xdr:rowOff>
    </xdr:from>
    <xdr:ext cx="5600700" cy="3097899"/>
    <xdr:sp macro="" textlink="">
      <xdr:nvSpPr>
        <xdr:cNvPr id="20" name="TextBox 19">
          <a:extLst>
            <a:ext uri="{FF2B5EF4-FFF2-40B4-BE49-F238E27FC236}">
              <a16:creationId xmlns:a16="http://schemas.microsoft.com/office/drawing/2014/main" id="{00000000-0008-0000-0C00-000014000000}"/>
            </a:ext>
          </a:extLst>
        </xdr:cNvPr>
        <xdr:cNvSpPr txBox="1"/>
      </xdr:nvSpPr>
      <xdr:spPr>
        <a:xfrm>
          <a:off x="1841500" y="94224475"/>
          <a:ext cx="5600700" cy="30978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pAutoFit/>
        </a:bodyPr>
        <a:lstStyle/>
        <a:p>
          <a:r>
            <a:rPr lang="en-US" sz="9600" b="0" i="0" baseline="0">
              <a:ln>
                <a:solidFill>
                  <a:srgbClr val="FF0000"/>
                </a:solidFill>
                <a:prstDash val="dash"/>
              </a:ln>
              <a:noFill/>
              <a:effectLst>
                <a:outerShdw blurRad="63500" dir="3600000" algn="tl" rotWithShape="0">
                  <a:srgbClr val="000000">
                    <a:alpha val="70000"/>
                  </a:srgbClr>
                </a:outerShdw>
              </a:effectLst>
              <a:latin typeface="+mn-lt"/>
              <a:ea typeface="+mn-ea"/>
              <a:cs typeface="+mn-cs"/>
            </a:rPr>
            <a:t>TR=1E-06</a:t>
          </a:r>
        </a:p>
        <a:p>
          <a:r>
            <a:rPr lang="en-US" sz="9600" b="0" i="0" baseline="0">
              <a:ln>
                <a:solidFill>
                  <a:srgbClr val="FF0000"/>
                </a:solidFill>
                <a:prstDash val="dash"/>
              </a:ln>
              <a:noFill/>
              <a:effectLst>
                <a:outerShdw blurRad="63500" dir="3600000" algn="tl" rotWithShape="0">
                  <a:srgbClr val="000000">
                    <a:alpha val="70000"/>
                  </a:srgbClr>
                </a:outerShdw>
              </a:effectLst>
              <a:latin typeface="+mn-lt"/>
              <a:ea typeface="+mn-ea"/>
              <a:cs typeface="+mn-cs"/>
            </a:rPr>
            <a:t>THQ=1.0</a:t>
          </a:r>
          <a:endParaRPr lang="en-US" sz="800">
            <a:ln>
              <a:solidFill>
                <a:srgbClr val="FF0000"/>
              </a:solidFill>
              <a:prstDash val="dash"/>
            </a:ln>
            <a:noFill/>
          </a:endParaRPr>
        </a:p>
      </xdr:txBody>
    </xdr:sp>
    <xdr:clientData/>
  </xdr:oneCellAnchor>
  <xdr:oneCellAnchor>
    <xdr:from>
      <xdr:col>6</xdr:col>
      <xdr:colOff>222250</xdr:colOff>
      <xdr:row>558</xdr:row>
      <xdr:rowOff>104775</xdr:rowOff>
    </xdr:from>
    <xdr:ext cx="5600700" cy="3097899"/>
    <xdr:sp macro="" textlink="">
      <xdr:nvSpPr>
        <xdr:cNvPr id="21" name="TextBox 20">
          <a:extLst>
            <a:ext uri="{FF2B5EF4-FFF2-40B4-BE49-F238E27FC236}">
              <a16:creationId xmlns:a16="http://schemas.microsoft.com/office/drawing/2014/main" id="{00000000-0008-0000-0C00-000015000000}"/>
            </a:ext>
          </a:extLst>
        </xdr:cNvPr>
        <xdr:cNvSpPr txBox="1"/>
      </xdr:nvSpPr>
      <xdr:spPr>
        <a:xfrm>
          <a:off x="1841500" y="109013625"/>
          <a:ext cx="5600700" cy="30978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pAutoFit/>
        </a:bodyPr>
        <a:lstStyle/>
        <a:p>
          <a:r>
            <a:rPr lang="en-US" sz="9600" b="0" i="0" baseline="0">
              <a:ln>
                <a:solidFill>
                  <a:srgbClr val="FF0000"/>
                </a:solidFill>
                <a:prstDash val="dash"/>
              </a:ln>
              <a:noFill/>
              <a:effectLst>
                <a:outerShdw blurRad="63500" dir="3600000" algn="tl" rotWithShape="0">
                  <a:srgbClr val="000000">
                    <a:alpha val="70000"/>
                  </a:srgbClr>
                </a:outerShdw>
              </a:effectLst>
              <a:latin typeface="+mn-lt"/>
              <a:ea typeface="+mn-ea"/>
              <a:cs typeface="+mn-cs"/>
            </a:rPr>
            <a:t>TR=1E-06</a:t>
          </a:r>
        </a:p>
        <a:p>
          <a:r>
            <a:rPr lang="en-US" sz="9600" b="0" i="0" baseline="0">
              <a:ln>
                <a:solidFill>
                  <a:srgbClr val="FF0000"/>
                </a:solidFill>
                <a:prstDash val="dash"/>
              </a:ln>
              <a:noFill/>
              <a:effectLst>
                <a:outerShdw blurRad="63500" dir="3600000" algn="tl" rotWithShape="0">
                  <a:srgbClr val="000000">
                    <a:alpha val="70000"/>
                  </a:srgbClr>
                </a:outerShdw>
              </a:effectLst>
              <a:latin typeface="+mn-lt"/>
              <a:ea typeface="+mn-ea"/>
              <a:cs typeface="+mn-cs"/>
            </a:rPr>
            <a:t>THQ=1.0</a:t>
          </a:r>
          <a:endParaRPr lang="en-US" sz="800">
            <a:ln>
              <a:solidFill>
                <a:srgbClr val="FF0000"/>
              </a:solidFill>
              <a:prstDash val="dash"/>
            </a:ln>
            <a:noFill/>
          </a:endParaRPr>
        </a:p>
      </xdr:txBody>
    </xdr:sp>
    <xdr:clientData/>
  </xdr:oneCellAnchor>
  <xdr:oneCellAnchor>
    <xdr:from>
      <xdr:col>6</xdr:col>
      <xdr:colOff>355600</xdr:colOff>
      <xdr:row>631</xdr:row>
      <xdr:rowOff>152400</xdr:rowOff>
    </xdr:from>
    <xdr:ext cx="5600700" cy="3097899"/>
    <xdr:sp macro="" textlink="">
      <xdr:nvSpPr>
        <xdr:cNvPr id="22" name="TextBox 21">
          <a:extLst>
            <a:ext uri="{FF2B5EF4-FFF2-40B4-BE49-F238E27FC236}">
              <a16:creationId xmlns:a16="http://schemas.microsoft.com/office/drawing/2014/main" id="{00000000-0008-0000-0C00-000016000000}"/>
            </a:ext>
          </a:extLst>
        </xdr:cNvPr>
        <xdr:cNvSpPr txBox="1"/>
      </xdr:nvSpPr>
      <xdr:spPr>
        <a:xfrm>
          <a:off x="1974850" y="123196350"/>
          <a:ext cx="5600700" cy="30978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pAutoFit/>
        </a:bodyPr>
        <a:lstStyle/>
        <a:p>
          <a:r>
            <a:rPr lang="en-US" sz="9600" b="0" i="0" baseline="0">
              <a:ln>
                <a:solidFill>
                  <a:srgbClr val="FF0000"/>
                </a:solidFill>
                <a:prstDash val="dash"/>
              </a:ln>
              <a:noFill/>
              <a:effectLst>
                <a:outerShdw blurRad="63500" dir="3600000" algn="tl" rotWithShape="0">
                  <a:srgbClr val="000000">
                    <a:alpha val="70000"/>
                  </a:srgbClr>
                </a:outerShdw>
              </a:effectLst>
              <a:latin typeface="+mn-lt"/>
              <a:ea typeface="+mn-ea"/>
              <a:cs typeface="+mn-cs"/>
            </a:rPr>
            <a:t>TR=1E-06</a:t>
          </a:r>
        </a:p>
        <a:p>
          <a:r>
            <a:rPr lang="en-US" sz="9600" b="0" i="0" baseline="0">
              <a:ln>
                <a:solidFill>
                  <a:srgbClr val="FF0000"/>
                </a:solidFill>
                <a:prstDash val="dash"/>
              </a:ln>
              <a:noFill/>
              <a:effectLst>
                <a:outerShdw blurRad="63500" dir="3600000" algn="tl" rotWithShape="0">
                  <a:srgbClr val="000000">
                    <a:alpha val="70000"/>
                  </a:srgbClr>
                </a:outerShdw>
              </a:effectLst>
              <a:latin typeface="+mn-lt"/>
              <a:ea typeface="+mn-ea"/>
              <a:cs typeface="+mn-cs"/>
            </a:rPr>
            <a:t>THQ=1.0</a:t>
          </a:r>
          <a:endParaRPr lang="en-US" sz="800">
            <a:ln>
              <a:solidFill>
                <a:srgbClr val="FF0000"/>
              </a:solidFill>
              <a:prstDash val="dash"/>
            </a:ln>
            <a:noFill/>
          </a:endParaRPr>
        </a:p>
      </xdr:txBody>
    </xdr:sp>
    <xdr:clientData/>
  </xdr:oneCellAnchor>
  <xdr:oneCellAnchor>
    <xdr:from>
      <xdr:col>6</xdr:col>
      <xdr:colOff>238125</xdr:colOff>
      <xdr:row>707</xdr:row>
      <xdr:rowOff>73025</xdr:rowOff>
    </xdr:from>
    <xdr:ext cx="5600700" cy="3097899"/>
    <xdr:sp macro="" textlink="">
      <xdr:nvSpPr>
        <xdr:cNvPr id="23" name="TextBox 22">
          <a:extLst>
            <a:ext uri="{FF2B5EF4-FFF2-40B4-BE49-F238E27FC236}">
              <a16:creationId xmlns:a16="http://schemas.microsoft.com/office/drawing/2014/main" id="{00000000-0008-0000-0C00-000017000000}"/>
            </a:ext>
          </a:extLst>
        </xdr:cNvPr>
        <xdr:cNvSpPr txBox="1"/>
      </xdr:nvSpPr>
      <xdr:spPr>
        <a:xfrm>
          <a:off x="1857375" y="137833100"/>
          <a:ext cx="5600700" cy="30978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pAutoFit/>
        </a:bodyPr>
        <a:lstStyle/>
        <a:p>
          <a:r>
            <a:rPr lang="en-US" sz="9600" b="0" i="0" baseline="0">
              <a:ln>
                <a:solidFill>
                  <a:srgbClr val="FF0000"/>
                </a:solidFill>
                <a:prstDash val="dash"/>
              </a:ln>
              <a:noFill/>
              <a:effectLst>
                <a:outerShdw blurRad="63500" dir="3600000" algn="tl" rotWithShape="0">
                  <a:srgbClr val="000000">
                    <a:alpha val="70000"/>
                  </a:srgbClr>
                </a:outerShdw>
              </a:effectLst>
              <a:latin typeface="+mn-lt"/>
              <a:ea typeface="+mn-ea"/>
              <a:cs typeface="+mn-cs"/>
            </a:rPr>
            <a:t>TR=1E-06</a:t>
          </a:r>
        </a:p>
        <a:p>
          <a:r>
            <a:rPr lang="en-US" sz="9600" b="0" i="0" baseline="0">
              <a:ln>
                <a:solidFill>
                  <a:srgbClr val="FF0000"/>
                </a:solidFill>
                <a:prstDash val="dash"/>
              </a:ln>
              <a:noFill/>
              <a:effectLst>
                <a:outerShdw blurRad="63500" dir="3600000" algn="tl" rotWithShape="0">
                  <a:srgbClr val="000000">
                    <a:alpha val="70000"/>
                  </a:srgbClr>
                </a:outerShdw>
              </a:effectLst>
              <a:latin typeface="+mn-lt"/>
              <a:ea typeface="+mn-ea"/>
              <a:cs typeface="+mn-cs"/>
            </a:rPr>
            <a:t>THQ=1.0</a:t>
          </a:r>
          <a:endParaRPr lang="en-US" sz="800">
            <a:ln>
              <a:solidFill>
                <a:srgbClr val="FF0000"/>
              </a:solidFill>
              <a:prstDash val="dash"/>
            </a:ln>
            <a:noFill/>
          </a:endParaRPr>
        </a:p>
      </xdr:txBody>
    </xdr:sp>
    <xdr:clientData/>
  </xdr:oneCellAnchor>
  <xdr:oneCellAnchor>
    <xdr:from>
      <xdr:col>6</xdr:col>
      <xdr:colOff>190500</xdr:colOff>
      <xdr:row>760</xdr:row>
      <xdr:rowOff>120650</xdr:rowOff>
    </xdr:from>
    <xdr:ext cx="5600700" cy="3097899"/>
    <xdr:sp macro="" textlink="">
      <xdr:nvSpPr>
        <xdr:cNvPr id="24" name="TextBox 23">
          <a:extLst>
            <a:ext uri="{FF2B5EF4-FFF2-40B4-BE49-F238E27FC236}">
              <a16:creationId xmlns:a16="http://schemas.microsoft.com/office/drawing/2014/main" id="{00000000-0008-0000-0C00-000018000000}"/>
            </a:ext>
          </a:extLst>
        </xdr:cNvPr>
        <xdr:cNvSpPr txBox="1"/>
      </xdr:nvSpPr>
      <xdr:spPr>
        <a:xfrm>
          <a:off x="1809750" y="148148675"/>
          <a:ext cx="5600700" cy="30978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pAutoFit/>
        </a:bodyPr>
        <a:lstStyle/>
        <a:p>
          <a:r>
            <a:rPr lang="en-US" sz="9600" b="0" i="0" baseline="0">
              <a:ln>
                <a:solidFill>
                  <a:srgbClr val="FF0000"/>
                </a:solidFill>
                <a:prstDash val="dash"/>
              </a:ln>
              <a:noFill/>
              <a:effectLst>
                <a:outerShdw blurRad="63500" dir="3600000" algn="tl" rotWithShape="0">
                  <a:srgbClr val="000000">
                    <a:alpha val="70000"/>
                  </a:srgbClr>
                </a:outerShdw>
              </a:effectLst>
              <a:latin typeface="+mn-lt"/>
              <a:ea typeface="+mn-ea"/>
              <a:cs typeface="+mn-cs"/>
            </a:rPr>
            <a:t>TR=1E-06</a:t>
          </a:r>
        </a:p>
        <a:p>
          <a:r>
            <a:rPr lang="en-US" sz="9600" b="0" i="0" baseline="0">
              <a:ln>
                <a:solidFill>
                  <a:srgbClr val="FF0000"/>
                </a:solidFill>
                <a:prstDash val="dash"/>
              </a:ln>
              <a:noFill/>
              <a:effectLst>
                <a:outerShdw blurRad="63500" dir="3600000" algn="tl" rotWithShape="0">
                  <a:srgbClr val="000000">
                    <a:alpha val="70000"/>
                  </a:srgbClr>
                </a:outerShdw>
              </a:effectLst>
              <a:latin typeface="+mn-lt"/>
              <a:ea typeface="+mn-ea"/>
              <a:cs typeface="+mn-cs"/>
            </a:rPr>
            <a:t>THQ=1.0</a:t>
          </a:r>
          <a:endParaRPr lang="en-US" sz="800">
            <a:ln>
              <a:solidFill>
                <a:srgbClr val="FF0000"/>
              </a:solidFill>
              <a:prstDash val="dash"/>
            </a:ln>
            <a:noFill/>
          </a:endParaRPr>
        </a:p>
      </xdr:txBody>
    </xdr:sp>
    <xdr:clientData/>
  </xdr:oneCellAnchor>
  <xdr:oneCellAnchor>
    <xdr:from>
      <xdr:col>0</xdr:col>
      <xdr:colOff>1361</xdr:colOff>
      <xdr:row>25</xdr:row>
      <xdr:rowOff>38100</xdr:rowOff>
    </xdr:from>
    <xdr:ext cx="5640212" cy="3107037"/>
    <xdr:sp macro="" textlink="">
      <xdr:nvSpPr>
        <xdr:cNvPr id="38" name="TextBox 37">
          <a:extLst>
            <a:ext uri="{FF2B5EF4-FFF2-40B4-BE49-F238E27FC236}">
              <a16:creationId xmlns:a16="http://schemas.microsoft.com/office/drawing/2014/main" id="{00000000-0008-0000-0C00-000026000000}"/>
            </a:ext>
          </a:extLst>
        </xdr:cNvPr>
        <xdr:cNvSpPr txBox="1"/>
      </xdr:nvSpPr>
      <xdr:spPr>
        <a:xfrm>
          <a:off x="5213441" y="5113020"/>
          <a:ext cx="5640212" cy="31070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pAutoFit/>
        </a:bodyPr>
        <a:lstStyle/>
        <a:p>
          <a:r>
            <a:rPr lang="en-US" sz="9600" b="0" i="0" baseline="0">
              <a:ln>
                <a:solidFill>
                  <a:srgbClr val="FF0000"/>
                </a:solidFill>
                <a:prstDash val="dash"/>
              </a:ln>
              <a:noFill/>
              <a:effectLst>
                <a:outerShdw blurRad="63500" dir="3600000" algn="tl" rotWithShape="0">
                  <a:srgbClr val="000000">
                    <a:alpha val="70000"/>
                  </a:srgbClr>
                </a:outerShdw>
              </a:effectLst>
              <a:latin typeface="+mn-lt"/>
              <a:ea typeface="+mn-ea"/>
              <a:cs typeface="+mn-cs"/>
            </a:rPr>
            <a:t>TR=1E-06</a:t>
          </a:r>
        </a:p>
        <a:p>
          <a:r>
            <a:rPr lang="en-US" sz="9600" b="0" i="0" baseline="0">
              <a:ln>
                <a:solidFill>
                  <a:srgbClr val="FF0000"/>
                </a:solidFill>
                <a:prstDash val="dash"/>
              </a:ln>
              <a:noFill/>
              <a:effectLst>
                <a:outerShdw blurRad="63500" dir="3600000" algn="tl" rotWithShape="0">
                  <a:srgbClr val="000000">
                    <a:alpha val="70000"/>
                  </a:srgbClr>
                </a:outerShdw>
              </a:effectLst>
              <a:latin typeface="+mn-lt"/>
              <a:ea typeface="+mn-ea"/>
              <a:cs typeface="+mn-cs"/>
            </a:rPr>
            <a:t>THQ=1.0</a:t>
          </a:r>
          <a:endParaRPr lang="en-US" sz="800">
            <a:ln>
              <a:solidFill>
                <a:srgbClr val="FF0000"/>
              </a:solidFill>
              <a:prstDash val="dash"/>
            </a:ln>
            <a:noFill/>
          </a:endParaRPr>
        </a:p>
      </xdr:txBody>
    </xdr:sp>
    <xdr:clientData/>
  </xdr:oneCellAnchor>
  <xdr:oneCellAnchor>
    <xdr:from>
      <xdr:col>0</xdr:col>
      <xdr:colOff>12700</xdr:colOff>
      <xdr:row>92</xdr:row>
      <xdr:rowOff>38735</xdr:rowOff>
    </xdr:from>
    <xdr:ext cx="5625376" cy="3089976"/>
    <xdr:sp macro="" textlink="">
      <xdr:nvSpPr>
        <xdr:cNvPr id="39" name="TextBox 38">
          <a:extLst>
            <a:ext uri="{FF2B5EF4-FFF2-40B4-BE49-F238E27FC236}">
              <a16:creationId xmlns:a16="http://schemas.microsoft.com/office/drawing/2014/main" id="{00000000-0008-0000-0C00-000027000000}"/>
            </a:ext>
          </a:extLst>
        </xdr:cNvPr>
        <xdr:cNvSpPr txBox="1"/>
      </xdr:nvSpPr>
      <xdr:spPr>
        <a:xfrm>
          <a:off x="5224780" y="17534255"/>
          <a:ext cx="5625376" cy="30899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pAutoFit/>
        </a:bodyPr>
        <a:lstStyle/>
        <a:p>
          <a:r>
            <a:rPr lang="en-US" sz="9600" b="0" i="0" baseline="0">
              <a:ln>
                <a:solidFill>
                  <a:srgbClr val="FF0000"/>
                </a:solidFill>
                <a:prstDash val="dash"/>
              </a:ln>
              <a:noFill/>
              <a:effectLst>
                <a:outerShdw blurRad="63500" dir="3600000" algn="tl" rotWithShape="0">
                  <a:srgbClr val="000000">
                    <a:alpha val="70000"/>
                  </a:srgbClr>
                </a:outerShdw>
              </a:effectLst>
              <a:latin typeface="+mn-lt"/>
              <a:ea typeface="+mn-ea"/>
              <a:cs typeface="+mn-cs"/>
            </a:rPr>
            <a:t>TR=1E-06</a:t>
          </a:r>
        </a:p>
        <a:p>
          <a:r>
            <a:rPr lang="en-US" sz="9600" b="0" i="0" baseline="0">
              <a:ln>
                <a:solidFill>
                  <a:srgbClr val="FF0000"/>
                </a:solidFill>
                <a:prstDash val="dash"/>
              </a:ln>
              <a:noFill/>
              <a:effectLst>
                <a:outerShdw blurRad="63500" dir="3600000" algn="tl" rotWithShape="0">
                  <a:srgbClr val="000000">
                    <a:alpha val="70000"/>
                  </a:srgbClr>
                </a:outerShdw>
              </a:effectLst>
              <a:latin typeface="+mn-lt"/>
              <a:ea typeface="+mn-ea"/>
              <a:cs typeface="+mn-cs"/>
            </a:rPr>
            <a:t>THQ=1.0</a:t>
          </a:r>
          <a:endParaRPr lang="en-US" sz="800">
            <a:ln>
              <a:solidFill>
                <a:srgbClr val="FF0000"/>
              </a:solidFill>
              <a:prstDash val="dash"/>
            </a:ln>
            <a:noFill/>
          </a:endParaRPr>
        </a:p>
      </xdr:txBody>
    </xdr:sp>
    <xdr:clientData/>
  </xdr:oneCellAnchor>
  <xdr:oneCellAnchor>
    <xdr:from>
      <xdr:col>0</xdr:col>
      <xdr:colOff>12700</xdr:colOff>
      <xdr:row>156</xdr:row>
      <xdr:rowOff>179705</xdr:rowOff>
    </xdr:from>
    <xdr:ext cx="5625376" cy="3105883"/>
    <xdr:sp macro="" textlink="">
      <xdr:nvSpPr>
        <xdr:cNvPr id="40" name="TextBox 39">
          <a:extLst>
            <a:ext uri="{FF2B5EF4-FFF2-40B4-BE49-F238E27FC236}">
              <a16:creationId xmlns:a16="http://schemas.microsoft.com/office/drawing/2014/main" id="{00000000-0008-0000-0C00-000028000000}"/>
            </a:ext>
          </a:extLst>
        </xdr:cNvPr>
        <xdr:cNvSpPr txBox="1"/>
      </xdr:nvSpPr>
      <xdr:spPr>
        <a:xfrm>
          <a:off x="5224780" y="29539565"/>
          <a:ext cx="5625376" cy="31058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pAutoFit/>
        </a:bodyPr>
        <a:lstStyle/>
        <a:p>
          <a:r>
            <a:rPr lang="en-US" sz="9600" b="0" i="0" baseline="0">
              <a:ln>
                <a:solidFill>
                  <a:srgbClr val="FF0000"/>
                </a:solidFill>
                <a:prstDash val="dash"/>
              </a:ln>
              <a:noFill/>
              <a:effectLst>
                <a:outerShdw blurRad="63500" dir="3600000" algn="tl" rotWithShape="0">
                  <a:srgbClr val="000000">
                    <a:alpha val="70000"/>
                  </a:srgbClr>
                </a:outerShdw>
              </a:effectLst>
              <a:latin typeface="+mn-lt"/>
              <a:ea typeface="+mn-ea"/>
              <a:cs typeface="+mn-cs"/>
            </a:rPr>
            <a:t>TR=1E-06</a:t>
          </a:r>
        </a:p>
        <a:p>
          <a:pPr>
            <a:lnSpc>
              <a:spcPts val="11600"/>
            </a:lnSpc>
          </a:pPr>
          <a:r>
            <a:rPr lang="en-US" sz="9600" b="0" i="0" baseline="0">
              <a:ln>
                <a:solidFill>
                  <a:srgbClr val="FF0000"/>
                </a:solidFill>
                <a:prstDash val="dash"/>
              </a:ln>
              <a:noFill/>
              <a:effectLst>
                <a:outerShdw blurRad="63500" dir="3600000" algn="tl" rotWithShape="0">
                  <a:srgbClr val="000000">
                    <a:alpha val="70000"/>
                  </a:srgbClr>
                </a:outerShdw>
              </a:effectLst>
              <a:latin typeface="+mn-lt"/>
              <a:ea typeface="+mn-ea"/>
              <a:cs typeface="+mn-cs"/>
            </a:rPr>
            <a:t>THQ=1.0</a:t>
          </a:r>
          <a:endParaRPr lang="en-US" sz="800">
            <a:ln>
              <a:solidFill>
                <a:srgbClr val="FF0000"/>
              </a:solidFill>
              <a:prstDash val="dash"/>
            </a:ln>
            <a:noFill/>
          </a:endParaRPr>
        </a:p>
      </xdr:txBody>
    </xdr:sp>
    <xdr:clientData/>
  </xdr:oneCellAnchor>
  <xdr:oneCellAnchor>
    <xdr:from>
      <xdr:col>0</xdr:col>
      <xdr:colOff>12700</xdr:colOff>
      <xdr:row>222</xdr:row>
      <xdr:rowOff>29210</xdr:rowOff>
    </xdr:from>
    <xdr:ext cx="5625376" cy="3097899"/>
    <xdr:sp macro="" textlink="">
      <xdr:nvSpPr>
        <xdr:cNvPr id="41" name="TextBox 40">
          <a:extLst>
            <a:ext uri="{FF2B5EF4-FFF2-40B4-BE49-F238E27FC236}">
              <a16:creationId xmlns:a16="http://schemas.microsoft.com/office/drawing/2014/main" id="{00000000-0008-0000-0C00-000029000000}"/>
            </a:ext>
          </a:extLst>
        </xdr:cNvPr>
        <xdr:cNvSpPr txBox="1"/>
      </xdr:nvSpPr>
      <xdr:spPr>
        <a:xfrm>
          <a:off x="5224780" y="41626790"/>
          <a:ext cx="5625376" cy="30978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pAutoFit/>
        </a:bodyPr>
        <a:lstStyle/>
        <a:p>
          <a:r>
            <a:rPr lang="en-US" sz="9600" b="0" i="0" baseline="0">
              <a:ln>
                <a:solidFill>
                  <a:srgbClr val="FF0000"/>
                </a:solidFill>
                <a:prstDash val="dash"/>
              </a:ln>
              <a:noFill/>
              <a:effectLst>
                <a:outerShdw blurRad="63500" dir="3600000" algn="tl" rotWithShape="0">
                  <a:srgbClr val="000000">
                    <a:alpha val="70000"/>
                  </a:srgbClr>
                </a:outerShdw>
              </a:effectLst>
              <a:latin typeface="+mn-lt"/>
              <a:ea typeface="+mn-ea"/>
              <a:cs typeface="+mn-cs"/>
            </a:rPr>
            <a:t>TR=1E-06</a:t>
          </a:r>
        </a:p>
        <a:p>
          <a:pPr>
            <a:lnSpc>
              <a:spcPts val="11600"/>
            </a:lnSpc>
          </a:pPr>
          <a:r>
            <a:rPr lang="en-US" sz="9600" b="0" i="0" baseline="0">
              <a:ln>
                <a:solidFill>
                  <a:srgbClr val="FF0000"/>
                </a:solidFill>
                <a:prstDash val="dash"/>
              </a:ln>
              <a:noFill/>
              <a:effectLst>
                <a:outerShdw blurRad="63500" dir="3600000" algn="tl" rotWithShape="0">
                  <a:srgbClr val="000000">
                    <a:alpha val="70000"/>
                  </a:srgbClr>
                </a:outerShdw>
              </a:effectLst>
              <a:latin typeface="+mn-lt"/>
              <a:ea typeface="+mn-ea"/>
              <a:cs typeface="+mn-cs"/>
            </a:rPr>
            <a:t>THQ=1.0</a:t>
          </a:r>
          <a:endParaRPr lang="en-US" sz="800">
            <a:ln>
              <a:solidFill>
                <a:srgbClr val="FF0000"/>
              </a:solidFill>
              <a:prstDash val="dash"/>
            </a:ln>
            <a:noFill/>
          </a:endParaRPr>
        </a:p>
      </xdr:txBody>
    </xdr:sp>
    <xdr:clientData/>
  </xdr:oneCellAnchor>
  <xdr:oneCellAnchor>
    <xdr:from>
      <xdr:col>0</xdr:col>
      <xdr:colOff>0</xdr:colOff>
      <xdr:row>287</xdr:row>
      <xdr:rowOff>90170</xdr:rowOff>
    </xdr:from>
    <xdr:ext cx="5625376" cy="3122985"/>
    <xdr:sp macro="" textlink="">
      <xdr:nvSpPr>
        <xdr:cNvPr id="42" name="TextBox 41">
          <a:extLst>
            <a:ext uri="{FF2B5EF4-FFF2-40B4-BE49-F238E27FC236}">
              <a16:creationId xmlns:a16="http://schemas.microsoft.com/office/drawing/2014/main" id="{00000000-0008-0000-0C00-00002A000000}"/>
            </a:ext>
          </a:extLst>
        </xdr:cNvPr>
        <xdr:cNvSpPr txBox="1"/>
      </xdr:nvSpPr>
      <xdr:spPr>
        <a:xfrm>
          <a:off x="5212080" y="53742590"/>
          <a:ext cx="5625376" cy="31229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pAutoFit/>
        </a:bodyPr>
        <a:lstStyle/>
        <a:p>
          <a:r>
            <a:rPr lang="en-US" sz="9600" b="0" i="0" baseline="0">
              <a:ln>
                <a:solidFill>
                  <a:srgbClr val="FF0000"/>
                </a:solidFill>
                <a:prstDash val="dash"/>
              </a:ln>
              <a:noFill/>
              <a:effectLst>
                <a:outerShdw blurRad="63500" dir="3600000" algn="tl" rotWithShape="0">
                  <a:srgbClr val="000000">
                    <a:alpha val="70000"/>
                  </a:srgbClr>
                </a:outerShdw>
              </a:effectLst>
              <a:latin typeface="+mn-lt"/>
              <a:ea typeface="+mn-ea"/>
              <a:cs typeface="+mn-cs"/>
            </a:rPr>
            <a:t>TR=1E-06</a:t>
          </a:r>
        </a:p>
        <a:p>
          <a:r>
            <a:rPr lang="en-US" sz="9600" b="0" i="0" baseline="0">
              <a:ln>
                <a:solidFill>
                  <a:srgbClr val="FF0000"/>
                </a:solidFill>
                <a:prstDash val="dash"/>
              </a:ln>
              <a:noFill/>
              <a:effectLst>
                <a:outerShdw blurRad="63500" dir="3600000" algn="tl" rotWithShape="0">
                  <a:srgbClr val="000000">
                    <a:alpha val="70000"/>
                  </a:srgbClr>
                </a:outerShdw>
              </a:effectLst>
              <a:latin typeface="+mn-lt"/>
              <a:ea typeface="+mn-ea"/>
              <a:cs typeface="+mn-cs"/>
            </a:rPr>
            <a:t>THQ=1.0</a:t>
          </a:r>
          <a:endParaRPr lang="en-US" sz="800">
            <a:ln>
              <a:solidFill>
                <a:srgbClr val="FF0000"/>
              </a:solidFill>
              <a:prstDash val="dash"/>
            </a:ln>
            <a:noFill/>
          </a:endParaRPr>
        </a:p>
      </xdr:txBody>
    </xdr:sp>
    <xdr:clientData/>
  </xdr:oneCellAnchor>
  <xdr:oneCellAnchor>
    <xdr:from>
      <xdr:col>0</xdr:col>
      <xdr:colOff>73974</xdr:colOff>
      <xdr:row>351</xdr:row>
      <xdr:rowOff>136188</xdr:rowOff>
    </xdr:from>
    <xdr:ext cx="5311926" cy="3105883"/>
    <xdr:sp macro="" textlink="">
      <xdr:nvSpPr>
        <xdr:cNvPr id="43" name="TextBox 42">
          <a:extLst>
            <a:ext uri="{FF2B5EF4-FFF2-40B4-BE49-F238E27FC236}">
              <a16:creationId xmlns:a16="http://schemas.microsoft.com/office/drawing/2014/main" id="{00000000-0008-0000-0C00-00002B000000}"/>
            </a:ext>
          </a:extLst>
        </xdr:cNvPr>
        <xdr:cNvSpPr txBox="1"/>
      </xdr:nvSpPr>
      <xdr:spPr>
        <a:xfrm>
          <a:off x="5286054" y="65652948"/>
          <a:ext cx="5311926" cy="31058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pAutoFit/>
        </a:bodyPr>
        <a:lstStyle/>
        <a:p>
          <a:r>
            <a:rPr lang="en-US" sz="9600" b="0" i="0" baseline="0">
              <a:ln>
                <a:solidFill>
                  <a:srgbClr val="FF0000"/>
                </a:solidFill>
                <a:prstDash val="dash"/>
              </a:ln>
              <a:noFill/>
              <a:effectLst>
                <a:outerShdw blurRad="63500" dir="3600000" algn="tl" rotWithShape="0">
                  <a:srgbClr val="000000">
                    <a:alpha val="70000"/>
                  </a:srgbClr>
                </a:outerShdw>
              </a:effectLst>
              <a:latin typeface="+mn-lt"/>
              <a:ea typeface="+mn-ea"/>
              <a:cs typeface="+mn-cs"/>
            </a:rPr>
            <a:t>TR=1E-06</a:t>
          </a:r>
        </a:p>
        <a:p>
          <a:r>
            <a:rPr lang="en-US" sz="9600" b="0" i="0" baseline="0">
              <a:ln>
                <a:solidFill>
                  <a:srgbClr val="FF0000"/>
                </a:solidFill>
                <a:prstDash val="dash"/>
              </a:ln>
              <a:noFill/>
              <a:effectLst>
                <a:outerShdw blurRad="63500" dir="3600000" algn="tl" rotWithShape="0">
                  <a:srgbClr val="000000">
                    <a:alpha val="70000"/>
                  </a:srgbClr>
                </a:outerShdw>
              </a:effectLst>
              <a:latin typeface="+mn-lt"/>
              <a:ea typeface="+mn-ea"/>
              <a:cs typeface="+mn-cs"/>
            </a:rPr>
            <a:t>THQ=1.0</a:t>
          </a:r>
          <a:endParaRPr lang="en-US" sz="800">
            <a:ln>
              <a:solidFill>
                <a:srgbClr val="FF0000"/>
              </a:solidFill>
              <a:prstDash val="dash"/>
            </a:ln>
            <a:noFill/>
          </a:endParaRPr>
        </a:p>
      </xdr:txBody>
    </xdr:sp>
    <xdr:clientData/>
  </xdr:oneCellAnchor>
  <xdr:oneCellAnchor>
    <xdr:from>
      <xdr:col>0</xdr:col>
      <xdr:colOff>61274</xdr:colOff>
      <xdr:row>417</xdr:row>
      <xdr:rowOff>85388</xdr:rowOff>
    </xdr:from>
    <xdr:ext cx="5311926" cy="3105883"/>
    <xdr:sp macro="" textlink="">
      <xdr:nvSpPr>
        <xdr:cNvPr id="44" name="TextBox 43">
          <a:extLst>
            <a:ext uri="{FF2B5EF4-FFF2-40B4-BE49-F238E27FC236}">
              <a16:creationId xmlns:a16="http://schemas.microsoft.com/office/drawing/2014/main" id="{00000000-0008-0000-0C00-00002C000000}"/>
            </a:ext>
          </a:extLst>
        </xdr:cNvPr>
        <xdr:cNvSpPr txBox="1"/>
      </xdr:nvSpPr>
      <xdr:spPr>
        <a:xfrm>
          <a:off x="5273354" y="77839868"/>
          <a:ext cx="5311926" cy="31058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pAutoFit/>
        </a:bodyPr>
        <a:lstStyle/>
        <a:p>
          <a:r>
            <a:rPr lang="en-US" sz="9600" b="0" i="0" baseline="0">
              <a:ln>
                <a:solidFill>
                  <a:srgbClr val="FF0000"/>
                </a:solidFill>
                <a:prstDash val="dash"/>
              </a:ln>
              <a:noFill/>
              <a:effectLst>
                <a:outerShdw blurRad="63500" dir="3600000" algn="tl" rotWithShape="0">
                  <a:srgbClr val="000000">
                    <a:alpha val="70000"/>
                  </a:srgbClr>
                </a:outerShdw>
              </a:effectLst>
              <a:latin typeface="+mn-lt"/>
              <a:ea typeface="+mn-ea"/>
              <a:cs typeface="+mn-cs"/>
            </a:rPr>
            <a:t>TR=1E-06</a:t>
          </a:r>
        </a:p>
        <a:p>
          <a:r>
            <a:rPr lang="en-US" sz="9600" b="0" i="0" baseline="0">
              <a:ln>
                <a:solidFill>
                  <a:srgbClr val="FF0000"/>
                </a:solidFill>
                <a:prstDash val="dash"/>
              </a:ln>
              <a:noFill/>
              <a:effectLst>
                <a:outerShdw blurRad="63500" dir="3600000" algn="tl" rotWithShape="0">
                  <a:srgbClr val="000000">
                    <a:alpha val="70000"/>
                  </a:srgbClr>
                </a:outerShdw>
              </a:effectLst>
              <a:latin typeface="+mn-lt"/>
              <a:ea typeface="+mn-ea"/>
              <a:cs typeface="+mn-cs"/>
            </a:rPr>
            <a:t>THQ=1.0</a:t>
          </a:r>
          <a:endParaRPr lang="en-US" sz="800">
            <a:ln>
              <a:solidFill>
                <a:srgbClr val="FF0000"/>
              </a:solidFill>
              <a:prstDash val="dash"/>
            </a:ln>
            <a:noFill/>
          </a:endParaRPr>
        </a:p>
      </xdr:txBody>
    </xdr:sp>
    <xdr:clientData/>
  </xdr:oneCellAnchor>
  <xdr:oneCellAnchor>
    <xdr:from>
      <xdr:col>0</xdr:col>
      <xdr:colOff>61274</xdr:colOff>
      <xdr:row>482</xdr:row>
      <xdr:rowOff>184730</xdr:rowOff>
    </xdr:from>
    <xdr:ext cx="5311926" cy="3097899"/>
    <xdr:sp macro="" textlink="">
      <xdr:nvSpPr>
        <xdr:cNvPr id="45" name="TextBox 44">
          <a:extLst>
            <a:ext uri="{FF2B5EF4-FFF2-40B4-BE49-F238E27FC236}">
              <a16:creationId xmlns:a16="http://schemas.microsoft.com/office/drawing/2014/main" id="{00000000-0008-0000-0C00-00002D000000}"/>
            </a:ext>
          </a:extLst>
        </xdr:cNvPr>
        <xdr:cNvSpPr txBox="1"/>
      </xdr:nvSpPr>
      <xdr:spPr>
        <a:xfrm>
          <a:off x="5273354" y="89994050"/>
          <a:ext cx="5311926" cy="30978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pAutoFit/>
        </a:bodyPr>
        <a:lstStyle/>
        <a:p>
          <a:r>
            <a:rPr lang="en-US" sz="9600" b="0" i="0" baseline="0">
              <a:ln>
                <a:solidFill>
                  <a:srgbClr val="FF0000"/>
                </a:solidFill>
                <a:prstDash val="dash"/>
              </a:ln>
              <a:noFill/>
              <a:effectLst>
                <a:outerShdw blurRad="63500" dir="3600000" algn="tl" rotWithShape="0">
                  <a:srgbClr val="000000">
                    <a:alpha val="70000"/>
                  </a:srgbClr>
                </a:outerShdw>
              </a:effectLst>
              <a:latin typeface="+mn-lt"/>
              <a:ea typeface="+mn-ea"/>
              <a:cs typeface="+mn-cs"/>
            </a:rPr>
            <a:t>TR=1E-06</a:t>
          </a:r>
        </a:p>
        <a:p>
          <a:r>
            <a:rPr lang="en-US" sz="9600" b="0" i="0" baseline="0">
              <a:ln>
                <a:solidFill>
                  <a:srgbClr val="FF0000"/>
                </a:solidFill>
                <a:prstDash val="dash"/>
              </a:ln>
              <a:noFill/>
              <a:effectLst>
                <a:outerShdw blurRad="63500" dir="3600000" algn="tl" rotWithShape="0">
                  <a:srgbClr val="000000">
                    <a:alpha val="70000"/>
                  </a:srgbClr>
                </a:outerShdw>
              </a:effectLst>
              <a:latin typeface="+mn-lt"/>
              <a:ea typeface="+mn-ea"/>
              <a:cs typeface="+mn-cs"/>
            </a:rPr>
            <a:t>THQ=1.0</a:t>
          </a:r>
          <a:endParaRPr lang="en-US" sz="800">
            <a:ln>
              <a:solidFill>
                <a:srgbClr val="FF0000"/>
              </a:solidFill>
              <a:prstDash val="dash"/>
            </a:ln>
            <a:noFill/>
          </a:endParaRPr>
        </a:p>
      </xdr:txBody>
    </xdr:sp>
    <xdr:clientData/>
  </xdr:oneCellAnchor>
  <xdr:oneCellAnchor>
    <xdr:from>
      <xdr:col>0</xdr:col>
      <xdr:colOff>86674</xdr:colOff>
      <xdr:row>548</xdr:row>
      <xdr:rowOff>124771</xdr:rowOff>
    </xdr:from>
    <xdr:ext cx="5311926" cy="3074758"/>
    <xdr:sp macro="" textlink="">
      <xdr:nvSpPr>
        <xdr:cNvPr id="46" name="TextBox 45">
          <a:extLst>
            <a:ext uri="{FF2B5EF4-FFF2-40B4-BE49-F238E27FC236}">
              <a16:creationId xmlns:a16="http://schemas.microsoft.com/office/drawing/2014/main" id="{00000000-0008-0000-0C00-00002E000000}"/>
            </a:ext>
          </a:extLst>
        </xdr:cNvPr>
        <xdr:cNvSpPr txBox="1"/>
      </xdr:nvSpPr>
      <xdr:spPr>
        <a:xfrm>
          <a:off x="5298754" y="102171811"/>
          <a:ext cx="5311926" cy="30747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pAutoFit/>
        </a:bodyPr>
        <a:lstStyle/>
        <a:p>
          <a:r>
            <a:rPr lang="en-US" sz="9600" b="0" i="0" baseline="0">
              <a:ln>
                <a:solidFill>
                  <a:srgbClr val="FF0000"/>
                </a:solidFill>
                <a:prstDash val="dash"/>
              </a:ln>
              <a:noFill/>
              <a:effectLst>
                <a:outerShdw blurRad="63500" dir="3600000" algn="tl" rotWithShape="0">
                  <a:srgbClr val="000000">
                    <a:alpha val="70000"/>
                  </a:srgbClr>
                </a:outerShdw>
              </a:effectLst>
              <a:latin typeface="+mn-lt"/>
              <a:ea typeface="+mn-ea"/>
              <a:cs typeface="+mn-cs"/>
            </a:rPr>
            <a:t>TR=1E-06</a:t>
          </a:r>
        </a:p>
        <a:p>
          <a:pPr>
            <a:lnSpc>
              <a:spcPts val="11600"/>
            </a:lnSpc>
          </a:pPr>
          <a:r>
            <a:rPr lang="en-US" sz="9600" b="0" i="0" baseline="0">
              <a:ln>
                <a:solidFill>
                  <a:srgbClr val="FF0000"/>
                </a:solidFill>
                <a:prstDash val="dash"/>
              </a:ln>
              <a:noFill/>
              <a:effectLst>
                <a:outerShdw blurRad="63500" dir="3600000" algn="tl" rotWithShape="0">
                  <a:srgbClr val="000000">
                    <a:alpha val="70000"/>
                  </a:srgbClr>
                </a:outerShdw>
              </a:effectLst>
              <a:latin typeface="+mn-lt"/>
              <a:ea typeface="+mn-ea"/>
              <a:cs typeface="+mn-cs"/>
            </a:rPr>
            <a:t>THQ=1.0</a:t>
          </a:r>
          <a:endParaRPr lang="en-US" sz="800">
            <a:ln>
              <a:solidFill>
                <a:srgbClr val="FF0000"/>
              </a:solidFill>
              <a:prstDash val="dash"/>
            </a:ln>
            <a:noFill/>
          </a:endParaRPr>
        </a:p>
      </xdr:txBody>
    </xdr:sp>
    <xdr:clientData/>
  </xdr:oneCellAnchor>
  <xdr:oneCellAnchor>
    <xdr:from>
      <xdr:col>0</xdr:col>
      <xdr:colOff>20699</xdr:colOff>
      <xdr:row>613</xdr:row>
      <xdr:rowOff>122866</xdr:rowOff>
    </xdr:from>
    <xdr:ext cx="5265559" cy="3082703"/>
    <xdr:sp macro="" textlink="">
      <xdr:nvSpPr>
        <xdr:cNvPr id="47" name="TextBox 46">
          <a:extLst>
            <a:ext uri="{FF2B5EF4-FFF2-40B4-BE49-F238E27FC236}">
              <a16:creationId xmlns:a16="http://schemas.microsoft.com/office/drawing/2014/main" id="{00000000-0008-0000-0C00-00002F000000}"/>
            </a:ext>
          </a:extLst>
        </xdr:cNvPr>
        <xdr:cNvSpPr txBox="1"/>
      </xdr:nvSpPr>
      <xdr:spPr>
        <a:xfrm>
          <a:off x="5232779" y="114224746"/>
          <a:ext cx="5265559" cy="30827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pAutoFit/>
        </a:bodyPr>
        <a:lstStyle/>
        <a:p>
          <a:r>
            <a:rPr lang="en-US" sz="9600" b="0" i="0" baseline="0">
              <a:ln>
                <a:solidFill>
                  <a:srgbClr val="FF0000"/>
                </a:solidFill>
                <a:prstDash val="dash"/>
              </a:ln>
              <a:noFill/>
              <a:effectLst>
                <a:outerShdw blurRad="63500" dir="3600000" algn="tl" rotWithShape="0">
                  <a:srgbClr val="000000">
                    <a:alpha val="70000"/>
                  </a:srgbClr>
                </a:outerShdw>
              </a:effectLst>
              <a:latin typeface="+mn-lt"/>
              <a:ea typeface="+mn-ea"/>
              <a:cs typeface="+mn-cs"/>
            </a:rPr>
            <a:t>TR=1E-06</a:t>
          </a:r>
        </a:p>
        <a:p>
          <a:pPr>
            <a:lnSpc>
              <a:spcPts val="11600"/>
            </a:lnSpc>
          </a:pPr>
          <a:r>
            <a:rPr lang="en-US" sz="9600" b="0" i="0" baseline="0">
              <a:ln>
                <a:solidFill>
                  <a:srgbClr val="FF0000"/>
                </a:solidFill>
                <a:prstDash val="dash"/>
              </a:ln>
              <a:noFill/>
              <a:effectLst>
                <a:outerShdw blurRad="63500" dir="3600000" algn="tl" rotWithShape="0">
                  <a:srgbClr val="000000">
                    <a:alpha val="70000"/>
                  </a:srgbClr>
                </a:outerShdw>
              </a:effectLst>
              <a:latin typeface="+mn-lt"/>
              <a:ea typeface="+mn-ea"/>
              <a:cs typeface="+mn-cs"/>
            </a:rPr>
            <a:t>THQ=1.0</a:t>
          </a:r>
          <a:endParaRPr lang="en-US" sz="800">
            <a:ln>
              <a:solidFill>
                <a:srgbClr val="FF0000"/>
              </a:solidFill>
              <a:prstDash val="dash"/>
            </a:ln>
            <a:noFill/>
          </a:endParaRPr>
        </a:p>
      </xdr:txBody>
    </xdr:sp>
    <xdr:clientData/>
  </xdr:oneCellAnchor>
  <xdr:oneCellAnchor>
    <xdr:from>
      <xdr:col>0</xdr:col>
      <xdr:colOff>90185</xdr:colOff>
      <xdr:row>677</xdr:row>
      <xdr:rowOff>135566</xdr:rowOff>
    </xdr:from>
    <xdr:ext cx="5304909" cy="3074778"/>
    <xdr:sp macro="" textlink="">
      <xdr:nvSpPr>
        <xdr:cNvPr id="48" name="TextBox 47">
          <a:extLst>
            <a:ext uri="{FF2B5EF4-FFF2-40B4-BE49-F238E27FC236}">
              <a16:creationId xmlns:a16="http://schemas.microsoft.com/office/drawing/2014/main" id="{00000000-0008-0000-0C00-000030000000}"/>
            </a:ext>
          </a:extLst>
        </xdr:cNvPr>
        <xdr:cNvSpPr txBox="1"/>
      </xdr:nvSpPr>
      <xdr:spPr>
        <a:xfrm>
          <a:off x="5302265" y="126101786"/>
          <a:ext cx="5304909" cy="30747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pAutoFit/>
        </a:bodyPr>
        <a:lstStyle/>
        <a:p>
          <a:r>
            <a:rPr lang="en-US" sz="9600" b="0" i="0" baseline="0">
              <a:ln>
                <a:solidFill>
                  <a:srgbClr val="FF0000"/>
                </a:solidFill>
                <a:prstDash val="dash"/>
              </a:ln>
              <a:noFill/>
              <a:effectLst>
                <a:outerShdw blurRad="63500" dir="3600000" algn="tl" rotWithShape="0">
                  <a:srgbClr val="000000">
                    <a:alpha val="70000"/>
                  </a:srgbClr>
                </a:outerShdw>
              </a:effectLst>
              <a:latin typeface="+mn-lt"/>
              <a:ea typeface="+mn-ea"/>
              <a:cs typeface="+mn-cs"/>
            </a:rPr>
            <a:t>TR=1E-06</a:t>
          </a:r>
        </a:p>
        <a:p>
          <a:pPr>
            <a:lnSpc>
              <a:spcPts val="11600"/>
            </a:lnSpc>
          </a:pPr>
          <a:r>
            <a:rPr lang="en-US" sz="9600" b="0" i="0" baseline="0">
              <a:ln>
                <a:solidFill>
                  <a:srgbClr val="FF0000"/>
                </a:solidFill>
                <a:prstDash val="dash"/>
              </a:ln>
              <a:noFill/>
              <a:effectLst>
                <a:outerShdw blurRad="63500" dir="3600000" algn="tl" rotWithShape="0">
                  <a:srgbClr val="000000">
                    <a:alpha val="70000"/>
                  </a:srgbClr>
                </a:outerShdw>
              </a:effectLst>
              <a:latin typeface="+mn-lt"/>
              <a:ea typeface="+mn-ea"/>
              <a:cs typeface="+mn-cs"/>
            </a:rPr>
            <a:t>THQ=1.0</a:t>
          </a:r>
          <a:endParaRPr lang="en-US" sz="800">
            <a:ln>
              <a:solidFill>
                <a:srgbClr val="FF0000"/>
              </a:solidFill>
              <a:prstDash val="dash"/>
            </a:ln>
            <a:noFill/>
          </a:endParaRPr>
        </a:p>
      </xdr:txBody>
    </xdr:sp>
    <xdr:clientData/>
  </xdr:oneCellAnchor>
  <xdr:oneCellAnchor>
    <xdr:from>
      <xdr:col>0</xdr:col>
      <xdr:colOff>52085</xdr:colOff>
      <xdr:row>742</xdr:row>
      <xdr:rowOff>141916</xdr:rowOff>
    </xdr:from>
    <xdr:ext cx="5304909" cy="3082703"/>
    <xdr:sp macro="" textlink="">
      <xdr:nvSpPr>
        <xdr:cNvPr id="49" name="TextBox 48">
          <a:extLst>
            <a:ext uri="{FF2B5EF4-FFF2-40B4-BE49-F238E27FC236}">
              <a16:creationId xmlns:a16="http://schemas.microsoft.com/office/drawing/2014/main" id="{00000000-0008-0000-0C00-000031000000}"/>
            </a:ext>
          </a:extLst>
        </xdr:cNvPr>
        <xdr:cNvSpPr txBox="1"/>
      </xdr:nvSpPr>
      <xdr:spPr>
        <a:xfrm>
          <a:off x="5264165" y="138162976"/>
          <a:ext cx="5304909" cy="30827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pAutoFit/>
        </a:bodyPr>
        <a:lstStyle/>
        <a:p>
          <a:r>
            <a:rPr lang="en-US" sz="9600" b="0" i="0" baseline="0">
              <a:ln>
                <a:solidFill>
                  <a:srgbClr val="FF0000"/>
                </a:solidFill>
                <a:prstDash val="dash"/>
              </a:ln>
              <a:noFill/>
              <a:effectLst>
                <a:outerShdw blurRad="63500" dir="3600000" algn="tl" rotWithShape="0">
                  <a:srgbClr val="000000">
                    <a:alpha val="70000"/>
                  </a:srgbClr>
                </a:outerShdw>
              </a:effectLst>
              <a:latin typeface="+mn-lt"/>
              <a:ea typeface="+mn-ea"/>
              <a:cs typeface="+mn-cs"/>
            </a:rPr>
            <a:t>TR=1E-06</a:t>
          </a:r>
        </a:p>
        <a:p>
          <a:pPr>
            <a:lnSpc>
              <a:spcPts val="11600"/>
            </a:lnSpc>
          </a:pPr>
          <a:r>
            <a:rPr lang="en-US" sz="9600" b="0" i="0" baseline="0">
              <a:ln>
                <a:solidFill>
                  <a:srgbClr val="FF0000"/>
                </a:solidFill>
                <a:prstDash val="dash"/>
              </a:ln>
              <a:noFill/>
              <a:effectLst>
                <a:outerShdw blurRad="63500" dir="3600000" algn="tl" rotWithShape="0">
                  <a:srgbClr val="000000">
                    <a:alpha val="70000"/>
                  </a:srgbClr>
                </a:outerShdw>
              </a:effectLst>
              <a:latin typeface="+mn-lt"/>
              <a:ea typeface="+mn-ea"/>
              <a:cs typeface="+mn-cs"/>
            </a:rPr>
            <a:t>THQ=1.0</a:t>
          </a:r>
          <a:endParaRPr lang="en-US" sz="800">
            <a:ln>
              <a:solidFill>
                <a:srgbClr val="FF0000"/>
              </a:solidFill>
              <a:prstDash val="dash"/>
            </a:ln>
            <a:noFill/>
          </a:endParaRPr>
        </a:p>
      </xdr:txBody>
    </xdr:sp>
    <xdr:clientData/>
  </xdr:oneCellAnchor>
  <xdr:oneCellAnchor>
    <xdr:from>
      <xdr:col>0</xdr:col>
      <xdr:colOff>160035</xdr:colOff>
      <xdr:row>786</xdr:row>
      <xdr:rowOff>7296</xdr:rowOff>
    </xdr:from>
    <xdr:ext cx="5297489" cy="3082703"/>
    <xdr:sp macro="" textlink="">
      <xdr:nvSpPr>
        <xdr:cNvPr id="50" name="TextBox 49">
          <a:extLst>
            <a:ext uri="{FF2B5EF4-FFF2-40B4-BE49-F238E27FC236}">
              <a16:creationId xmlns:a16="http://schemas.microsoft.com/office/drawing/2014/main" id="{00000000-0008-0000-0C00-000032000000}"/>
            </a:ext>
          </a:extLst>
        </xdr:cNvPr>
        <xdr:cNvSpPr txBox="1"/>
      </xdr:nvSpPr>
      <xdr:spPr>
        <a:xfrm>
          <a:off x="5372115" y="146181756"/>
          <a:ext cx="5297489" cy="30827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pAutoFit/>
        </a:bodyPr>
        <a:lstStyle/>
        <a:p>
          <a:r>
            <a:rPr lang="en-US" sz="9600" b="0" i="0" baseline="0">
              <a:ln>
                <a:solidFill>
                  <a:srgbClr val="FF0000"/>
                </a:solidFill>
                <a:prstDash val="dash"/>
              </a:ln>
              <a:noFill/>
              <a:effectLst>
                <a:outerShdw blurRad="63500" dir="3600000" algn="tl" rotWithShape="0">
                  <a:srgbClr val="000000">
                    <a:alpha val="70000"/>
                  </a:srgbClr>
                </a:outerShdw>
              </a:effectLst>
              <a:latin typeface="+mn-lt"/>
              <a:ea typeface="+mn-ea"/>
              <a:cs typeface="+mn-cs"/>
            </a:rPr>
            <a:t>TR=1E-06</a:t>
          </a:r>
        </a:p>
        <a:p>
          <a:pPr>
            <a:lnSpc>
              <a:spcPts val="11600"/>
            </a:lnSpc>
          </a:pPr>
          <a:r>
            <a:rPr lang="en-US" sz="9600" b="0" i="0" baseline="0">
              <a:ln>
                <a:solidFill>
                  <a:srgbClr val="FF0000"/>
                </a:solidFill>
                <a:prstDash val="dash"/>
              </a:ln>
              <a:noFill/>
              <a:effectLst>
                <a:outerShdw blurRad="63500" dir="3600000" algn="tl" rotWithShape="0">
                  <a:srgbClr val="000000">
                    <a:alpha val="70000"/>
                  </a:srgbClr>
                </a:outerShdw>
              </a:effectLst>
              <a:latin typeface="+mn-lt"/>
              <a:ea typeface="+mn-ea"/>
              <a:cs typeface="+mn-cs"/>
            </a:rPr>
            <a:t>THQ=1.0</a:t>
          </a:r>
          <a:endParaRPr lang="en-US" sz="800">
            <a:ln>
              <a:solidFill>
                <a:srgbClr val="FF0000"/>
              </a:solidFill>
              <a:prstDash val="dash"/>
            </a:ln>
            <a:noFill/>
          </a:endParaRPr>
        </a:p>
      </xdr:txBody>
    </xdr:sp>
    <xdr:clientData/>
  </xdr:oneCellAnchor>
  <xdr:oneCellAnchor>
    <xdr:from>
      <xdr:col>1</xdr:col>
      <xdr:colOff>525871</xdr:colOff>
      <xdr:row>32</xdr:row>
      <xdr:rowOff>53340</xdr:rowOff>
    </xdr:from>
    <xdr:ext cx="5647624" cy="3107037"/>
    <xdr:sp macro="" textlink="">
      <xdr:nvSpPr>
        <xdr:cNvPr id="37" name="TextBox 36">
          <a:extLst>
            <a:ext uri="{FF2B5EF4-FFF2-40B4-BE49-F238E27FC236}">
              <a16:creationId xmlns:a16="http://schemas.microsoft.com/office/drawing/2014/main" id="{00000000-0008-0000-0C00-000025000000}"/>
            </a:ext>
          </a:extLst>
        </xdr:cNvPr>
        <xdr:cNvSpPr txBox="1"/>
      </xdr:nvSpPr>
      <xdr:spPr>
        <a:xfrm>
          <a:off x="6126571" y="6256020"/>
          <a:ext cx="5647624" cy="31070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pAutoFit/>
        </a:bodyPr>
        <a:lstStyle/>
        <a:p>
          <a:r>
            <a:rPr lang="en-US" sz="9600" b="0" i="0" baseline="0">
              <a:ln>
                <a:solidFill>
                  <a:srgbClr val="FF0000"/>
                </a:solidFill>
                <a:prstDash val="dash"/>
              </a:ln>
              <a:noFill/>
              <a:effectLst>
                <a:outerShdw blurRad="63500" dir="3600000" algn="tl" rotWithShape="0">
                  <a:srgbClr val="000000">
                    <a:alpha val="70000"/>
                  </a:srgbClr>
                </a:outerShdw>
              </a:effectLst>
              <a:latin typeface="+mn-lt"/>
              <a:ea typeface="+mn-ea"/>
              <a:cs typeface="+mn-cs"/>
            </a:rPr>
            <a:t>TR=1E-06</a:t>
          </a:r>
        </a:p>
        <a:p>
          <a:r>
            <a:rPr lang="en-US" sz="9600" b="0" i="0" baseline="0">
              <a:ln>
                <a:solidFill>
                  <a:srgbClr val="FF0000"/>
                </a:solidFill>
                <a:prstDash val="dash"/>
              </a:ln>
              <a:noFill/>
              <a:effectLst>
                <a:outerShdw blurRad="63500" dir="3600000" algn="tl" rotWithShape="0">
                  <a:srgbClr val="000000">
                    <a:alpha val="70000"/>
                  </a:srgbClr>
                </a:outerShdw>
              </a:effectLst>
              <a:latin typeface="+mn-lt"/>
              <a:ea typeface="+mn-ea"/>
              <a:cs typeface="+mn-cs"/>
            </a:rPr>
            <a:t>THQ=1.0</a:t>
          </a:r>
          <a:endParaRPr lang="en-US" sz="800">
            <a:ln>
              <a:solidFill>
                <a:srgbClr val="FF0000"/>
              </a:solidFill>
              <a:prstDash val="dash"/>
            </a:ln>
            <a:noFill/>
          </a:endParaRPr>
        </a:p>
      </xdr:txBody>
    </xdr:sp>
    <xdr:clientData/>
  </xdr:oneCellAnchor>
  <xdr:oneCellAnchor>
    <xdr:from>
      <xdr:col>1</xdr:col>
      <xdr:colOff>462915</xdr:colOff>
      <xdr:row>108</xdr:row>
      <xdr:rowOff>198120</xdr:rowOff>
    </xdr:from>
    <xdr:ext cx="5623001" cy="3072727"/>
    <xdr:sp macro="" textlink="">
      <xdr:nvSpPr>
        <xdr:cNvPr id="51" name="TextBox 50">
          <a:extLst>
            <a:ext uri="{FF2B5EF4-FFF2-40B4-BE49-F238E27FC236}">
              <a16:creationId xmlns:a16="http://schemas.microsoft.com/office/drawing/2014/main" id="{00000000-0008-0000-0C00-000033000000}"/>
            </a:ext>
          </a:extLst>
        </xdr:cNvPr>
        <xdr:cNvSpPr txBox="1"/>
      </xdr:nvSpPr>
      <xdr:spPr>
        <a:xfrm>
          <a:off x="6063615" y="21648420"/>
          <a:ext cx="5623001" cy="3072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pAutoFit/>
        </a:bodyPr>
        <a:lstStyle/>
        <a:p>
          <a:pPr>
            <a:lnSpc>
              <a:spcPts val="11400"/>
            </a:lnSpc>
          </a:pPr>
          <a:r>
            <a:rPr lang="en-US" sz="9600" b="0" i="0" baseline="0">
              <a:ln>
                <a:solidFill>
                  <a:srgbClr val="FF0000"/>
                </a:solidFill>
                <a:prstDash val="dash"/>
              </a:ln>
              <a:noFill/>
              <a:effectLst>
                <a:outerShdw blurRad="63500" dir="3600000" algn="tl" rotWithShape="0">
                  <a:srgbClr val="000000">
                    <a:alpha val="70000"/>
                  </a:srgbClr>
                </a:outerShdw>
              </a:effectLst>
              <a:latin typeface="+mn-lt"/>
              <a:ea typeface="+mn-ea"/>
              <a:cs typeface="+mn-cs"/>
            </a:rPr>
            <a:t>TR=1E-06</a:t>
          </a:r>
        </a:p>
        <a:p>
          <a:pPr>
            <a:lnSpc>
              <a:spcPts val="11300"/>
            </a:lnSpc>
          </a:pPr>
          <a:r>
            <a:rPr lang="en-US" sz="9600" b="0" i="0" baseline="0">
              <a:ln>
                <a:solidFill>
                  <a:srgbClr val="FF0000"/>
                </a:solidFill>
                <a:prstDash val="dash"/>
              </a:ln>
              <a:noFill/>
              <a:effectLst>
                <a:outerShdw blurRad="63500" dir="3600000" algn="tl" rotWithShape="0">
                  <a:srgbClr val="000000">
                    <a:alpha val="70000"/>
                  </a:srgbClr>
                </a:outerShdw>
              </a:effectLst>
              <a:latin typeface="+mn-lt"/>
              <a:ea typeface="+mn-ea"/>
              <a:cs typeface="+mn-cs"/>
            </a:rPr>
            <a:t>THQ=1.0</a:t>
          </a:r>
          <a:endParaRPr lang="en-US" sz="800">
            <a:ln>
              <a:solidFill>
                <a:srgbClr val="FF0000"/>
              </a:solidFill>
              <a:prstDash val="dash"/>
            </a:ln>
            <a:noFill/>
          </a:endParaRPr>
        </a:p>
      </xdr:txBody>
    </xdr:sp>
    <xdr:clientData/>
  </xdr:oneCellAnchor>
  <xdr:oneCellAnchor>
    <xdr:from>
      <xdr:col>1</xdr:col>
      <xdr:colOff>462915</xdr:colOff>
      <xdr:row>182</xdr:row>
      <xdr:rowOff>99271</xdr:rowOff>
    </xdr:from>
    <xdr:ext cx="5623001" cy="3097489"/>
    <xdr:sp macro="" textlink="">
      <xdr:nvSpPr>
        <xdr:cNvPr id="52" name="TextBox 51">
          <a:extLst>
            <a:ext uri="{FF2B5EF4-FFF2-40B4-BE49-F238E27FC236}">
              <a16:creationId xmlns:a16="http://schemas.microsoft.com/office/drawing/2014/main" id="{00000000-0008-0000-0C00-000034000000}"/>
            </a:ext>
          </a:extLst>
        </xdr:cNvPr>
        <xdr:cNvSpPr txBox="1"/>
      </xdr:nvSpPr>
      <xdr:spPr>
        <a:xfrm>
          <a:off x="6063615" y="36400951"/>
          <a:ext cx="5623001" cy="30974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pAutoFit/>
        </a:bodyPr>
        <a:lstStyle/>
        <a:p>
          <a:pPr>
            <a:lnSpc>
              <a:spcPts val="11400"/>
            </a:lnSpc>
          </a:pPr>
          <a:r>
            <a:rPr lang="en-US" sz="9600" b="0" i="0" baseline="0">
              <a:ln>
                <a:solidFill>
                  <a:srgbClr val="FF0000"/>
                </a:solidFill>
                <a:prstDash val="dash"/>
              </a:ln>
              <a:noFill/>
              <a:effectLst>
                <a:outerShdw blurRad="63500" dir="3600000" algn="tl" rotWithShape="0">
                  <a:srgbClr val="000000">
                    <a:alpha val="70000"/>
                  </a:srgbClr>
                </a:outerShdw>
              </a:effectLst>
              <a:latin typeface="+mn-lt"/>
              <a:ea typeface="+mn-ea"/>
              <a:cs typeface="+mn-cs"/>
            </a:rPr>
            <a:t>TR=1E-06</a:t>
          </a:r>
        </a:p>
        <a:p>
          <a:pPr>
            <a:lnSpc>
              <a:spcPts val="11300"/>
            </a:lnSpc>
          </a:pPr>
          <a:r>
            <a:rPr lang="en-US" sz="9600" b="0" i="0" baseline="0">
              <a:ln>
                <a:solidFill>
                  <a:srgbClr val="FF0000"/>
                </a:solidFill>
                <a:prstDash val="dash"/>
              </a:ln>
              <a:noFill/>
              <a:effectLst>
                <a:outerShdw blurRad="63500" dir="3600000" algn="tl" rotWithShape="0">
                  <a:srgbClr val="000000">
                    <a:alpha val="70000"/>
                  </a:srgbClr>
                </a:outerShdw>
              </a:effectLst>
              <a:latin typeface="+mn-lt"/>
              <a:ea typeface="+mn-ea"/>
              <a:cs typeface="+mn-cs"/>
            </a:rPr>
            <a:t>THQ=1.0</a:t>
          </a:r>
          <a:endParaRPr lang="en-US" sz="800">
            <a:ln>
              <a:solidFill>
                <a:srgbClr val="FF0000"/>
              </a:solidFill>
              <a:prstDash val="dash"/>
            </a:ln>
            <a:noFill/>
          </a:endParaRPr>
        </a:p>
      </xdr:txBody>
    </xdr:sp>
    <xdr:clientData/>
  </xdr:oneCellAnchor>
  <xdr:oneCellAnchor>
    <xdr:from>
      <xdr:col>1</xdr:col>
      <xdr:colOff>777240</xdr:colOff>
      <xdr:row>261</xdr:row>
      <xdr:rowOff>214842</xdr:rowOff>
    </xdr:from>
    <xdr:ext cx="5623001" cy="3088511"/>
    <xdr:sp macro="" textlink="">
      <xdr:nvSpPr>
        <xdr:cNvPr id="53" name="TextBox 52">
          <a:extLst>
            <a:ext uri="{FF2B5EF4-FFF2-40B4-BE49-F238E27FC236}">
              <a16:creationId xmlns:a16="http://schemas.microsoft.com/office/drawing/2014/main" id="{00000000-0008-0000-0C00-000035000000}"/>
            </a:ext>
          </a:extLst>
        </xdr:cNvPr>
        <xdr:cNvSpPr txBox="1"/>
      </xdr:nvSpPr>
      <xdr:spPr>
        <a:xfrm>
          <a:off x="6377940" y="52358502"/>
          <a:ext cx="5623001" cy="30885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pAutoFit/>
        </a:bodyPr>
        <a:lstStyle/>
        <a:p>
          <a:r>
            <a:rPr lang="en-US" sz="9600" b="0" i="0" baseline="0">
              <a:ln>
                <a:solidFill>
                  <a:srgbClr val="FF0000"/>
                </a:solidFill>
                <a:prstDash val="dash"/>
              </a:ln>
              <a:noFill/>
              <a:effectLst>
                <a:outerShdw blurRad="63500" dir="3600000" algn="tl" rotWithShape="0">
                  <a:srgbClr val="000000">
                    <a:alpha val="70000"/>
                  </a:srgbClr>
                </a:outerShdw>
              </a:effectLst>
              <a:latin typeface="+mn-lt"/>
              <a:ea typeface="+mn-ea"/>
              <a:cs typeface="+mn-cs"/>
            </a:rPr>
            <a:t>TR=1E-06</a:t>
          </a:r>
        </a:p>
        <a:p>
          <a:pPr>
            <a:lnSpc>
              <a:spcPts val="11600"/>
            </a:lnSpc>
          </a:pPr>
          <a:r>
            <a:rPr lang="en-US" sz="9600" b="0" i="0" baseline="0">
              <a:ln>
                <a:solidFill>
                  <a:srgbClr val="FF0000"/>
                </a:solidFill>
                <a:prstDash val="dash"/>
              </a:ln>
              <a:noFill/>
              <a:effectLst>
                <a:outerShdw blurRad="63500" dir="3600000" algn="tl" rotWithShape="0">
                  <a:srgbClr val="000000">
                    <a:alpha val="70000"/>
                  </a:srgbClr>
                </a:outerShdw>
              </a:effectLst>
              <a:latin typeface="+mn-lt"/>
              <a:ea typeface="+mn-ea"/>
              <a:cs typeface="+mn-cs"/>
            </a:rPr>
            <a:t>THQ=1.0</a:t>
          </a:r>
          <a:endParaRPr lang="en-US" sz="800">
            <a:ln>
              <a:solidFill>
                <a:srgbClr val="FF0000"/>
              </a:solidFill>
              <a:prstDash val="dash"/>
            </a:ln>
            <a:noFill/>
          </a:endParaRPr>
        </a:p>
      </xdr:txBody>
    </xdr:sp>
    <xdr:clientData/>
  </xdr:oneCellAnchor>
  <xdr:oneCellAnchor>
    <xdr:from>
      <xdr:col>1</xdr:col>
      <xdr:colOff>829310</xdr:colOff>
      <xdr:row>337</xdr:row>
      <xdr:rowOff>161290</xdr:rowOff>
    </xdr:from>
    <xdr:ext cx="5632797" cy="3122985"/>
    <xdr:sp macro="" textlink="">
      <xdr:nvSpPr>
        <xdr:cNvPr id="54" name="TextBox 53">
          <a:extLst>
            <a:ext uri="{FF2B5EF4-FFF2-40B4-BE49-F238E27FC236}">
              <a16:creationId xmlns:a16="http://schemas.microsoft.com/office/drawing/2014/main" id="{00000000-0008-0000-0C00-000036000000}"/>
            </a:ext>
          </a:extLst>
        </xdr:cNvPr>
        <xdr:cNvSpPr txBox="1"/>
      </xdr:nvSpPr>
      <xdr:spPr>
        <a:xfrm>
          <a:off x="6430010" y="67567810"/>
          <a:ext cx="5632797" cy="31229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pAutoFit/>
        </a:bodyPr>
        <a:lstStyle/>
        <a:p>
          <a:r>
            <a:rPr lang="en-US" sz="9600" b="0" i="0" baseline="0">
              <a:ln>
                <a:solidFill>
                  <a:srgbClr val="FF0000"/>
                </a:solidFill>
                <a:prstDash val="dash"/>
              </a:ln>
              <a:noFill/>
              <a:effectLst>
                <a:outerShdw blurRad="63500" dir="3600000" algn="tl" rotWithShape="0">
                  <a:srgbClr val="000000">
                    <a:alpha val="70000"/>
                  </a:srgbClr>
                </a:outerShdw>
              </a:effectLst>
              <a:latin typeface="+mn-lt"/>
              <a:ea typeface="+mn-ea"/>
              <a:cs typeface="+mn-cs"/>
            </a:rPr>
            <a:t>TR=1E-06</a:t>
          </a:r>
        </a:p>
        <a:p>
          <a:r>
            <a:rPr lang="en-US" sz="9600" b="0" i="0" baseline="0">
              <a:ln>
                <a:solidFill>
                  <a:srgbClr val="FF0000"/>
                </a:solidFill>
                <a:prstDash val="dash"/>
              </a:ln>
              <a:noFill/>
              <a:effectLst>
                <a:outerShdw blurRad="63500" dir="3600000" algn="tl" rotWithShape="0">
                  <a:srgbClr val="000000">
                    <a:alpha val="70000"/>
                  </a:srgbClr>
                </a:outerShdw>
              </a:effectLst>
              <a:latin typeface="+mn-lt"/>
              <a:ea typeface="+mn-ea"/>
              <a:cs typeface="+mn-cs"/>
            </a:rPr>
            <a:t>THQ=1.0</a:t>
          </a:r>
          <a:endParaRPr lang="en-US" sz="800">
            <a:ln>
              <a:solidFill>
                <a:srgbClr val="FF0000"/>
              </a:solidFill>
              <a:prstDash val="dash"/>
            </a:ln>
            <a:noFill/>
          </a:endParaRPr>
        </a:p>
      </xdr:txBody>
    </xdr:sp>
    <xdr:clientData/>
  </xdr:oneCellAnchor>
  <xdr:oneCellAnchor>
    <xdr:from>
      <xdr:col>1</xdr:col>
      <xdr:colOff>674684</xdr:colOff>
      <xdr:row>415</xdr:row>
      <xdr:rowOff>43054</xdr:rowOff>
    </xdr:from>
    <xdr:ext cx="5321745" cy="3105883"/>
    <xdr:sp macro="" textlink="">
      <xdr:nvSpPr>
        <xdr:cNvPr id="55" name="TextBox 54">
          <a:extLst>
            <a:ext uri="{FF2B5EF4-FFF2-40B4-BE49-F238E27FC236}">
              <a16:creationId xmlns:a16="http://schemas.microsoft.com/office/drawing/2014/main" id="{00000000-0008-0000-0C00-000037000000}"/>
            </a:ext>
          </a:extLst>
        </xdr:cNvPr>
        <xdr:cNvSpPr txBox="1"/>
      </xdr:nvSpPr>
      <xdr:spPr>
        <a:xfrm>
          <a:off x="6275384" y="83101054"/>
          <a:ext cx="5321745" cy="31058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pAutoFit/>
        </a:bodyPr>
        <a:lstStyle/>
        <a:p>
          <a:r>
            <a:rPr lang="en-US" sz="9600" b="0" i="0" baseline="0">
              <a:ln>
                <a:solidFill>
                  <a:srgbClr val="FF0000"/>
                </a:solidFill>
                <a:prstDash val="dash"/>
              </a:ln>
              <a:noFill/>
              <a:effectLst>
                <a:outerShdw blurRad="63500" dir="3600000" algn="tl" rotWithShape="0">
                  <a:srgbClr val="000000">
                    <a:alpha val="70000"/>
                  </a:srgbClr>
                </a:outerShdw>
              </a:effectLst>
              <a:latin typeface="+mn-lt"/>
              <a:ea typeface="+mn-ea"/>
              <a:cs typeface="+mn-cs"/>
            </a:rPr>
            <a:t>TR=1E-06</a:t>
          </a:r>
        </a:p>
        <a:p>
          <a:r>
            <a:rPr lang="en-US" sz="9600" b="0" i="0" baseline="0">
              <a:ln>
                <a:solidFill>
                  <a:srgbClr val="FF0000"/>
                </a:solidFill>
                <a:prstDash val="dash"/>
              </a:ln>
              <a:noFill/>
              <a:effectLst>
                <a:outerShdw blurRad="63500" dir="3600000" algn="tl" rotWithShape="0">
                  <a:srgbClr val="000000">
                    <a:alpha val="70000"/>
                  </a:srgbClr>
                </a:outerShdw>
              </a:effectLst>
              <a:latin typeface="+mn-lt"/>
              <a:ea typeface="+mn-ea"/>
              <a:cs typeface="+mn-cs"/>
            </a:rPr>
            <a:t>THQ=1.0</a:t>
          </a:r>
          <a:endParaRPr lang="en-US" sz="800">
            <a:ln>
              <a:solidFill>
                <a:srgbClr val="FF0000"/>
              </a:solidFill>
              <a:prstDash val="dash"/>
            </a:ln>
            <a:noFill/>
          </a:endParaRPr>
        </a:p>
      </xdr:txBody>
    </xdr:sp>
    <xdr:clientData/>
  </xdr:oneCellAnchor>
  <xdr:oneCellAnchor>
    <xdr:from>
      <xdr:col>1</xdr:col>
      <xdr:colOff>890584</xdr:colOff>
      <xdr:row>489</xdr:row>
      <xdr:rowOff>205615</xdr:rowOff>
    </xdr:from>
    <xdr:ext cx="5321727" cy="3105883"/>
    <xdr:sp macro="" textlink="">
      <xdr:nvSpPr>
        <xdr:cNvPr id="56" name="TextBox 55">
          <a:extLst>
            <a:ext uri="{FF2B5EF4-FFF2-40B4-BE49-F238E27FC236}">
              <a16:creationId xmlns:a16="http://schemas.microsoft.com/office/drawing/2014/main" id="{00000000-0008-0000-0C00-000038000000}"/>
            </a:ext>
          </a:extLst>
        </xdr:cNvPr>
        <xdr:cNvSpPr txBox="1"/>
      </xdr:nvSpPr>
      <xdr:spPr>
        <a:xfrm>
          <a:off x="6491284" y="98107375"/>
          <a:ext cx="5321727" cy="31058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pAutoFit/>
        </a:bodyPr>
        <a:lstStyle/>
        <a:p>
          <a:r>
            <a:rPr lang="en-US" sz="9600" b="0" i="0" baseline="0">
              <a:ln>
                <a:solidFill>
                  <a:srgbClr val="FF0000"/>
                </a:solidFill>
                <a:prstDash val="dash"/>
              </a:ln>
              <a:noFill/>
              <a:effectLst>
                <a:outerShdw blurRad="63500" dir="3600000" algn="tl" rotWithShape="0">
                  <a:srgbClr val="000000">
                    <a:alpha val="70000"/>
                  </a:srgbClr>
                </a:outerShdw>
              </a:effectLst>
              <a:latin typeface="+mn-lt"/>
              <a:ea typeface="+mn-ea"/>
              <a:cs typeface="+mn-cs"/>
            </a:rPr>
            <a:t>TR=1E-06</a:t>
          </a:r>
        </a:p>
        <a:p>
          <a:r>
            <a:rPr lang="en-US" sz="9600" b="0" i="0" baseline="0">
              <a:ln>
                <a:solidFill>
                  <a:srgbClr val="FF0000"/>
                </a:solidFill>
                <a:prstDash val="dash"/>
              </a:ln>
              <a:noFill/>
              <a:effectLst>
                <a:outerShdw blurRad="63500" dir="3600000" algn="tl" rotWithShape="0">
                  <a:srgbClr val="000000">
                    <a:alpha val="70000"/>
                  </a:srgbClr>
                </a:outerShdw>
              </a:effectLst>
              <a:latin typeface="+mn-lt"/>
              <a:ea typeface="+mn-ea"/>
              <a:cs typeface="+mn-cs"/>
            </a:rPr>
            <a:t>THQ=1.0</a:t>
          </a:r>
          <a:endParaRPr lang="en-US" sz="800">
            <a:ln>
              <a:solidFill>
                <a:srgbClr val="FF0000"/>
              </a:solidFill>
              <a:prstDash val="dash"/>
            </a:ln>
            <a:noFill/>
          </a:endParaRPr>
        </a:p>
      </xdr:txBody>
    </xdr:sp>
    <xdr:clientData/>
  </xdr:oneCellAnchor>
  <xdr:oneCellAnchor>
    <xdr:from>
      <xdr:col>1</xdr:col>
      <xdr:colOff>1119184</xdr:colOff>
      <xdr:row>566</xdr:row>
      <xdr:rowOff>168643</xdr:rowOff>
    </xdr:from>
    <xdr:ext cx="5311926" cy="3097899"/>
    <xdr:sp macro="" textlink="">
      <xdr:nvSpPr>
        <xdr:cNvPr id="57" name="TextBox 56">
          <a:extLst>
            <a:ext uri="{FF2B5EF4-FFF2-40B4-BE49-F238E27FC236}">
              <a16:creationId xmlns:a16="http://schemas.microsoft.com/office/drawing/2014/main" id="{00000000-0008-0000-0C00-000039000000}"/>
            </a:ext>
          </a:extLst>
        </xdr:cNvPr>
        <xdr:cNvSpPr txBox="1"/>
      </xdr:nvSpPr>
      <xdr:spPr>
        <a:xfrm>
          <a:off x="6537004" y="113523763"/>
          <a:ext cx="5311926" cy="30978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pAutoFit/>
        </a:bodyPr>
        <a:lstStyle/>
        <a:p>
          <a:r>
            <a:rPr lang="en-US" sz="9600" b="0" i="0" baseline="0">
              <a:ln>
                <a:solidFill>
                  <a:srgbClr val="FF0000"/>
                </a:solidFill>
                <a:prstDash val="dash"/>
              </a:ln>
              <a:noFill/>
              <a:effectLst>
                <a:outerShdw blurRad="63500" dir="3600000" algn="tl" rotWithShape="0">
                  <a:srgbClr val="000000">
                    <a:alpha val="70000"/>
                  </a:srgbClr>
                </a:outerShdw>
              </a:effectLst>
              <a:latin typeface="+mn-lt"/>
              <a:ea typeface="+mn-ea"/>
              <a:cs typeface="+mn-cs"/>
            </a:rPr>
            <a:t>TR=1E-06</a:t>
          </a:r>
        </a:p>
        <a:p>
          <a:r>
            <a:rPr lang="en-US" sz="9600" b="0" i="0" baseline="0">
              <a:ln>
                <a:solidFill>
                  <a:srgbClr val="FF0000"/>
                </a:solidFill>
                <a:prstDash val="dash"/>
              </a:ln>
              <a:noFill/>
              <a:effectLst>
                <a:outerShdw blurRad="63500" dir="3600000" algn="tl" rotWithShape="0">
                  <a:srgbClr val="000000">
                    <a:alpha val="70000"/>
                  </a:srgbClr>
                </a:outerShdw>
              </a:effectLst>
              <a:latin typeface="+mn-lt"/>
              <a:ea typeface="+mn-ea"/>
              <a:cs typeface="+mn-cs"/>
            </a:rPr>
            <a:t>THQ=1.0</a:t>
          </a:r>
          <a:endParaRPr lang="en-US" sz="800">
            <a:ln>
              <a:solidFill>
                <a:srgbClr val="FF0000"/>
              </a:solidFill>
              <a:prstDash val="dash"/>
            </a:ln>
            <a:noFill/>
          </a:endParaRPr>
        </a:p>
      </xdr:txBody>
    </xdr:sp>
    <xdr:clientData/>
  </xdr:oneCellAnchor>
  <xdr:oneCellAnchor>
    <xdr:from>
      <xdr:col>1</xdr:col>
      <xdr:colOff>847404</xdr:colOff>
      <xdr:row>642</xdr:row>
      <xdr:rowOff>182343</xdr:rowOff>
    </xdr:from>
    <xdr:ext cx="5314336" cy="3074758"/>
    <xdr:sp macro="" textlink="">
      <xdr:nvSpPr>
        <xdr:cNvPr id="58" name="TextBox 57">
          <a:extLst>
            <a:ext uri="{FF2B5EF4-FFF2-40B4-BE49-F238E27FC236}">
              <a16:creationId xmlns:a16="http://schemas.microsoft.com/office/drawing/2014/main" id="{00000000-0008-0000-0C00-00003A000000}"/>
            </a:ext>
          </a:extLst>
        </xdr:cNvPr>
        <xdr:cNvSpPr txBox="1"/>
      </xdr:nvSpPr>
      <xdr:spPr>
        <a:xfrm>
          <a:off x="6448104" y="128785083"/>
          <a:ext cx="5314336" cy="30747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pAutoFit/>
        </a:bodyPr>
        <a:lstStyle/>
        <a:p>
          <a:r>
            <a:rPr lang="en-US" sz="9600" b="0" i="0" baseline="0">
              <a:ln>
                <a:solidFill>
                  <a:srgbClr val="FF0000"/>
                </a:solidFill>
                <a:prstDash val="dash"/>
              </a:ln>
              <a:noFill/>
              <a:effectLst>
                <a:outerShdw blurRad="63500" dir="3600000" algn="tl" rotWithShape="0">
                  <a:srgbClr val="000000">
                    <a:alpha val="70000"/>
                  </a:srgbClr>
                </a:outerShdw>
              </a:effectLst>
              <a:latin typeface="+mn-lt"/>
              <a:ea typeface="+mn-ea"/>
              <a:cs typeface="+mn-cs"/>
            </a:rPr>
            <a:t>TR=1E-06</a:t>
          </a:r>
        </a:p>
        <a:p>
          <a:pPr>
            <a:lnSpc>
              <a:spcPts val="11600"/>
            </a:lnSpc>
          </a:pPr>
          <a:r>
            <a:rPr lang="en-US" sz="9600" b="0" i="0" baseline="0">
              <a:ln>
                <a:solidFill>
                  <a:srgbClr val="FF0000"/>
                </a:solidFill>
                <a:prstDash val="dash"/>
              </a:ln>
              <a:noFill/>
              <a:effectLst>
                <a:outerShdw blurRad="63500" dir="3600000" algn="tl" rotWithShape="0">
                  <a:srgbClr val="000000">
                    <a:alpha val="70000"/>
                  </a:srgbClr>
                </a:outerShdw>
              </a:effectLst>
              <a:latin typeface="+mn-lt"/>
              <a:ea typeface="+mn-ea"/>
              <a:cs typeface="+mn-cs"/>
            </a:rPr>
            <a:t>THQ=1.0</a:t>
          </a:r>
          <a:endParaRPr lang="en-US" sz="800">
            <a:ln>
              <a:solidFill>
                <a:srgbClr val="FF0000"/>
              </a:solidFill>
              <a:prstDash val="dash"/>
            </a:ln>
            <a:noFill/>
          </a:endParaRPr>
        </a:p>
      </xdr:txBody>
    </xdr:sp>
    <xdr:clientData/>
  </xdr:oneCellAnchor>
  <xdr:oneCellAnchor>
    <xdr:from>
      <xdr:col>1</xdr:col>
      <xdr:colOff>697609</xdr:colOff>
      <xdr:row>718</xdr:row>
      <xdr:rowOff>107626</xdr:rowOff>
    </xdr:from>
    <xdr:ext cx="5275365" cy="3091103"/>
    <xdr:sp macro="" textlink="">
      <xdr:nvSpPr>
        <xdr:cNvPr id="59" name="TextBox 58">
          <a:extLst>
            <a:ext uri="{FF2B5EF4-FFF2-40B4-BE49-F238E27FC236}">
              <a16:creationId xmlns:a16="http://schemas.microsoft.com/office/drawing/2014/main" id="{00000000-0008-0000-0C00-00003B000000}"/>
            </a:ext>
          </a:extLst>
        </xdr:cNvPr>
        <xdr:cNvSpPr txBox="1"/>
      </xdr:nvSpPr>
      <xdr:spPr>
        <a:xfrm>
          <a:off x="6298309" y="143965606"/>
          <a:ext cx="5275365" cy="30911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pAutoFit/>
        </a:bodyPr>
        <a:lstStyle/>
        <a:p>
          <a:pPr>
            <a:lnSpc>
              <a:spcPts val="11500"/>
            </a:lnSpc>
          </a:pPr>
          <a:r>
            <a:rPr lang="en-US" sz="9600" b="0" i="0" baseline="0">
              <a:ln>
                <a:solidFill>
                  <a:srgbClr val="FF0000"/>
                </a:solidFill>
                <a:prstDash val="dash"/>
              </a:ln>
              <a:noFill/>
              <a:effectLst>
                <a:outerShdw blurRad="63500" dir="3600000" algn="tl" rotWithShape="0">
                  <a:srgbClr val="000000">
                    <a:alpha val="70000"/>
                  </a:srgbClr>
                </a:outerShdw>
              </a:effectLst>
              <a:latin typeface="+mn-lt"/>
              <a:ea typeface="+mn-ea"/>
              <a:cs typeface="+mn-cs"/>
            </a:rPr>
            <a:t>TR=1E-06</a:t>
          </a:r>
        </a:p>
        <a:p>
          <a:pPr>
            <a:lnSpc>
              <a:spcPts val="11300"/>
            </a:lnSpc>
          </a:pPr>
          <a:r>
            <a:rPr lang="en-US" sz="9600" b="0" i="0" baseline="0">
              <a:ln>
                <a:solidFill>
                  <a:srgbClr val="FF0000"/>
                </a:solidFill>
                <a:prstDash val="dash"/>
              </a:ln>
              <a:noFill/>
              <a:effectLst>
                <a:outerShdw blurRad="63500" dir="3600000" algn="tl" rotWithShape="0">
                  <a:srgbClr val="000000">
                    <a:alpha val="70000"/>
                  </a:srgbClr>
                </a:outerShdw>
              </a:effectLst>
              <a:latin typeface="+mn-lt"/>
              <a:ea typeface="+mn-ea"/>
              <a:cs typeface="+mn-cs"/>
            </a:rPr>
            <a:t>THQ=1.0</a:t>
          </a:r>
          <a:endParaRPr lang="en-US" sz="800">
            <a:ln>
              <a:solidFill>
                <a:srgbClr val="FF0000"/>
              </a:solidFill>
              <a:prstDash val="dash"/>
            </a:ln>
            <a:noFill/>
          </a:endParaRPr>
        </a:p>
      </xdr:txBody>
    </xdr:sp>
    <xdr:clientData/>
  </xdr:oneCellAnchor>
  <xdr:oneCellAnchor>
    <xdr:from>
      <xdr:col>1</xdr:col>
      <xdr:colOff>538495</xdr:colOff>
      <xdr:row>787</xdr:row>
      <xdr:rowOff>47512</xdr:rowOff>
    </xdr:from>
    <xdr:ext cx="5314715" cy="3074778"/>
    <xdr:sp macro="" textlink="">
      <xdr:nvSpPr>
        <xdr:cNvPr id="60" name="TextBox 59">
          <a:extLst>
            <a:ext uri="{FF2B5EF4-FFF2-40B4-BE49-F238E27FC236}">
              <a16:creationId xmlns:a16="http://schemas.microsoft.com/office/drawing/2014/main" id="{00000000-0008-0000-0C00-00003C000000}"/>
            </a:ext>
          </a:extLst>
        </xdr:cNvPr>
        <xdr:cNvSpPr txBox="1"/>
      </xdr:nvSpPr>
      <xdr:spPr>
        <a:xfrm>
          <a:off x="6139195" y="157751032"/>
          <a:ext cx="5314715" cy="30747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pAutoFit/>
        </a:bodyPr>
        <a:lstStyle/>
        <a:p>
          <a:r>
            <a:rPr lang="en-US" sz="9600" b="0" i="0" baseline="0">
              <a:ln>
                <a:solidFill>
                  <a:srgbClr val="FF0000"/>
                </a:solidFill>
                <a:prstDash val="dash"/>
              </a:ln>
              <a:noFill/>
              <a:effectLst>
                <a:outerShdw blurRad="63500" dir="3600000" algn="tl" rotWithShape="0">
                  <a:srgbClr val="000000">
                    <a:alpha val="70000"/>
                  </a:srgbClr>
                </a:outerShdw>
              </a:effectLst>
              <a:latin typeface="+mn-lt"/>
              <a:ea typeface="+mn-ea"/>
              <a:cs typeface="+mn-cs"/>
            </a:rPr>
            <a:t>TR=1E-06</a:t>
          </a:r>
        </a:p>
        <a:p>
          <a:pPr>
            <a:lnSpc>
              <a:spcPts val="11600"/>
            </a:lnSpc>
          </a:pPr>
          <a:r>
            <a:rPr lang="en-US" sz="9600" b="0" i="0" baseline="0">
              <a:ln>
                <a:solidFill>
                  <a:srgbClr val="FF0000"/>
                </a:solidFill>
                <a:prstDash val="dash"/>
              </a:ln>
              <a:noFill/>
              <a:effectLst>
                <a:outerShdw blurRad="63500" dir="3600000" algn="tl" rotWithShape="0">
                  <a:srgbClr val="000000">
                    <a:alpha val="70000"/>
                  </a:srgbClr>
                </a:outerShdw>
              </a:effectLst>
              <a:latin typeface="+mn-lt"/>
              <a:ea typeface="+mn-ea"/>
              <a:cs typeface="+mn-cs"/>
            </a:rPr>
            <a:t>THQ=1.0</a:t>
          </a:r>
          <a:endParaRPr lang="en-US" sz="800">
            <a:ln>
              <a:solidFill>
                <a:srgbClr val="FF0000"/>
              </a:solidFill>
              <a:prstDash val="dash"/>
            </a:ln>
            <a:noFill/>
          </a:endParaRPr>
        </a:p>
      </xdr:txBody>
    </xdr:sp>
    <xdr:clientData/>
  </xdr:one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485775</xdr:colOff>
          <xdr:row>0</xdr:row>
          <xdr:rowOff>0</xdr:rowOff>
        </xdr:from>
        <xdr:to>
          <xdr:col>6</xdr:col>
          <xdr:colOff>0</xdr:colOff>
          <xdr:row>0</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D00-000001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800000"/>
                  </a:solidFill>
                  <a:latin typeface="Arial Black"/>
                </a:rPr>
                <a:t>RESET TO DEFAULTS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sshonio/AppData/Local/Microsoft/Windows/Temporary%20Internet%20Files/Content.Outlook/B539CJ8C/VISL-Calculator.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avigation Guide"/>
      <sheetName val="VISL"/>
      <sheetName val="SG_IA_calc"/>
      <sheetName val="GW_IA_calc"/>
      <sheetName val="IA_risk_calc"/>
      <sheetName val="Chem Props"/>
      <sheetName val="Version Notes"/>
      <sheetName val="Tox Summary"/>
      <sheetName val="Parameters Summary"/>
    </sheetNames>
    <sheetDataSet>
      <sheetData sheetId="0" refreshError="1"/>
      <sheetData sheetId="1">
        <row r="13">
          <cell r="B13" t="str">
            <v>83-32-9</v>
          </cell>
        </row>
      </sheetData>
      <sheetData sheetId="2" refreshError="1"/>
      <sheetData sheetId="3" refreshError="1"/>
      <sheetData sheetId="4" refreshError="1"/>
      <sheetData sheetId="5" refreshError="1"/>
      <sheetData sheetId="6" refreshError="1"/>
      <sheetData sheetId="7">
        <row r="2">
          <cell r="N2" t="str">
            <v>Contaminant</v>
          </cell>
        </row>
        <row r="3">
          <cell r="N3" t="str">
            <v>Analyte</v>
          </cell>
        </row>
        <row r="4">
          <cell r="N4" t="str">
            <v>ALAR</v>
          </cell>
        </row>
        <row r="5">
          <cell r="N5" t="str">
            <v>Acephate</v>
          </cell>
        </row>
        <row r="6">
          <cell r="N6" t="str">
            <v>Acetaldehyde</v>
          </cell>
        </row>
        <row r="7">
          <cell r="N7" t="str">
            <v>Acetochlor</v>
          </cell>
        </row>
        <row r="8">
          <cell r="N8" t="str">
            <v>Acetone</v>
          </cell>
        </row>
        <row r="9">
          <cell r="N9" t="str">
            <v>Acetone Cyanohydrin</v>
          </cell>
        </row>
        <row r="10">
          <cell r="N10" t="str">
            <v>Acetonitrile</v>
          </cell>
        </row>
        <row r="11">
          <cell r="N11" t="str">
            <v>Acetophenone</v>
          </cell>
        </row>
        <row r="12">
          <cell r="N12" t="str">
            <v>Acetylaminofluorene, 2-</v>
          </cell>
        </row>
        <row r="13">
          <cell r="N13" t="str">
            <v>Acrolein</v>
          </cell>
        </row>
        <row r="14">
          <cell r="N14" t="str">
            <v>Acrylamide</v>
          </cell>
        </row>
        <row r="15">
          <cell r="N15" t="str">
            <v>Acrylic Acid</v>
          </cell>
        </row>
        <row r="16">
          <cell r="N16" t="str">
            <v>Acrylonitrile</v>
          </cell>
        </row>
        <row r="17">
          <cell r="N17" t="str">
            <v>Adiponitrile</v>
          </cell>
        </row>
        <row r="18">
          <cell r="N18" t="str">
            <v>Alachlor</v>
          </cell>
        </row>
        <row r="19">
          <cell r="N19" t="str">
            <v>Aldicarb</v>
          </cell>
        </row>
        <row r="20">
          <cell r="N20" t="str">
            <v>Aldicarb Sulfone</v>
          </cell>
        </row>
        <row r="21">
          <cell r="N21" t="str">
            <v>Aldicarb sulfoxide</v>
          </cell>
        </row>
        <row r="22">
          <cell r="N22" t="str">
            <v>Aldrin</v>
          </cell>
        </row>
        <row r="23">
          <cell r="N23" t="str">
            <v>Ally</v>
          </cell>
        </row>
        <row r="24">
          <cell r="N24" t="str">
            <v>Allyl Alcohol</v>
          </cell>
        </row>
        <row r="25">
          <cell r="N25" t="str">
            <v>Allyl Chloride</v>
          </cell>
        </row>
        <row r="26">
          <cell r="N26" t="str">
            <v>Aluminum</v>
          </cell>
        </row>
        <row r="27">
          <cell r="N27" t="str">
            <v>Aluminum Phosphide</v>
          </cell>
        </row>
        <row r="28">
          <cell r="N28" t="str">
            <v>Amdro</v>
          </cell>
        </row>
        <row r="29">
          <cell r="N29" t="str">
            <v>Ametryn</v>
          </cell>
        </row>
        <row r="30">
          <cell r="N30" t="str">
            <v>Aminobiphenyl, 4-</v>
          </cell>
        </row>
        <row r="31">
          <cell r="N31" t="str">
            <v>Aminophenol, m-</v>
          </cell>
        </row>
        <row r="32">
          <cell r="N32" t="str">
            <v>Aminophenol, p-</v>
          </cell>
        </row>
        <row r="33">
          <cell r="N33" t="str">
            <v>Amitraz</v>
          </cell>
        </row>
        <row r="34">
          <cell r="N34" t="str">
            <v>Ammonia</v>
          </cell>
        </row>
        <row r="35">
          <cell r="N35" t="str">
            <v>Ammonium Sulfamate</v>
          </cell>
        </row>
        <row r="36">
          <cell r="N36" t="str">
            <v>Aniline</v>
          </cell>
        </row>
        <row r="37">
          <cell r="N37" t="str">
            <v>Anthraquinone, 9,10-</v>
          </cell>
        </row>
        <row r="38">
          <cell r="N38" t="str">
            <v>Antimony (metallic)</v>
          </cell>
        </row>
        <row r="39">
          <cell r="N39" t="str">
            <v>Antimony Pentoxide</v>
          </cell>
        </row>
        <row r="40">
          <cell r="N40" t="str">
            <v>Antimony Potassium Tartrate</v>
          </cell>
        </row>
        <row r="41">
          <cell r="N41" t="str">
            <v>Antimony Tetroxide</v>
          </cell>
        </row>
        <row r="42">
          <cell r="N42" t="str">
            <v>Antimony Trioxide</v>
          </cell>
        </row>
        <row r="43">
          <cell r="N43" t="str">
            <v>Apollo</v>
          </cell>
        </row>
        <row r="44">
          <cell r="N44" t="str">
            <v>Aramite</v>
          </cell>
        </row>
        <row r="45">
          <cell r="N45" t="str">
            <v>Arsenic, Inorganic</v>
          </cell>
        </row>
        <row r="46">
          <cell r="N46" t="str">
            <v>Arsine</v>
          </cell>
        </row>
        <row r="47">
          <cell r="N47" t="str">
            <v>Assure</v>
          </cell>
        </row>
        <row r="48">
          <cell r="N48" t="str">
            <v>Asulam</v>
          </cell>
        </row>
        <row r="49">
          <cell r="N49" t="str">
            <v>Atrazine</v>
          </cell>
        </row>
        <row r="50">
          <cell r="N50" t="str">
            <v>Auramine</v>
          </cell>
        </row>
        <row r="51">
          <cell r="N51" t="str">
            <v>Avermectin B1</v>
          </cell>
        </row>
        <row r="52">
          <cell r="N52" t="str">
            <v>Azobenzene</v>
          </cell>
        </row>
        <row r="53">
          <cell r="N53" t="str">
            <v>Barium</v>
          </cell>
        </row>
        <row r="54">
          <cell r="N54" t="str">
            <v>Baygon</v>
          </cell>
        </row>
        <row r="55">
          <cell r="N55" t="str">
            <v>Bayleton</v>
          </cell>
        </row>
        <row r="56">
          <cell r="N56" t="str">
            <v>Baythroid</v>
          </cell>
        </row>
        <row r="57">
          <cell r="N57" t="str">
            <v>Benefin</v>
          </cell>
        </row>
        <row r="58">
          <cell r="N58" t="str">
            <v>Benomyl</v>
          </cell>
        </row>
        <row r="59">
          <cell r="N59" t="str">
            <v>Bentazon</v>
          </cell>
        </row>
        <row r="60">
          <cell r="N60" t="str">
            <v>Benzaldehyde</v>
          </cell>
        </row>
        <row r="61">
          <cell r="N61" t="str">
            <v>Benzene</v>
          </cell>
        </row>
        <row r="62">
          <cell r="N62" t="str">
            <v>Benzenediamine-2-methyl sulfate, 1,4-</v>
          </cell>
        </row>
        <row r="63">
          <cell r="N63" t="str">
            <v>Benzenethiol</v>
          </cell>
        </row>
        <row r="64">
          <cell r="N64" t="str">
            <v>Benzidine</v>
          </cell>
        </row>
        <row r="65">
          <cell r="N65" t="str">
            <v>Benzoic Acid</v>
          </cell>
        </row>
        <row r="66">
          <cell r="N66" t="str">
            <v>Benzotrichloride</v>
          </cell>
        </row>
        <row r="67">
          <cell r="N67" t="str">
            <v>Benzyl Alcohol</v>
          </cell>
        </row>
        <row r="68">
          <cell r="N68" t="str">
            <v>Benzyl Chloride</v>
          </cell>
        </row>
        <row r="69">
          <cell r="N69" t="str">
            <v>Beryllium and compounds</v>
          </cell>
        </row>
        <row r="70">
          <cell r="N70" t="str">
            <v>Bidrin</v>
          </cell>
        </row>
        <row r="71">
          <cell r="N71" t="str">
            <v>Bifenox</v>
          </cell>
        </row>
        <row r="72">
          <cell r="N72" t="str">
            <v>Biphenthrin</v>
          </cell>
        </row>
        <row r="73">
          <cell r="N73" t="str">
            <v>Biphenyl, 1,1'-</v>
          </cell>
        </row>
        <row r="74">
          <cell r="N74" t="str">
            <v>Bis(2-chloro-1-methylethyl) ether</v>
          </cell>
        </row>
        <row r="75">
          <cell r="N75" t="str">
            <v>Bis(2-chloroethoxy)methane</v>
          </cell>
        </row>
        <row r="76">
          <cell r="N76" t="str">
            <v>Bis(2-chloroethyl)ether</v>
          </cell>
        </row>
        <row r="77">
          <cell r="N77" t="str">
            <v>Bis(2-ethylhexyl)phthalate</v>
          </cell>
        </row>
        <row r="78">
          <cell r="N78" t="str">
            <v>Bis(chloromethyl)ether</v>
          </cell>
        </row>
        <row r="79">
          <cell r="N79" t="str">
            <v>Bisphenol A</v>
          </cell>
        </row>
        <row r="80">
          <cell r="N80" t="str">
            <v>Boron And Borates Only</v>
          </cell>
        </row>
        <row r="81">
          <cell r="N81" t="str">
            <v>Boron Trichloride</v>
          </cell>
        </row>
        <row r="82">
          <cell r="N82" t="str">
            <v>Boron Trifluoride</v>
          </cell>
        </row>
        <row r="83">
          <cell r="N83" t="str">
            <v>Bromate</v>
          </cell>
        </row>
        <row r="84">
          <cell r="N84" t="str">
            <v>Bromo-2-chloroethane, 1-</v>
          </cell>
        </row>
        <row r="85">
          <cell r="N85" t="str">
            <v>Bromobenzene</v>
          </cell>
        </row>
        <row r="86">
          <cell r="N86" t="str">
            <v>Bromochloromethane</v>
          </cell>
        </row>
        <row r="87">
          <cell r="N87" t="str">
            <v>Bromodichloromethane</v>
          </cell>
        </row>
        <row r="88">
          <cell r="N88" t="str">
            <v>Bromoform</v>
          </cell>
        </row>
        <row r="89">
          <cell r="N89" t="str">
            <v>Bromomethane</v>
          </cell>
        </row>
        <row r="90">
          <cell r="N90" t="str">
            <v>Bromophos</v>
          </cell>
        </row>
        <row r="91">
          <cell r="N91" t="str">
            <v>Bromoxynil</v>
          </cell>
        </row>
        <row r="92">
          <cell r="N92" t="str">
            <v>Bromoxynil Octanoate</v>
          </cell>
        </row>
        <row r="93">
          <cell r="N93" t="str">
            <v>Butadiene, 1,3-</v>
          </cell>
        </row>
        <row r="94">
          <cell r="N94" t="str">
            <v>Butanol, N-</v>
          </cell>
        </row>
        <row r="95">
          <cell r="N95" t="str">
            <v>Butyl Benzyl Phthlate</v>
          </cell>
        </row>
        <row r="96">
          <cell r="N96" t="str">
            <v>Butyl alcohol, sec-</v>
          </cell>
        </row>
        <row r="97">
          <cell r="N97" t="str">
            <v>Butylate</v>
          </cell>
        </row>
        <row r="98">
          <cell r="N98" t="str">
            <v>Butylated hydroxyanisole</v>
          </cell>
        </row>
        <row r="99">
          <cell r="N99" t="str">
            <v>Butylbenzene, n-</v>
          </cell>
        </row>
        <row r="100">
          <cell r="N100" t="str">
            <v>Butylbenzene, sec-</v>
          </cell>
        </row>
        <row r="101">
          <cell r="N101" t="str">
            <v>Butylbenzene, tert-</v>
          </cell>
        </row>
        <row r="102">
          <cell r="N102" t="str">
            <v>Butylphthalyl Butylglycolate</v>
          </cell>
        </row>
        <row r="103">
          <cell r="N103" t="str">
            <v>Cacodylic Acid</v>
          </cell>
        </row>
        <row r="104">
          <cell r="N104" t="str">
            <v>Cadmium (Diet)</v>
          </cell>
        </row>
        <row r="105">
          <cell r="N105" t="str">
            <v>Cadmium (Water)</v>
          </cell>
        </row>
        <row r="106">
          <cell r="N106" t="str">
            <v>Caprolactam</v>
          </cell>
        </row>
        <row r="107">
          <cell r="N107" t="str">
            <v>Captafol</v>
          </cell>
        </row>
        <row r="108">
          <cell r="N108" t="str">
            <v>Captan</v>
          </cell>
        </row>
        <row r="109">
          <cell r="N109" t="str">
            <v>Carbaryl</v>
          </cell>
        </row>
        <row r="110">
          <cell r="N110" t="str">
            <v>Carbofuran</v>
          </cell>
        </row>
        <row r="111">
          <cell r="N111" t="str">
            <v>Carbon Disulfide</v>
          </cell>
        </row>
        <row r="112">
          <cell r="N112" t="str">
            <v>Carbon Tetrachloride</v>
          </cell>
        </row>
        <row r="113">
          <cell r="N113" t="str">
            <v>Carbosulfan</v>
          </cell>
        </row>
        <row r="114">
          <cell r="N114" t="str">
            <v>Carboxin</v>
          </cell>
        </row>
        <row r="115">
          <cell r="N115" t="str">
            <v>Ceric oxide</v>
          </cell>
        </row>
        <row r="116">
          <cell r="N116" t="str">
            <v>Chloral Hydrate</v>
          </cell>
        </row>
        <row r="117">
          <cell r="N117" t="str">
            <v>Chloramben</v>
          </cell>
        </row>
        <row r="118">
          <cell r="N118" t="str">
            <v>Chloranil</v>
          </cell>
        </row>
        <row r="119">
          <cell r="N119" t="str">
            <v>Chlordane</v>
          </cell>
        </row>
        <row r="120">
          <cell r="N120" t="str">
            <v>Chlordecone (Kepone)</v>
          </cell>
        </row>
        <row r="121">
          <cell r="N121" t="str">
            <v>Chlorfenvinphos</v>
          </cell>
        </row>
        <row r="122">
          <cell r="N122" t="str">
            <v>Chlorimuron, Ethyl-</v>
          </cell>
        </row>
        <row r="123">
          <cell r="N123" t="str">
            <v>Chlorine</v>
          </cell>
        </row>
        <row r="124">
          <cell r="N124" t="str">
            <v>Chlorine Dioxide</v>
          </cell>
        </row>
        <row r="125">
          <cell r="N125" t="str">
            <v>Chlorite (Sodium Salt)</v>
          </cell>
        </row>
        <row r="126">
          <cell r="N126" t="str">
            <v>Chloro-1,1-difluoroethane, 1-</v>
          </cell>
        </row>
        <row r="127">
          <cell r="N127" t="str">
            <v>Chloro-1,3-butadiene, 2-</v>
          </cell>
        </row>
        <row r="128">
          <cell r="N128" t="str">
            <v>Chloro-2-methylaniline HCl, 4-</v>
          </cell>
        </row>
        <row r="129">
          <cell r="N129" t="str">
            <v>Chloro-2-methylaniline, 4-</v>
          </cell>
        </row>
        <row r="130">
          <cell r="N130" t="str">
            <v>Chloroacetaldehyde, 2-</v>
          </cell>
        </row>
        <row r="131">
          <cell r="N131" t="str">
            <v>Chloroacetic Acid</v>
          </cell>
        </row>
        <row r="132">
          <cell r="N132" t="str">
            <v>Chloroacetophenone, 2-</v>
          </cell>
        </row>
        <row r="133">
          <cell r="N133" t="str">
            <v>Chloroaniline, p-</v>
          </cell>
        </row>
        <row r="134">
          <cell r="N134" t="str">
            <v>Chlorobenzene</v>
          </cell>
        </row>
        <row r="135">
          <cell r="N135" t="str">
            <v>Chlorobenzilate</v>
          </cell>
        </row>
        <row r="136">
          <cell r="N136" t="str">
            <v>Chlorobenzoic Acid, p-</v>
          </cell>
        </row>
        <row r="137">
          <cell r="N137" t="str">
            <v>Chlorobenzotrifluoride, 4-</v>
          </cell>
        </row>
        <row r="138">
          <cell r="N138" t="str">
            <v>Chlorobutane, 1-</v>
          </cell>
        </row>
        <row r="139">
          <cell r="N139" t="str">
            <v>Chlorodifluoromethane</v>
          </cell>
        </row>
        <row r="140">
          <cell r="N140" t="str">
            <v>Chloroethanol, 2-</v>
          </cell>
        </row>
        <row r="141">
          <cell r="N141" t="str">
            <v>Chloroform</v>
          </cell>
        </row>
        <row r="142">
          <cell r="N142" t="str">
            <v>Chloromethane</v>
          </cell>
        </row>
        <row r="143">
          <cell r="N143" t="str">
            <v>Chloromethyl Methyl Ether</v>
          </cell>
        </row>
        <row r="144">
          <cell r="N144" t="str">
            <v>Chloronaphthalene, Beta-</v>
          </cell>
        </row>
        <row r="145">
          <cell r="N145" t="str">
            <v>Chloronitrobenzene, o-</v>
          </cell>
        </row>
        <row r="146">
          <cell r="N146" t="str">
            <v>Chloronitrobenzene, p-</v>
          </cell>
        </row>
        <row r="147">
          <cell r="N147" t="str">
            <v>Chlorophenol, 2-</v>
          </cell>
        </row>
        <row r="148">
          <cell r="N148" t="str">
            <v>Chloropicrin</v>
          </cell>
        </row>
        <row r="149">
          <cell r="N149" t="str">
            <v>Chlorothalonil</v>
          </cell>
        </row>
        <row r="150">
          <cell r="N150" t="str">
            <v>Chlorotoluene, o-</v>
          </cell>
        </row>
        <row r="151">
          <cell r="N151" t="str">
            <v>Chlorotoluene, p-</v>
          </cell>
        </row>
        <row r="152">
          <cell r="N152" t="str">
            <v>Chlorozotocin</v>
          </cell>
        </row>
        <row r="153">
          <cell r="N153" t="str">
            <v>Chlorpropham</v>
          </cell>
        </row>
        <row r="154">
          <cell r="N154" t="str">
            <v>Chlorpyrifos</v>
          </cell>
        </row>
        <row r="155">
          <cell r="N155" t="str">
            <v>Chlorpyrifos Methyl</v>
          </cell>
        </row>
        <row r="156">
          <cell r="N156" t="str">
            <v>Chlorsulfuron</v>
          </cell>
        </row>
        <row r="157">
          <cell r="N157" t="str">
            <v>Chlorthiophos</v>
          </cell>
        </row>
        <row r="158">
          <cell r="N158" t="str">
            <v>Chromium(III), Insoluble Salts</v>
          </cell>
        </row>
        <row r="159">
          <cell r="N159" t="str">
            <v>Chromium(VI)</v>
          </cell>
        </row>
        <row r="160">
          <cell r="N160" t="str">
            <v>Chromium, Total</v>
          </cell>
        </row>
        <row r="161">
          <cell r="N161" t="str">
            <v>Cobalt</v>
          </cell>
        </row>
        <row r="162">
          <cell r="N162" t="str">
            <v>Coke Oven Emissions</v>
          </cell>
        </row>
        <row r="163">
          <cell r="N163" t="str">
            <v>Copper</v>
          </cell>
        </row>
        <row r="164">
          <cell r="N164" t="str">
            <v>Cresol, m-</v>
          </cell>
        </row>
        <row r="165">
          <cell r="N165" t="str">
            <v>Cresol, o-</v>
          </cell>
        </row>
        <row r="166">
          <cell r="N166" t="str">
            <v>Cresol, p-</v>
          </cell>
        </row>
        <row r="167">
          <cell r="N167" t="str">
            <v>Cresol, p-chloro-m-</v>
          </cell>
        </row>
        <row r="168">
          <cell r="N168" t="str">
            <v>Cresols</v>
          </cell>
        </row>
        <row r="169">
          <cell r="N169" t="str">
            <v>Crotonaldehyde, trans-</v>
          </cell>
        </row>
        <row r="170">
          <cell r="N170" t="str">
            <v>Cumene</v>
          </cell>
        </row>
        <row r="171">
          <cell r="N171" t="str">
            <v>Cupferron</v>
          </cell>
        </row>
        <row r="172">
          <cell r="N172" t="str">
            <v>Cyanazine</v>
          </cell>
        </row>
        <row r="173">
          <cell r="N173" t="str">
            <v>Cyanides</v>
          </cell>
        </row>
        <row r="174">
          <cell r="N174" t="str">
            <v>~Calcium Cyanide</v>
          </cell>
        </row>
        <row r="175">
          <cell r="N175" t="str">
            <v>~Copper Cyanide</v>
          </cell>
        </row>
        <row r="176">
          <cell r="N176" t="str">
            <v>~Cyanide (CN-)</v>
          </cell>
        </row>
        <row r="177">
          <cell r="N177" t="str">
            <v>~Cyanogen</v>
          </cell>
        </row>
        <row r="178">
          <cell r="N178" t="str">
            <v>~Cyanogen Bromide</v>
          </cell>
        </row>
        <row r="179">
          <cell r="N179" t="str">
            <v>~Cyanogen Chloride</v>
          </cell>
        </row>
        <row r="180">
          <cell r="N180" t="str">
            <v>~Hydrogen Cyanide</v>
          </cell>
        </row>
        <row r="181">
          <cell r="N181" t="str">
            <v>~Potassium Cyanide</v>
          </cell>
        </row>
        <row r="182">
          <cell r="N182" t="str">
            <v>~Potassium Silver Cyanide</v>
          </cell>
        </row>
        <row r="183">
          <cell r="N183" t="str">
            <v>~Silver Cyanide</v>
          </cell>
        </row>
        <row r="184">
          <cell r="N184" t="str">
            <v>~Sodium Cyanide</v>
          </cell>
        </row>
        <row r="185">
          <cell r="N185" t="str">
            <v>~Thiocyanates</v>
          </cell>
        </row>
        <row r="186">
          <cell r="N186" t="str">
            <v>~Thiocyanic Acid</v>
          </cell>
        </row>
        <row r="187">
          <cell r="N187" t="str">
            <v>~Zinc Cyanide</v>
          </cell>
        </row>
        <row r="188">
          <cell r="N188" t="str">
            <v>Cyclohexane</v>
          </cell>
        </row>
        <row r="189">
          <cell r="N189" t="str">
            <v>Cyclohexane, 1,2,3,4,5-pentabromo-6-chloro-</v>
          </cell>
        </row>
        <row r="190">
          <cell r="N190" t="str">
            <v>Cyclohexanone</v>
          </cell>
        </row>
        <row r="191">
          <cell r="N191" t="str">
            <v>Cyclohexene</v>
          </cell>
        </row>
        <row r="192">
          <cell r="N192" t="str">
            <v>Cyclohexylamine</v>
          </cell>
        </row>
        <row r="193">
          <cell r="N193" t="str">
            <v>Cyhalothrin/karate</v>
          </cell>
        </row>
        <row r="194">
          <cell r="N194" t="str">
            <v>Cypermethrin</v>
          </cell>
        </row>
        <row r="195">
          <cell r="N195" t="str">
            <v>Cyromazine</v>
          </cell>
        </row>
        <row r="196">
          <cell r="N196" t="str">
            <v>DDD</v>
          </cell>
        </row>
        <row r="197">
          <cell r="N197" t="str">
            <v>DDE, p,p'-</v>
          </cell>
        </row>
        <row r="198">
          <cell r="N198" t="str">
            <v>DDT</v>
          </cell>
        </row>
        <row r="199">
          <cell r="N199" t="str">
            <v>Dacthal</v>
          </cell>
        </row>
        <row r="200">
          <cell r="N200" t="str">
            <v>Dalapon</v>
          </cell>
        </row>
        <row r="201">
          <cell r="N201" t="str">
            <v>Decabromodiphenyl ether, 2,2',3,3',4,4',5,5',6,6'- (BDE-209)</v>
          </cell>
        </row>
        <row r="202">
          <cell r="N202" t="str">
            <v>Demeton</v>
          </cell>
        </row>
        <row r="203">
          <cell r="N203" t="str">
            <v>Di(2-ethylhexyl)adipate</v>
          </cell>
        </row>
        <row r="204">
          <cell r="N204" t="str">
            <v>Diallate</v>
          </cell>
        </row>
        <row r="205">
          <cell r="N205" t="str">
            <v>Diazinon</v>
          </cell>
        </row>
        <row r="206">
          <cell r="N206" t="str">
            <v>Dibromo-3-chloropropane, 1,2-</v>
          </cell>
        </row>
        <row r="207">
          <cell r="N207" t="str">
            <v>Dibromobenzene, 1,4-</v>
          </cell>
        </row>
        <row r="208">
          <cell r="N208" t="str">
            <v>Dibromochloromethane</v>
          </cell>
        </row>
        <row r="209">
          <cell r="N209" t="str">
            <v>Dibromoethane, 1,2-</v>
          </cell>
        </row>
        <row r="210">
          <cell r="N210" t="str">
            <v>Dibromomethane (Methylene Bromide)</v>
          </cell>
        </row>
        <row r="211">
          <cell r="N211" t="str">
            <v>Dibutyl Phthalate</v>
          </cell>
        </row>
        <row r="212">
          <cell r="N212" t="str">
            <v>Dibutyltin Compounds</v>
          </cell>
        </row>
        <row r="213">
          <cell r="N213" t="str">
            <v>Dicamba</v>
          </cell>
        </row>
        <row r="214">
          <cell r="N214" t="str">
            <v>Dichloro-2-butene, 1,4-</v>
          </cell>
        </row>
        <row r="215">
          <cell r="N215" t="str">
            <v>Dichloro-2-butene, cis-1,4-</v>
          </cell>
        </row>
        <row r="216">
          <cell r="N216" t="str">
            <v>Dichloro-2-butene, trans-1,4-</v>
          </cell>
        </row>
        <row r="217">
          <cell r="N217" t="str">
            <v>Dichloroacetic Acid</v>
          </cell>
        </row>
        <row r="218">
          <cell r="N218" t="str">
            <v>Dichlorobenzene, 1,2-</v>
          </cell>
        </row>
        <row r="219">
          <cell r="N219" t="str">
            <v>Dichlorobenzene, 1,4-</v>
          </cell>
        </row>
        <row r="220">
          <cell r="N220" t="str">
            <v>Dichlorobenzidine, 3,3'-</v>
          </cell>
        </row>
        <row r="221">
          <cell r="N221" t="str">
            <v>Dichlorobenzophenone, 4,4'-</v>
          </cell>
        </row>
        <row r="222">
          <cell r="N222" t="str">
            <v>Dichlorodifluoromethane</v>
          </cell>
        </row>
        <row r="223">
          <cell r="N223" t="str">
            <v>Dichloroethane, 1,1-</v>
          </cell>
        </row>
        <row r="224">
          <cell r="N224" t="str">
            <v>Dichloroethane, 1,2-</v>
          </cell>
        </row>
        <row r="225">
          <cell r="N225" t="str">
            <v>Dichloroethylene, 1,1-</v>
          </cell>
        </row>
        <row r="226">
          <cell r="N226" t="str">
            <v>Dichloroethylene, 1,2- (Mixed Isomers)</v>
          </cell>
        </row>
        <row r="227">
          <cell r="N227" t="str">
            <v>Dichloroethylene, 1,2-cis-</v>
          </cell>
        </row>
        <row r="228">
          <cell r="N228" t="str">
            <v>Dichloroethylene, 1,2-trans-</v>
          </cell>
        </row>
        <row r="229">
          <cell r="N229" t="str">
            <v>Dichlorophenol, 2,4-</v>
          </cell>
        </row>
        <row r="230">
          <cell r="N230" t="str">
            <v>Dichlorophenoxy Acetic Acid, 2,4-</v>
          </cell>
        </row>
        <row r="231">
          <cell r="N231" t="str">
            <v>Dichlorophenoxy)butyric Acid, 4-(2,4-</v>
          </cell>
        </row>
        <row r="232">
          <cell r="N232" t="str">
            <v>Dichloropropane, 1,2-</v>
          </cell>
        </row>
        <row r="233">
          <cell r="N233" t="str">
            <v>Dichloropropane, 1,3-</v>
          </cell>
        </row>
        <row r="234">
          <cell r="N234" t="str">
            <v>Dichloropropanol, 2,3-</v>
          </cell>
        </row>
        <row r="235">
          <cell r="N235" t="str">
            <v>Dichloropropene, 1,3-</v>
          </cell>
        </row>
        <row r="236">
          <cell r="N236" t="str">
            <v>Dichlorvos</v>
          </cell>
        </row>
        <row r="237">
          <cell r="N237" t="str">
            <v>Dicyclopentadiene</v>
          </cell>
        </row>
        <row r="238">
          <cell r="N238" t="str">
            <v>Dieldrin</v>
          </cell>
        </row>
        <row r="239">
          <cell r="N239" t="str">
            <v>Diesel Engine Exhaust</v>
          </cell>
        </row>
        <row r="240">
          <cell r="N240" t="str">
            <v>Diethanolamine</v>
          </cell>
        </row>
        <row r="241">
          <cell r="N241" t="str">
            <v>Diethyl Phthalate</v>
          </cell>
        </row>
        <row r="242">
          <cell r="N242" t="str">
            <v>Diethylene Glycol Monobutyl Ether</v>
          </cell>
        </row>
        <row r="243">
          <cell r="N243" t="str">
            <v>Diethylene Glycol Monoethyl Ether</v>
          </cell>
        </row>
        <row r="244">
          <cell r="N244" t="str">
            <v>Diethylformamide</v>
          </cell>
        </row>
        <row r="245">
          <cell r="N245" t="str">
            <v>Diethylstilbestrol</v>
          </cell>
        </row>
        <row r="246">
          <cell r="N246" t="str">
            <v>Difenzoquat</v>
          </cell>
        </row>
        <row r="247">
          <cell r="N247" t="str">
            <v>Diflubenzuron</v>
          </cell>
        </row>
        <row r="248">
          <cell r="N248" t="str">
            <v>Difluoroethane, 1,1-</v>
          </cell>
        </row>
        <row r="249">
          <cell r="N249" t="str">
            <v>Dihydrosafrole</v>
          </cell>
        </row>
        <row r="250">
          <cell r="N250" t="str">
            <v>Diisopropyl Ether</v>
          </cell>
        </row>
        <row r="251">
          <cell r="N251" t="str">
            <v>Diisopropyl Methylphosphonate</v>
          </cell>
        </row>
        <row r="252">
          <cell r="N252" t="str">
            <v>Dimethipin</v>
          </cell>
        </row>
        <row r="253">
          <cell r="N253" t="str">
            <v>Dimethoate</v>
          </cell>
        </row>
        <row r="254">
          <cell r="N254" t="str">
            <v>Dimethoxybenzidine, 3,3'-</v>
          </cell>
        </row>
        <row r="255">
          <cell r="N255" t="str">
            <v>Dimethyl methylphosphonate</v>
          </cell>
        </row>
        <row r="256">
          <cell r="N256" t="str">
            <v>Dimethylamino azobenzene [p-]</v>
          </cell>
        </row>
        <row r="257">
          <cell r="N257" t="str">
            <v>Dimethylaniline HCl, 2,4-</v>
          </cell>
        </row>
        <row r="258">
          <cell r="N258" t="str">
            <v>Dimethylaniline, 2,4-</v>
          </cell>
        </row>
        <row r="259">
          <cell r="N259" t="str">
            <v>Dimethylaniline, N,N-</v>
          </cell>
        </row>
        <row r="260">
          <cell r="N260" t="str">
            <v>Dimethylbenzidine, 3,3'-</v>
          </cell>
        </row>
        <row r="261">
          <cell r="N261" t="str">
            <v>Dimethylformamide</v>
          </cell>
        </row>
        <row r="262">
          <cell r="N262" t="str">
            <v>Dimethylhydrazine, 1,1-</v>
          </cell>
        </row>
        <row r="263">
          <cell r="N263" t="str">
            <v>Dimethylhydrazine, 1,2-</v>
          </cell>
        </row>
        <row r="264">
          <cell r="N264" t="str">
            <v>Dimethylphenol, 2,4-</v>
          </cell>
        </row>
        <row r="265">
          <cell r="N265" t="str">
            <v>Dimethylphenol, 2,6-</v>
          </cell>
        </row>
        <row r="266">
          <cell r="N266" t="str">
            <v>Dimethylphenol, 3,4-</v>
          </cell>
        </row>
        <row r="267">
          <cell r="N267" t="str">
            <v>Dimethylterephthalate</v>
          </cell>
        </row>
        <row r="268">
          <cell r="N268" t="str">
            <v>Dimethylvinylchloride</v>
          </cell>
        </row>
        <row r="269">
          <cell r="N269" t="str">
            <v>Dinitro-o-cresol, 4,6-</v>
          </cell>
        </row>
        <row r="270">
          <cell r="N270" t="str">
            <v>Dinitro-o-cyclohexyl Phenol, 4,6-</v>
          </cell>
        </row>
        <row r="271">
          <cell r="N271" t="str">
            <v>Dinitrobenzene, 1,2-</v>
          </cell>
        </row>
        <row r="272">
          <cell r="N272" t="str">
            <v>Dinitrobenzene, 1,3-</v>
          </cell>
        </row>
        <row r="273">
          <cell r="N273" t="str">
            <v>Dinitrobenzene, 1,4-</v>
          </cell>
        </row>
        <row r="274">
          <cell r="N274" t="str">
            <v>Dinitrophenol, 2,4-</v>
          </cell>
        </row>
        <row r="275">
          <cell r="N275" t="str">
            <v>Dinitrotoluene Mixture, 2,4/2,6-</v>
          </cell>
        </row>
        <row r="276">
          <cell r="N276" t="str">
            <v>Dinitrotoluene, 2,4-</v>
          </cell>
        </row>
        <row r="277">
          <cell r="N277" t="str">
            <v>Dinitrotoluene, 2,6-</v>
          </cell>
        </row>
        <row r="278">
          <cell r="N278" t="str">
            <v>Dinitrotoluene, 2-Amino-4,6-</v>
          </cell>
        </row>
        <row r="279">
          <cell r="N279" t="str">
            <v>Dinitrotoluene, 4-Amino-2,6-</v>
          </cell>
        </row>
        <row r="280">
          <cell r="N280" t="str">
            <v>Dinitrotoluene, Technical grade</v>
          </cell>
        </row>
        <row r="281">
          <cell r="N281" t="str">
            <v>Dinoseb</v>
          </cell>
        </row>
        <row r="282">
          <cell r="N282" t="str">
            <v>Dioxane, 1,4-</v>
          </cell>
        </row>
        <row r="283">
          <cell r="N283" t="str">
            <v>Dioxins</v>
          </cell>
        </row>
        <row r="284">
          <cell r="N284" t="str">
            <v>~Hexachlorodibenzo-p-dioxin, Mixture</v>
          </cell>
        </row>
        <row r="285">
          <cell r="N285" t="str">
            <v>~TCDD, 2,3,7,8-</v>
          </cell>
        </row>
        <row r="286">
          <cell r="N286" t="str">
            <v>Diphenamid</v>
          </cell>
        </row>
        <row r="287">
          <cell r="N287" t="str">
            <v>Diphenyl Sulfone</v>
          </cell>
        </row>
        <row r="288">
          <cell r="N288" t="str">
            <v>Diphenylamine</v>
          </cell>
        </row>
        <row r="289">
          <cell r="N289" t="str">
            <v>Diphenylhydrazine, 1,2-</v>
          </cell>
        </row>
        <row r="290">
          <cell r="N290" t="str">
            <v>Diquat</v>
          </cell>
        </row>
        <row r="291">
          <cell r="N291" t="str">
            <v>Direct Black 38</v>
          </cell>
        </row>
        <row r="292">
          <cell r="N292" t="str">
            <v>Direct Blue 6</v>
          </cell>
        </row>
        <row r="293">
          <cell r="N293" t="str">
            <v>Direct Brown 95</v>
          </cell>
        </row>
        <row r="294">
          <cell r="N294" t="str">
            <v>Disulfoton</v>
          </cell>
        </row>
        <row r="295">
          <cell r="N295" t="str">
            <v>Dithiane, 1,4-</v>
          </cell>
        </row>
        <row r="296">
          <cell r="N296" t="str">
            <v>Diuron</v>
          </cell>
        </row>
        <row r="297">
          <cell r="N297" t="str">
            <v>Dodine</v>
          </cell>
        </row>
        <row r="298">
          <cell r="N298" t="str">
            <v>EPTC</v>
          </cell>
        </row>
        <row r="299">
          <cell r="N299" t="str">
            <v>Endosulfan</v>
          </cell>
        </row>
        <row r="300">
          <cell r="N300" t="str">
            <v>Endothall</v>
          </cell>
        </row>
        <row r="301">
          <cell r="N301" t="str">
            <v>Endrin</v>
          </cell>
        </row>
        <row r="302">
          <cell r="N302" t="str">
            <v>Epichlorohydrin</v>
          </cell>
        </row>
        <row r="303">
          <cell r="N303" t="str">
            <v>Epoxybutane, 1,2-</v>
          </cell>
        </row>
        <row r="304">
          <cell r="N304" t="str">
            <v>Ethephon</v>
          </cell>
        </row>
        <row r="305">
          <cell r="N305" t="str">
            <v>Ethion</v>
          </cell>
        </row>
        <row r="306">
          <cell r="N306" t="str">
            <v>Ethoxyethanol Acetate, 2-</v>
          </cell>
        </row>
        <row r="307">
          <cell r="N307" t="str">
            <v>Ethoxyethanol, 2-</v>
          </cell>
        </row>
        <row r="308">
          <cell r="N308" t="str">
            <v>Ethyl Acetate</v>
          </cell>
        </row>
        <row r="309">
          <cell r="N309" t="str">
            <v>Ethyl Acrylate</v>
          </cell>
        </row>
        <row r="310">
          <cell r="N310" t="str">
            <v>Ethyl Chloride</v>
          </cell>
        </row>
        <row r="311">
          <cell r="N311" t="str">
            <v>Ethyl Ether</v>
          </cell>
        </row>
        <row r="312">
          <cell r="N312" t="str">
            <v>Ethyl Methacrylate</v>
          </cell>
        </row>
        <row r="313">
          <cell r="N313" t="str">
            <v>Ethyl-p-nitrophenyl Phosphonate</v>
          </cell>
        </row>
        <row r="314">
          <cell r="N314" t="str">
            <v>Ethylbenzene</v>
          </cell>
        </row>
        <row r="315">
          <cell r="N315" t="str">
            <v>Ethylene Cyanohydrin</v>
          </cell>
        </row>
        <row r="316">
          <cell r="N316" t="str">
            <v>Ethylene Diamine</v>
          </cell>
        </row>
        <row r="317">
          <cell r="N317" t="str">
            <v>Ethylene Glycol</v>
          </cell>
        </row>
        <row r="318">
          <cell r="N318" t="str">
            <v>Ethylene Glycol Monobutyl Ether</v>
          </cell>
        </row>
        <row r="319">
          <cell r="N319" t="str">
            <v>Ethylene Oxide</v>
          </cell>
        </row>
        <row r="320">
          <cell r="N320" t="str">
            <v>Ethylene Thiourea</v>
          </cell>
        </row>
        <row r="321">
          <cell r="N321" t="str">
            <v>Ethyleneimine</v>
          </cell>
        </row>
        <row r="322">
          <cell r="N322" t="str">
            <v>Ethylphthalyl Ethyl Glycolate</v>
          </cell>
        </row>
        <row r="323">
          <cell r="N323" t="str">
            <v>Express</v>
          </cell>
        </row>
        <row r="324">
          <cell r="N324" t="str">
            <v>Fenamiphos</v>
          </cell>
        </row>
        <row r="325">
          <cell r="N325" t="str">
            <v>Fenpropathrin</v>
          </cell>
        </row>
        <row r="326">
          <cell r="N326" t="str">
            <v>Fluometuron</v>
          </cell>
        </row>
        <row r="327">
          <cell r="N327" t="str">
            <v>Fluoride</v>
          </cell>
        </row>
        <row r="328">
          <cell r="N328" t="str">
            <v>Fluorine (Soluble Fluoride)</v>
          </cell>
        </row>
        <row r="329">
          <cell r="N329" t="str">
            <v>Fluridone</v>
          </cell>
        </row>
        <row r="330">
          <cell r="N330" t="str">
            <v>Flurprimidol</v>
          </cell>
        </row>
        <row r="331">
          <cell r="N331" t="str">
            <v>Flutolanil</v>
          </cell>
        </row>
        <row r="332">
          <cell r="N332" t="str">
            <v>Fluvalinate</v>
          </cell>
        </row>
        <row r="333">
          <cell r="N333" t="str">
            <v>Folpet</v>
          </cell>
        </row>
        <row r="334">
          <cell r="N334" t="str">
            <v>Fomesafen</v>
          </cell>
        </row>
        <row r="335">
          <cell r="N335" t="str">
            <v>Fonofos</v>
          </cell>
        </row>
        <row r="336">
          <cell r="N336" t="str">
            <v>Formaldehyde</v>
          </cell>
        </row>
        <row r="337">
          <cell r="N337" t="str">
            <v>Formic Acid</v>
          </cell>
        </row>
        <row r="338">
          <cell r="N338" t="str">
            <v>Fosetyl-AL</v>
          </cell>
        </row>
        <row r="339">
          <cell r="N339" t="str">
            <v>Furans</v>
          </cell>
        </row>
        <row r="340">
          <cell r="N340" t="str">
            <v>~Dibenzofuran</v>
          </cell>
        </row>
        <row r="341">
          <cell r="N341" t="str">
            <v>~Furan</v>
          </cell>
        </row>
        <row r="342">
          <cell r="N342" t="str">
            <v>~Tetrahydrofuran</v>
          </cell>
        </row>
        <row r="343">
          <cell r="N343" t="str">
            <v>Furazolidone</v>
          </cell>
        </row>
        <row r="344">
          <cell r="N344" t="str">
            <v>Furfural</v>
          </cell>
        </row>
        <row r="345">
          <cell r="N345" t="str">
            <v>Furium</v>
          </cell>
        </row>
        <row r="346">
          <cell r="N346" t="str">
            <v>Furmecyclox</v>
          </cell>
        </row>
        <row r="347">
          <cell r="N347" t="str">
            <v>Glufosinate, Ammonium</v>
          </cell>
        </row>
        <row r="348">
          <cell r="N348" t="str">
            <v>Glutaraldehyde</v>
          </cell>
        </row>
        <row r="349">
          <cell r="N349" t="str">
            <v>Glycidyl</v>
          </cell>
        </row>
        <row r="350">
          <cell r="N350" t="str">
            <v>Glyphosate</v>
          </cell>
        </row>
        <row r="351">
          <cell r="N351" t="str">
            <v>Goal</v>
          </cell>
        </row>
        <row r="352">
          <cell r="N352" t="str">
            <v>Guthion</v>
          </cell>
        </row>
        <row r="353">
          <cell r="N353" t="str">
            <v>Haloxyfop, Methyl</v>
          </cell>
        </row>
        <row r="354">
          <cell r="N354" t="str">
            <v>Harmony</v>
          </cell>
        </row>
        <row r="355">
          <cell r="N355" t="str">
            <v>Heptachlor</v>
          </cell>
        </row>
        <row r="356">
          <cell r="N356" t="str">
            <v>Heptachlor Epoxide</v>
          </cell>
        </row>
        <row r="357">
          <cell r="N357" t="str">
            <v>Hexabromobenzene</v>
          </cell>
        </row>
        <row r="358">
          <cell r="N358" t="str">
            <v>Hexabromodiphenyl ether, 2,2',4,4',5,5'- (BDE-153)</v>
          </cell>
        </row>
        <row r="359">
          <cell r="N359" t="str">
            <v>Hexachlorobenzene</v>
          </cell>
        </row>
        <row r="360">
          <cell r="N360" t="str">
            <v>Hexachlorobutadiene</v>
          </cell>
        </row>
        <row r="361">
          <cell r="N361" t="str">
            <v>Hexachlorocyclohexane, Alpha-</v>
          </cell>
        </row>
        <row r="362">
          <cell r="N362" t="str">
            <v>Hexachlorocyclohexane, Beta-</v>
          </cell>
        </row>
        <row r="363">
          <cell r="N363" t="str">
            <v>Hexachlorocyclohexane, Gamma- (Lindane)</v>
          </cell>
        </row>
        <row r="364">
          <cell r="N364" t="str">
            <v>Hexachlorocyclohexane, Technical</v>
          </cell>
        </row>
        <row r="365">
          <cell r="N365" t="str">
            <v>Hexachlorocyclopentadiene</v>
          </cell>
        </row>
        <row r="366">
          <cell r="N366" t="str">
            <v>Hexachloroethane</v>
          </cell>
        </row>
        <row r="367">
          <cell r="N367" t="str">
            <v>Hexachlorophene</v>
          </cell>
        </row>
        <row r="368">
          <cell r="N368" t="str">
            <v>Hexahydro-1,3,5-trinitro-1,3,5-triazine (RDX)</v>
          </cell>
        </row>
        <row r="369">
          <cell r="N369" t="str">
            <v>Hexamethylene Diisocyanate, 1,6-</v>
          </cell>
        </row>
        <row r="370">
          <cell r="N370" t="str">
            <v>Hexamethylphosphoramide</v>
          </cell>
        </row>
        <row r="371">
          <cell r="N371" t="str">
            <v>Hexane, N-</v>
          </cell>
        </row>
        <row r="372">
          <cell r="N372" t="str">
            <v>Hexanedioic Acid</v>
          </cell>
        </row>
        <row r="373">
          <cell r="N373" t="str">
            <v>Hexanone, 2-</v>
          </cell>
        </row>
        <row r="374">
          <cell r="N374" t="str">
            <v>Hexazinone</v>
          </cell>
        </row>
        <row r="375">
          <cell r="N375" t="str">
            <v>Hydrazine</v>
          </cell>
        </row>
        <row r="376">
          <cell r="N376" t="str">
            <v>Hydrazine Sulfate</v>
          </cell>
        </row>
        <row r="377">
          <cell r="N377" t="str">
            <v>Hydrogen Chloride</v>
          </cell>
        </row>
        <row r="378">
          <cell r="N378" t="str">
            <v>Hydrogen Fluoride</v>
          </cell>
        </row>
        <row r="379">
          <cell r="N379" t="str">
            <v>Hydrogen Sulfide</v>
          </cell>
        </row>
        <row r="380">
          <cell r="N380" t="str">
            <v>Hydroquinone</v>
          </cell>
        </row>
        <row r="381">
          <cell r="N381" t="str">
            <v>Imazalil</v>
          </cell>
        </row>
        <row r="382">
          <cell r="N382" t="str">
            <v>Imazaquin</v>
          </cell>
        </row>
        <row r="383">
          <cell r="N383" t="str">
            <v>Iodine</v>
          </cell>
        </row>
        <row r="384">
          <cell r="N384" t="str">
            <v>Iprodione</v>
          </cell>
        </row>
        <row r="385">
          <cell r="N385" t="str">
            <v>Iron</v>
          </cell>
        </row>
        <row r="386">
          <cell r="N386" t="str">
            <v>Isobutyl Alcohol</v>
          </cell>
        </row>
        <row r="387">
          <cell r="N387" t="str">
            <v>Isophorone</v>
          </cell>
        </row>
        <row r="388">
          <cell r="N388" t="str">
            <v>Isopropalin</v>
          </cell>
        </row>
        <row r="389">
          <cell r="N389" t="str">
            <v>Isopropanol</v>
          </cell>
        </row>
        <row r="390">
          <cell r="N390" t="str">
            <v>Isopropyl Methyl Phosphonic Acid</v>
          </cell>
        </row>
        <row r="391">
          <cell r="N391" t="str">
            <v>Isoxaben</v>
          </cell>
        </row>
        <row r="392">
          <cell r="N392" t="str">
            <v>JP-7</v>
          </cell>
        </row>
        <row r="393">
          <cell r="N393" t="str">
            <v>Kerb</v>
          </cell>
        </row>
        <row r="394">
          <cell r="N394" t="str">
            <v>Lactofen</v>
          </cell>
        </row>
        <row r="395">
          <cell r="N395" t="str">
            <v>Lead Compounds</v>
          </cell>
        </row>
        <row r="396">
          <cell r="N396" t="str">
            <v>~Lead acetate</v>
          </cell>
        </row>
        <row r="397">
          <cell r="N397" t="str">
            <v>~Lead and Compounds</v>
          </cell>
        </row>
        <row r="398">
          <cell r="N398" t="str">
            <v>~Lead subacetate</v>
          </cell>
        </row>
        <row r="399">
          <cell r="N399" t="str">
            <v>~Tetraethyl Lead</v>
          </cell>
        </row>
        <row r="400">
          <cell r="N400" t="str">
            <v>Linuron</v>
          </cell>
        </row>
        <row r="401">
          <cell r="N401" t="str">
            <v>Lithium</v>
          </cell>
        </row>
        <row r="402">
          <cell r="N402" t="str">
            <v>Londax</v>
          </cell>
        </row>
        <row r="403">
          <cell r="N403" t="str">
            <v>MCPA</v>
          </cell>
        </row>
        <row r="404">
          <cell r="N404" t="str">
            <v>MCPB</v>
          </cell>
        </row>
        <row r="405">
          <cell r="N405" t="str">
            <v>MCPP</v>
          </cell>
        </row>
        <row r="406">
          <cell r="N406" t="str">
            <v>Malathion</v>
          </cell>
        </row>
        <row r="407">
          <cell r="N407" t="str">
            <v>Maleic Anhydride</v>
          </cell>
        </row>
        <row r="408">
          <cell r="N408" t="str">
            <v>Maleic Hydrazide</v>
          </cell>
        </row>
        <row r="409">
          <cell r="N409" t="str">
            <v>Malononitrile</v>
          </cell>
        </row>
        <row r="410">
          <cell r="N410" t="str">
            <v>Mancozeb</v>
          </cell>
        </row>
        <row r="411">
          <cell r="N411" t="str">
            <v>Maneb</v>
          </cell>
        </row>
        <row r="412">
          <cell r="N412" t="str">
            <v>Manganese (Diet)</v>
          </cell>
        </row>
        <row r="413">
          <cell r="N413" t="str">
            <v>Manganese (Non-diet)</v>
          </cell>
        </row>
        <row r="414">
          <cell r="N414" t="str">
            <v>Mephosfolan</v>
          </cell>
        </row>
        <row r="415">
          <cell r="N415" t="str">
            <v>Mepiquat Chloride</v>
          </cell>
        </row>
        <row r="416">
          <cell r="N416" t="str">
            <v>Mercury Compounds</v>
          </cell>
        </row>
        <row r="417">
          <cell r="N417" t="str">
            <v>~Mercuric Chloride (and other Mercury salts)</v>
          </cell>
        </row>
        <row r="418">
          <cell r="N418" t="str">
            <v>~Mercury (elemental)</v>
          </cell>
        </row>
        <row r="419">
          <cell r="N419" t="str">
            <v>~Methyl Mercury</v>
          </cell>
        </row>
        <row r="420">
          <cell r="N420" t="str">
            <v>~Phenylmercuric Acetate</v>
          </cell>
        </row>
        <row r="421">
          <cell r="N421" t="str">
            <v>Merphos</v>
          </cell>
        </row>
        <row r="422">
          <cell r="N422" t="str">
            <v>Merphos Oxide</v>
          </cell>
        </row>
        <row r="423">
          <cell r="N423" t="str">
            <v>Metalaxyl</v>
          </cell>
        </row>
        <row r="424">
          <cell r="N424" t="str">
            <v>Methacrylonitrile</v>
          </cell>
        </row>
        <row r="425">
          <cell r="N425" t="str">
            <v>Methamidophos</v>
          </cell>
        </row>
        <row r="426">
          <cell r="N426" t="str">
            <v>Methanol</v>
          </cell>
        </row>
        <row r="427">
          <cell r="N427" t="str">
            <v>Methidathion</v>
          </cell>
        </row>
        <row r="428">
          <cell r="N428" t="str">
            <v>Methomyl</v>
          </cell>
        </row>
        <row r="429">
          <cell r="N429" t="str">
            <v>Methoxy-5-nitroaniline, 2-</v>
          </cell>
        </row>
        <row r="430">
          <cell r="N430" t="str">
            <v>Methoxychlor</v>
          </cell>
        </row>
        <row r="431">
          <cell r="N431" t="str">
            <v>Methoxyethanol Acetate, 2-</v>
          </cell>
        </row>
        <row r="432">
          <cell r="N432" t="str">
            <v>Methoxyethanol, 2-</v>
          </cell>
        </row>
        <row r="433">
          <cell r="N433" t="str">
            <v>Methyl Acetate</v>
          </cell>
        </row>
        <row r="434">
          <cell r="N434" t="str">
            <v>Methyl Acrylate</v>
          </cell>
        </row>
        <row r="435">
          <cell r="N435" t="str">
            <v>Methyl Ethyl Ketone (2-Butanone)</v>
          </cell>
        </row>
        <row r="436">
          <cell r="N436" t="str">
            <v>Methyl Hydrazine</v>
          </cell>
        </row>
        <row r="437">
          <cell r="N437" t="str">
            <v>Methyl Isobutyl Ketone (4-methyl-2-pentanone)</v>
          </cell>
        </row>
        <row r="438">
          <cell r="N438" t="str">
            <v>Methyl Isocyanate</v>
          </cell>
        </row>
        <row r="439">
          <cell r="N439" t="str">
            <v>Methyl Methacrylate</v>
          </cell>
        </row>
        <row r="440">
          <cell r="N440" t="str">
            <v>Methyl Parathion</v>
          </cell>
        </row>
        <row r="441">
          <cell r="N441" t="str">
            <v>Methyl Phosphonic Acid</v>
          </cell>
        </row>
        <row r="442">
          <cell r="N442" t="str">
            <v>Methyl Styrene (Mixed Isomers)</v>
          </cell>
        </row>
        <row r="443">
          <cell r="N443" t="str">
            <v>Methyl methanesulfonate</v>
          </cell>
        </row>
        <row r="444">
          <cell r="N444" t="str">
            <v>Methyl tert-Butyl Ether (MTBE)</v>
          </cell>
        </row>
        <row r="445">
          <cell r="N445" t="str">
            <v>Methyl-1,4-benzenediamine dihydrochloride, 2-</v>
          </cell>
        </row>
        <row r="446">
          <cell r="N446" t="str">
            <v>Methyl-5-Nitroaniline, 2-</v>
          </cell>
        </row>
        <row r="447">
          <cell r="N447" t="str">
            <v>Methyl-N-nitro-N-nitrosoguanidine, N-</v>
          </cell>
        </row>
        <row r="448">
          <cell r="N448" t="str">
            <v>Methylaniline Hydrochloride, 2-</v>
          </cell>
        </row>
        <row r="449">
          <cell r="N449" t="str">
            <v>Methylarsonic acid</v>
          </cell>
        </row>
        <row r="450">
          <cell r="N450" t="str">
            <v>Methylbenzene,1-4-diamine monohydrochloride, 2-</v>
          </cell>
        </row>
        <row r="451">
          <cell r="N451" t="str">
            <v>Methylbenzene-1,4-diamine sulfate, 2-</v>
          </cell>
        </row>
        <row r="452">
          <cell r="N452" t="str">
            <v>Methylcholanthrene, 3-</v>
          </cell>
        </row>
        <row r="453">
          <cell r="N453" t="str">
            <v>Methylene Chloride</v>
          </cell>
        </row>
        <row r="454">
          <cell r="N454" t="str">
            <v>Methylene-bis(2-chloroaniline), 4,4'-</v>
          </cell>
        </row>
        <row r="455">
          <cell r="N455" t="str">
            <v>Methylene-bis(N,N-dimethyl) Aniline, 4,4'-</v>
          </cell>
        </row>
        <row r="456">
          <cell r="N456" t="str">
            <v>Methylenebisbenzenamine, 4,4'-</v>
          </cell>
        </row>
        <row r="457">
          <cell r="N457" t="str">
            <v>Methylenediphenyl Diisocyanate</v>
          </cell>
        </row>
        <row r="458">
          <cell r="N458" t="str">
            <v>Methylstyrene, Alpha-</v>
          </cell>
        </row>
        <row r="459">
          <cell r="N459" t="str">
            <v>Metolachlor</v>
          </cell>
        </row>
        <row r="460">
          <cell r="N460" t="str">
            <v>Metribuzin</v>
          </cell>
        </row>
        <row r="461">
          <cell r="N461" t="str">
            <v>Mineral oils</v>
          </cell>
        </row>
        <row r="462">
          <cell r="N462" t="str">
            <v>Mirex</v>
          </cell>
        </row>
        <row r="463">
          <cell r="N463" t="str">
            <v>Molinate</v>
          </cell>
        </row>
        <row r="464">
          <cell r="N464" t="str">
            <v>Molybdenum</v>
          </cell>
        </row>
        <row r="465">
          <cell r="N465" t="str">
            <v>Monochloramine</v>
          </cell>
        </row>
        <row r="466">
          <cell r="N466" t="str">
            <v>Monomethylaniline</v>
          </cell>
        </row>
        <row r="467">
          <cell r="N467" t="str">
            <v>N,N'-Diphenyl-1,4-benzenediamine</v>
          </cell>
        </row>
        <row r="468">
          <cell r="N468" t="str">
            <v>Naled</v>
          </cell>
        </row>
        <row r="469">
          <cell r="N469" t="str">
            <v>Naphtha, High Flash Aromatic (HFAN)</v>
          </cell>
        </row>
        <row r="470">
          <cell r="N470" t="str">
            <v>Naphthylamine, 2-</v>
          </cell>
        </row>
        <row r="471">
          <cell r="N471" t="str">
            <v>Napropamide</v>
          </cell>
        </row>
        <row r="472">
          <cell r="N472" t="str">
            <v>Nickel Carbonyl</v>
          </cell>
        </row>
        <row r="473">
          <cell r="N473" t="str">
            <v>Nickel Oxide</v>
          </cell>
        </row>
        <row r="474">
          <cell r="N474" t="str">
            <v>Nickel Refinery Dust</v>
          </cell>
        </row>
        <row r="475">
          <cell r="N475" t="str">
            <v>Nickel Soluble Salts</v>
          </cell>
        </row>
        <row r="476">
          <cell r="N476" t="str">
            <v>Nickel Subsulfide</v>
          </cell>
        </row>
        <row r="477">
          <cell r="N477" t="str">
            <v>Nitrate</v>
          </cell>
        </row>
        <row r="478">
          <cell r="N478" t="str">
            <v>Nitrate + Nitrite (as N)</v>
          </cell>
        </row>
        <row r="479">
          <cell r="N479" t="str">
            <v>Nitrite</v>
          </cell>
        </row>
        <row r="480">
          <cell r="N480" t="str">
            <v>Nitroaniline, 2-</v>
          </cell>
        </row>
        <row r="481">
          <cell r="N481" t="str">
            <v>Nitroaniline, 4-</v>
          </cell>
        </row>
        <row r="482">
          <cell r="N482" t="str">
            <v>Nitrobenzene</v>
          </cell>
        </row>
        <row r="483">
          <cell r="N483" t="str">
            <v>Nitrocellulose</v>
          </cell>
        </row>
        <row r="484">
          <cell r="N484" t="str">
            <v>Nitrofurantoin</v>
          </cell>
        </row>
        <row r="485">
          <cell r="N485" t="str">
            <v>Nitrofurazone</v>
          </cell>
        </row>
        <row r="486">
          <cell r="N486" t="str">
            <v>Nitroglycerin</v>
          </cell>
        </row>
        <row r="487">
          <cell r="N487" t="str">
            <v>Nitroguanidine</v>
          </cell>
        </row>
        <row r="488">
          <cell r="N488" t="str">
            <v>Nitromethane</v>
          </cell>
        </row>
        <row r="489">
          <cell r="N489" t="str">
            <v>Nitropropane, 2-</v>
          </cell>
        </row>
        <row r="490">
          <cell r="N490" t="str">
            <v>Nitroso-N-ethylurea, N-</v>
          </cell>
        </row>
        <row r="491">
          <cell r="N491" t="str">
            <v>Nitroso-N-methylurea, N-</v>
          </cell>
        </row>
        <row r="492">
          <cell r="N492" t="str">
            <v>Nitroso-di-N-butylamine, N-</v>
          </cell>
        </row>
        <row r="493">
          <cell r="N493" t="str">
            <v>Nitroso-di-N-propylamine, N-</v>
          </cell>
        </row>
        <row r="494">
          <cell r="N494" t="str">
            <v>Nitrosodiethanolamine, N-</v>
          </cell>
        </row>
        <row r="495">
          <cell r="N495" t="str">
            <v>Nitrosodiethylamine, N-</v>
          </cell>
        </row>
        <row r="496">
          <cell r="N496" t="str">
            <v>Nitrosodimethylamine, N-</v>
          </cell>
        </row>
        <row r="497">
          <cell r="N497" t="str">
            <v>Nitrosodiphenylamine, N-</v>
          </cell>
        </row>
        <row r="498">
          <cell r="N498" t="str">
            <v>Nitrosomethylethylamine, N-</v>
          </cell>
        </row>
        <row r="499">
          <cell r="N499" t="str">
            <v>Nitrosomorpholine [N-]</v>
          </cell>
        </row>
        <row r="500">
          <cell r="N500" t="str">
            <v>Nitrosopiperidine [N-]</v>
          </cell>
        </row>
        <row r="501">
          <cell r="N501" t="str">
            <v>Nitrosopyrrolidine, N-</v>
          </cell>
        </row>
        <row r="502">
          <cell r="N502" t="str">
            <v>Nitrotoluene, m-</v>
          </cell>
        </row>
        <row r="503">
          <cell r="N503" t="str">
            <v>Nitrotoluene, o-</v>
          </cell>
        </row>
        <row r="504">
          <cell r="N504" t="str">
            <v>Nitrotoluene, p-</v>
          </cell>
        </row>
        <row r="505">
          <cell r="N505" t="str">
            <v>Nonane, n-</v>
          </cell>
        </row>
        <row r="506">
          <cell r="N506" t="str">
            <v>Norflurazon</v>
          </cell>
        </row>
        <row r="507">
          <cell r="N507" t="str">
            <v>Nustar</v>
          </cell>
        </row>
        <row r="508">
          <cell r="N508" t="str">
            <v>Octabromodiphenyl Ether</v>
          </cell>
        </row>
        <row r="509">
          <cell r="N509" t="str">
            <v>Octahydro-1,3,5,7-tetranitro-1,3,5,7-tetra (HMX)</v>
          </cell>
        </row>
        <row r="510">
          <cell r="N510" t="str">
            <v>Octamethylpyrophosphoramide</v>
          </cell>
        </row>
        <row r="511">
          <cell r="N511" t="str">
            <v>Octyl Phthalate, di-N-</v>
          </cell>
        </row>
        <row r="512">
          <cell r="N512" t="str">
            <v>Oryzalin</v>
          </cell>
        </row>
        <row r="513">
          <cell r="N513" t="str">
            <v>Oxadiazon</v>
          </cell>
        </row>
        <row r="514">
          <cell r="N514" t="str">
            <v>Oxamyl</v>
          </cell>
        </row>
        <row r="515">
          <cell r="N515" t="str">
            <v>Paclobutrazol</v>
          </cell>
        </row>
        <row r="516">
          <cell r="N516" t="str">
            <v>Paraquat Dichloride</v>
          </cell>
        </row>
        <row r="517">
          <cell r="N517" t="str">
            <v>Parathion</v>
          </cell>
        </row>
        <row r="518">
          <cell r="N518" t="str">
            <v>Pebulate</v>
          </cell>
        </row>
        <row r="519">
          <cell r="N519" t="str">
            <v>Pendimethalin</v>
          </cell>
        </row>
        <row r="520">
          <cell r="N520" t="str">
            <v>Pentabromodiphenyl Ether</v>
          </cell>
        </row>
        <row r="521">
          <cell r="N521" t="str">
            <v>Pentabromodiphenyl ether, 2,2',4,4',5- (BDE-99)</v>
          </cell>
        </row>
        <row r="522">
          <cell r="N522" t="str">
            <v>Pentachlorobenzene</v>
          </cell>
        </row>
        <row r="523">
          <cell r="N523" t="str">
            <v>Pentachloroethane</v>
          </cell>
        </row>
        <row r="524">
          <cell r="N524" t="str">
            <v>Pentachloronitrobenzene</v>
          </cell>
        </row>
        <row r="525">
          <cell r="N525" t="str">
            <v>Pentachlorophenol</v>
          </cell>
        </row>
        <row r="526">
          <cell r="N526" t="str">
            <v>Pentaerythritol tetranitrate (PETN)</v>
          </cell>
        </row>
        <row r="527">
          <cell r="N527" t="str">
            <v>Pentane, n-</v>
          </cell>
        </row>
        <row r="528">
          <cell r="N528" t="str">
            <v>Perchlorates</v>
          </cell>
        </row>
        <row r="529">
          <cell r="N529" t="str">
            <v>~Ammonium Perchlorate</v>
          </cell>
        </row>
        <row r="530">
          <cell r="N530" t="str">
            <v>~Lithium Perchlorate</v>
          </cell>
        </row>
        <row r="531">
          <cell r="N531" t="str">
            <v>~Perchlorate and Perchlorate Salts</v>
          </cell>
        </row>
        <row r="532">
          <cell r="N532" t="str">
            <v>~Potassium Perchlorate</v>
          </cell>
        </row>
        <row r="533">
          <cell r="N533" t="str">
            <v>~Sodium Perchlorate</v>
          </cell>
        </row>
        <row r="534">
          <cell r="N534" t="str">
            <v>Permethrin</v>
          </cell>
        </row>
        <row r="535">
          <cell r="N535" t="str">
            <v>Phenacetin</v>
          </cell>
        </row>
        <row r="536">
          <cell r="N536" t="str">
            <v>Phenmedipham</v>
          </cell>
        </row>
        <row r="537">
          <cell r="N537" t="str">
            <v>Phenol</v>
          </cell>
        </row>
        <row r="538">
          <cell r="N538" t="str">
            <v>Phenothiazine</v>
          </cell>
        </row>
        <row r="539">
          <cell r="N539" t="str">
            <v>Phenylenediamine, m-</v>
          </cell>
        </row>
        <row r="540">
          <cell r="N540" t="str">
            <v>Phenylenediamine, o-</v>
          </cell>
        </row>
        <row r="541">
          <cell r="N541" t="str">
            <v>Phenylenediamine, p-</v>
          </cell>
        </row>
        <row r="542">
          <cell r="N542" t="str">
            <v>Phenylphenol, 2-</v>
          </cell>
        </row>
        <row r="543">
          <cell r="N543" t="str">
            <v>Phorate</v>
          </cell>
        </row>
        <row r="544">
          <cell r="N544" t="str">
            <v>Phosgene</v>
          </cell>
        </row>
        <row r="545">
          <cell r="N545" t="str">
            <v>Phosmet</v>
          </cell>
        </row>
        <row r="546">
          <cell r="N546" t="str">
            <v>Phosphates, Inorganic</v>
          </cell>
        </row>
        <row r="547">
          <cell r="N547" t="str">
            <v>~Aluminum metaphosphate</v>
          </cell>
        </row>
        <row r="548">
          <cell r="N548" t="str">
            <v>~Ammonium polyphosphate</v>
          </cell>
        </row>
        <row r="549">
          <cell r="N549" t="str">
            <v>~Calcium pyrophosphate</v>
          </cell>
        </row>
        <row r="550">
          <cell r="N550" t="str">
            <v>~Diammonium phosphate</v>
          </cell>
        </row>
        <row r="551">
          <cell r="N551" t="str">
            <v>~Dicalcium phosphate</v>
          </cell>
        </row>
        <row r="552">
          <cell r="N552" t="str">
            <v>~Dimagnesium phosphate</v>
          </cell>
        </row>
        <row r="553">
          <cell r="N553" t="str">
            <v>~Dipotassium phosphate</v>
          </cell>
        </row>
        <row r="554">
          <cell r="N554" t="str">
            <v>~Disodium phosphate</v>
          </cell>
        </row>
        <row r="555">
          <cell r="N555" t="str">
            <v>~Monoaluminum phosphate</v>
          </cell>
        </row>
        <row r="556">
          <cell r="N556" t="str">
            <v>~Monoammonium phosphate</v>
          </cell>
        </row>
        <row r="557">
          <cell r="N557" t="str">
            <v>~Monocalcium phosphate</v>
          </cell>
        </row>
        <row r="558">
          <cell r="N558" t="str">
            <v>~Monomagnesium phosphate</v>
          </cell>
        </row>
        <row r="559">
          <cell r="N559" t="str">
            <v>~Monopotassium phosphate</v>
          </cell>
        </row>
        <row r="560">
          <cell r="N560" t="str">
            <v>~Monosodium phosphate</v>
          </cell>
        </row>
        <row r="561">
          <cell r="N561" t="str">
            <v>~Polyphosphoric acid</v>
          </cell>
        </row>
        <row r="562">
          <cell r="N562" t="str">
            <v>~Potassium tripolyphosphate</v>
          </cell>
        </row>
        <row r="563">
          <cell r="N563" t="str">
            <v>~Sodium acid pyrophosphate</v>
          </cell>
        </row>
        <row r="564">
          <cell r="N564" t="str">
            <v>~Sodium aluminum phosphate (acidic)</v>
          </cell>
        </row>
        <row r="565">
          <cell r="N565" t="str">
            <v>~Sodium aluminum phosphate (anhydrous)</v>
          </cell>
        </row>
        <row r="566">
          <cell r="N566" t="str">
            <v>~Sodium aluminum phosphate (tetrahydrate)</v>
          </cell>
        </row>
        <row r="567">
          <cell r="N567" t="str">
            <v>~Sodium hexametaphosphate</v>
          </cell>
        </row>
        <row r="568">
          <cell r="N568" t="str">
            <v>~Sodium polyphosphate</v>
          </cell>
        </row>
        <row r="569">
          <cell r="N569" t="str">
            <v>~Sodium trimetaphosphate</v>
          </cell>
        </row>
        <row r="570">
          <cell r="N570" t="str">
            <v>~Sodium tripolyphosphate</v>
          </cell>
        </row>
        <row r="571">
          <cell r="N571" t="str">
            <v>~Tetrapotassium phosphate</v>
          </cell>
        </row>
        <row r="572">
          <cell r="N572" t="str">
            <v>~Tetrasodium pyrophosphate</v>
          </cell>
        </row>
        <row r="573">
          <cell r="N573" t="str">
            <v>~Trialuminum sodium tetra decahydrogenoctaorthophosphate (dihydrate)</v>
          </cell>
        </row>
        <row r="574">
          <cell r="N574" t="str">
            <v>~Tricalcium phosphate</v>
          </cell>
        </row>
        <row r="575">
          <cell r="N575" t="str">
            <v>~Trimagnesium phosphate</v>
          </cell>
        </row>
        <row r="576">
          <cell r="N576" t="str">
            <v>~Tripotassium phosphate</v>
          </cell>
        </row>
        <row r="577">
          <cell r="N577" t="str">
            <v>~Trisodium phosphate</v>
          </cell>
        </row>
        <row r="578">
          <cell r="N578" t="str">
            <v>Phosphine</v>
          </cell>
        </row>
        <row r="579">
          <cell r="N579" t="str">
            <v>Phosphoric Acid</v>
          </cell>
        </row>
        <row r="580">
          <cell r="N580" t="str">
            <v>Phosphorus, White</v>
          </cell>
        </row>
        <row r="581">
          <cell r="N581" t="str">
            <v>Phthalic Acid, P-</v>
          </cell>
        </row>
        <row r="582">
          <cell r="N582" t="str">
            <v>Phthalic Anhydride</v>
          </cell>
        </row>
        <row r="583">
          <cell r="N583" t="str">
            <v>Picloram</v>
          </cell>
        </row>
        <row r="584">
          <cell r="N584" t="str">
            <v>Picramic Acid (2-Amino-4,6-dinitrophenol)</v>
          </cell>
        </row>
        <row r="585">
          <cell r="N585" t="str">
            <v>Pirimiphos, Methyl</v>
          </cell>
        </row>
        <row r="586">
          <cell r="N586" t="str">
            <v>Polybrominated Biphenyls</v>
          </cell>
        </row>
        <row r="587">
          <cell r="N587" t="str">
            <v>Polychlorinated Biphenyls (PCBs)</v>
          </cell>
        </row>
        <row r="588">
          <cell r="N588" t="str">
            <v>~Aroclor 1016</v>
          </cell>
        </row>
        <row r="589">
          <cell r="N589" t="str">
            <v>~Aroclor 1221</v>
          </cell>
        </row>
        <row r="590">
          <cell r="N590" t="str">
            <v>~Aroclor 1232</v>
          </cell>
        </row>
        <row r="591">
          <cell r="N591" t="str">
            <v>~Aroclor 1242</v>
          </cell>
        </row>
        <row r="592">
          <cell r="N592" t="str">
            <v>~Aroclor 1248</v>
          </cell>
        </row>
        <row r="593">
          <cell r="N593" t="str">
            <v>~Aroclor 1254</v>
          </cell>
        </row>
        <row r="594">
          <cell r="N594" t="str">
            <v>~Aroclor 1260</v>
          </cell>
        </row>
        <row r="595">
          <cell r="N595" t="str">
            <v>~Heptachlorobiphenyl, 2,3,3',4,4',5,5'- (PCB 189)</v>
          </cell>
        </row>
        <row r="596">
          <cell r="N596" t="str">
            <v>~Hexachlorobiphenyl, 2,3',4,4',5,5'- (PCB 167)</v>
          </cell>
        </row>
        <row r="597">
          <cell r="N597" t="str">
            <v>~Hexachlorobiphenyl, 2,3,3',4,4',5'- (PCB 157)</v>
          </cell>
        </row>
        <row r="598">
          <cell r="N598" t="str">
            <v>~Hexachlorobiphenyl, 2,3,3',4,4',5- (PCB 156)</v>
          </cell>
        </row>
        <row r="599">
          <cell r="N599" t="str">
            <v>~Hexachlorobiphenyl, 3,3',4,4',5,5'- (PCB 169)</v>
          </cell>
        </row>
        <row r="600">
          <cell r="N600" t="str">
            <v>~Pentachlorobiphenyl, 2',3,4,4',5- (PCB 123)</v>
          </cell>
        </row>
        <row r="601">
          <cell r="N601" t="str">
            <v>~Pentachlorobiphenyl, 2,3',4,4',5- (PCB 118)</v>
          </cell>
        </row>
        <row r="602">
          <cell r="N602" t="str">
            <v>~Pentachlorobiphenyl, 2,3,3',4,4'- (PCB 105)</v>
          </cell>
        </row>
        <row r="603">
          <cell r="N603" t="str">
            <v>~Pentachlorobiphenyl, 2,3,4,4',5- (PCB 114)</v>
          </cell>
        </row>
        <row r="604">
          <cell r="N604" t="str">
            <v>~Pentachlorobiphenyl, 3,3',4,4',5- (PCB 126)</v>
          </cell>
        </row>
        <row r="605">
          <cell r="N605" t="str">
            <v>~Polychlorinated Biphenyls (high risk)</v>
          </cell>
        </row>
        <row r="606">
          <cell r="N606" t="str">
            <v>~Polychlorinated Biphenyls (low risk)</v>
          </cell>
        </row>
        <row r="607">
          <cell r="N607" t="str">
            <v>~Polychlorinated Biphenyls (lowest risk)</v>
          </cell>
        </row>
        <row r="608">
          <cell r="N608" t="str">
            <v>~Tetrachlorobiphenyl, 3,3',4,4'- (PCB 77)</v>
          </cell>
        </row>
        <row r="609">
          <cell r="N609" t="str">
            <v>~Tetrachlorobiphenyl, 3,4,4',5- (PCB 81)</v>
          </cell>
        </row>
        <row r="610">
          <cell r="N610" t="str">
            <v>Polymeric Methylene Diphenyl Diisocyanate (PMDI)</v>
          </cell>
        </row>
        <row r="611">
          <cell r="N611" t="str">
            <v>Polynuclear Aromatic Hydrocarbons (PAHs)</v>
          </cell>
        </row>
        <row r="612">
          <cell r="N612" t="str">
            <v>~Acenaphthene</v>
          </cell>
        </row>
        <row r="613">
          <cell r="N613" t="str">
            <v>~Anthracene</v>
          </cell>
        </row>
        <row r="614">
          <cell r="N614" t="str">
            <v>~Benz[a]anthracene</v>
          </cell>
        </row>
        <row r="615">
          <cell r="N615" t="str">
            <v>~Benzo(j)fluoranthene</v>
          </cell>
        </row>
        <row r="616">
          <cell r="N616" t="str">
            <v>~Benzo[a]pyrene</v>
          </cell>
        </row>
        <row r="617">
          <cell r="N617" t="str">
            <v>~Benzo[b]fluoranthene</v>
          </cell>
        </row>
        <row r="618">
          <cell r="N618" t="str">
            <v>~Benzo[k]fluoranthene</v>
          </cell>
        </row>
        <row r="619">
          <cell r="N619" t="str">
            <v>~Chrysene</v>
          </cell>
        </row>
        <row r="620">
          <cell r="N620" t="str">
            <v>~Dibenz[a,h]anthracene</v>
          </cell>
        </row>
        <row r="621">
          <cell r="N621" t="str">
            <v>~Dibenzo(a,e)pyrene</v>
          </cell>
        </row>
        <row r="622">
          <cell r="N622" t="str">
            <v>~Dimethylbenz(a)anthracene, 7,12-</v>
          </cell>
        </row>
        <row r="623">
          <cell r="N623" t="str">
            <v>~Fluoranthene</v>
          </cell>
        </row>
        <row r="624">
          <cell r="N624" t="str">
            <v>~Fluorene</v>
          </cell>
        </row>
        <row r="625">
          <cell r="N625" t="str">
            <v>~Indeno[1,2,3-cd]pyrene</v>
          </cell>
        </row>
        <row r="626">
          <cell r="N626" t="str">
            <v>~Methylnaphthalene, 1-</v>
          </cell>
        </row>
        <row r="627">
          <cell r="N627" t="str">
            <v>~Methylnaphthalene, 2-</v>
          </cell>
        </row>
        <row r="628">
          <cell r="N628" t="str">
            <v>~Naphthalene</v>
          </cell>
        </row>
        <row r="629">
          <cell r="N629" t="str">
            <v>~Nitropyrene, 4-</v>
          </cell>
        </row>
        <row r="630">
          <cell r="N630" t="str">
            <v>~Pyrene</v>
          </cell>
        </row>
        <row r="631">
          <cell r="N631" t="str">
            <v>Prochloraz</v>
          </cell>
        </row>
        <row r="632">
          <cell r="N632" t="str">
            <v>Profluralin</v>
          </cell>
        </row>
        <row r="633">
          <cell r="N633" t="str">
            <v>Prometon</v>
          </cell>
        </row>
        <row r="634">
          <cell r="N634" t="str">
            <v>Prometryn</v>
          </cell>
        </row>
        <row r="635">
          <cell r="N635" t="str">
            <v>Propachlor</v>
          </cell>
        </row>
        <row r="636">
          <cell r="N636" t="str">
            <v>Propanil</v>
          </cell>
        </row>
        <row r="637">
          <cell r="N637" t="str">
            <v>Propargite</v>
          </cell>
        </row>
        <row r="638">
          <cell r="N638" t="str">
            <v>Propargyl Alcohol</v>
          </cell>
        </row>
        <row r="639">
          <cell r="N639" t="str">
            <v>Propazine</v>
          </cell>
        </row>
        <row r="640">
          <cell r="N640" t="str">
            <v>Propham</v>
          </cell>
        </row>
        <row r="641">
          <cell r="N641" t="str">
            <v>Propiconazole</v>
          </cell>
        </row>
        <row r="642">
          <cell r="N642" t="str">
            <v>Propionaldehyde</v>
          </cell>
        </row>
        <row r="643">
          <cell r="N643" t="str">
            <v>Propyl benzene</v>
          </cell>
        </row>
        <row r="644">
          <cell r="N644" t="str">
            <v>Propylene</v>
          </cell>
        </row>
        <row r="645">
          <cell r="N645" t="str">
            <v>Propylene Glycol</v>
          </cell>
        </row>
        <row r="646">
          <cell r="N646" t="str">
            <v>Propylene Glycol Dinitrate</v>
          </cell>
        </row>
        <row r="647">
          <cell r="N647" t="str">
            <v>Propylene Glycol Monoethyl Ether</v>
          </cell>
        </row>
        <row r="648">
          <cell r="N648" t="str">
            <v>Propylene Glycol Monomethyl Ether</v>
          </cell>
        </row>
        <row r="649">
          <cell r="N649" t="str">
            <v>Propylene Oxide</v>
          </cell>
        </row>
        <row r="650">
          <cell r="N650" t="str">
            <v>Pursuit</v>
          </cell>
        </row>
        <row r="651">
          <cell r="N651" t="str">
            <v>Pydrin</v>
          </cell>
        </row>
        <row r="652">
          <cell r="N652" t="str">
            <v>Pyridine</v>
          </cell>
        </row>
        <row r="653">
          <cell r="N653" t="str">
            <v>Quinalphos</v>
          </cell>
        </row>
        <row r="654">
          <cell r="N654" t="str">
            <v>Quinoline</v>
          </cell>
        </row>
        <row r="655">
          <cell r="N655" t="str">
            <v>Refractory Ceramic Fibers</v>
          </cell>
        </row>
        <row r="656">
          <cell r="N656" t="str">
            <v>Resmethrin</v>
          </cell>
        </row>
        <row r="657">
          <cell r="N657" t="str">
            <v>Ronnel</v>
          </cell>
        </row>
        <row r="658">
          <cell r="N658" t="str">
            <v>Rotenone</v>
          </cell>
        </row>
        <row r="659">
          <cell r="N659" t="str">
            <v>Safrole</v>
          </cell>
        </row>
        <row r="660">
          <cell r="N660" t="str">
            <v>Savey</v>
          </cell>
        </row>
        <row r="661">
          <cell r="N661" t="str">
            <v>Selenious Acid</v>
          </cell>
        </row>
        <row r="662">
          <cell r="N662" t="str">
            <v>Selenium</v>
          </cell>
        </row>
        <row r="663">
          <cell r="N663" t="str">
            <v>Selenium Sulfide</v>
          </cell>
        </row>
        <row r="664">
          <cell r="N664" t="str">
            <v>Sethoxydim</v>
          </cell>
        </row>
        <row r="665">
          <cell r="N665" t="str">
            <v>Silica (crystalline, respirable)</v>
          </cell>
        </row>
        <row r="666">
          <cell r="N666" t="str">
            <v>Silver</v>
          </cell>
        </row>
        <row r="667">
          <cell r="N667" t="str">
            <v>Simazine</v>
          </cell>
        </row>
        <row r="668">
          <cell r="N668" t="str">
            <v>Sodium Acifluorfen</v>
          </cell>
        </row>
        <row r="669">
          <cell r="N669" t="str">
            <v>Sodium Azide</v>
          </cell>
        </row>
        <row r="670">
          <cell r="N670" t="str">
            <v>Sodium Diethyldithiocarbamate</v>
          </cell>
        </row>
        <row r="671">
          <cell r="N671" t="str">
            <v>Sodium Fluoride</v>
          </cell>
        </row>
        <row r="672">
          <cell r="N672" t="str">
            <v>Sodium Fluoroacetate</v>
          </cell>
        </row>
        <row r="673">
          <cell r="N673" t="str">
            <v>Sodium Metavanadate</v>
          </cell>
        </row>
        <row r="674">
          <cell r="N674" t="str">
            <v>Stirofos (Tetrachlorovinphos)</v>
          </cell>
        </row>
        <row r="675">
          <cell r="N675" t="str">
            <v>Strontium, Stable</v>
          </cell>
        </row>
        <row r="676">
          <cell r="N676" t="str">
            <v>Strychnine</v>
          </cell>
        </row>
        <row r="677">
          <cell r="N677" t="str">
            <v>Styrene</v>
          </cell>
        </row>
        <row r="678">
          <cell r="N678" t="str">
            <v>Sulfolane</v>
          </cell>
        </row>
        <row r="679">
          <cell r="N679" t="str">
            <v>Sulfonylbis(4-chlorobenzene), 1,1'-</v>
          </cell>
        </row>
        <row r="680">
          <cell r="N680" t="str">
            <v>Sulfuric Acid</v>
          </cell>
        </row>
        <row r="681">
          <cell r="N681" t="str">
            <v>Systhane</v>
          </cell>
        </row>
        <row r="682">
          <cell r="N682" t="str">
            <v>TCMTB</v>
          </cell>
        </row>
        <row r="683">
          <cell r="N683" t="str">
            <v>Tebuthiuron</v>
          </cell>
        </row>
        <row r="684">
          <cell r="N684" t="str">
            <v>Temephos</v>
          </cell>
        </row>
        <row r="685">
          <cell r="N685" t="str">
            <v>Terbacil</v>
          </cell>
        </row>
        <row r="686">
          <cell r="N686" t="str">
            <v>Terbufos</v>
          </cell>
        </row>
        <row r="687">
          <cell r="N687" t="str">
            <v>Terbutryn</v>
          </cell>
        </row>
        <row r="688">
          <cell r="N688" t="str">
            <v>Tetrabromodiphenyl ether, 2,2',4,4'- (BDE-47)</v>
          </cell>
        </row>
        <row r="689">
          <cell r="N689" t="str">
            <v>Tetrachlorobenzene, 1,2,4,5-</v>
          </cell>
        </row>
        <row r="690">
          <cell r="N690" t="str">
            <v>Tetrachloroethane, 1,1,1,2-</v>
          </cell>
        </row>
        <row r="691">
          <cell r="N691" t="str">
            <v>Tetrachloroethane, 1,1,2,2-</v>
          </cell>
        </row>
        <row r="692">
          <cell r="N692" t="str">
            <v>Tetrachloroethylene</v>
          </cell>
        </row>
        <row r="693">
          <cell r="N693" t="str">
            <v>Tetrachlorophenol, 2,3,4,6-</v>
          </cell>
        </row>
        <row r="694">
          <cell r="N694" t="str">
            <v>Tetrachlorotoluene, p- alpha, alpha, alpha-</v>
          </cell>
        </row>
        <row r="695">
          <cell r="N695" t="str">
            <v>Tetraethyl Dithiopyrophosphate</v>
          </cell>
        </row>
        <row r="696">
          <cell r="N696" t="str">
            <v>Tetrafluoroethane, 1,1,1,2-</v>
          </cell>
        </row>
        <row r="697">
          <cell r="N697" t="str">
            <v>Tetryl (Trinitrophenylmethylnitramine)</v>
          </cell>
        </row>
        <row r="698">
          <cell r="N698" t="str">
            <v>Thallium (I) Nitrate</v>
          </cell>
        </row>
        <row r="699">
          <cell r="N699" t="str">
            <v>Thallium (Soluble Salts)</v>
          </cell>
        </row>
        <row r="700">
          <cell r="N700" t="str">
            <v>Thallium Acetate</v>
          </cell>
        </row>
        <row r="701">
          <cell r="N701" t="str">
            <v>Thallium Carbonate</v>
          </cell>
        </row>
        <row r="702">
          <cell r="N702" t="str">
            <v>Thallium Chloride</v>
          </cell>
        </row>
        <row r="703">
          <cell r="N703" t="str">
            <v>Thallium Sulfate</v>
          </cell>
        </row>
        <row r="704">
          <cell r="N704" t="str">
            <v>Thiobencarb</v>
          </cell>
        </row>
        <row r="705">
          <cell r="N705" t="str">
            <v>Thiodiglycol</v>
          </cell>
        </row>
        <row r="706">
          <cell r="N706" t="str">
            <v>Thiofanox</v>
          </cell>
        </row>
        <row r="707">
          <cell r="N707" t="str">
            <v>Thiophanate, Methyl</v>
          </cell>
        </row>
        <row r="708">
          <cell r="N708" t="str">
            <v>Thiram</v>
          </cell>
        </row>
        <row r="709">
          <cell r="N709" t="str">
            <v>Tin</v>
          </cell>
        </row>
        <row r="710">
          <cell r="N710" t="str">
            <v>Titanium Tetrachloride</v>
          </cell>
        </row>
        <row r="711">
          <cell r="N711" t="str">
            <v>Toluene</v>
          </cell>
        </row>
        <row r="712">
          <cell r="N712" t="str">
            <v>Toluene-2,5-diamine</v>
          </cell>
        </row>
        <row r="713">
          <cell r="N713" t="str">
            <v>Toluidine, p-</v>
          </cell>
        </row>
        <row r="714">
          <cell r="N714" t="str">
            <v>Toxaphene</v>
          </cell>
        </row>
        <row r="715">
          <cell r="N715" t="str">
            <v>Tralomethrin</v>
          </cell>
        </row>
        <row r="716">
          <cell r="N716" t="str">
            <v>Tri-n-butyltin</v>
          </cell>
        </row>
        <row r="717">
          <cell r="N717" t="str">
            <v>Triacetin</v>
          </cell>
        </row>
        <row r="718">
          <cell r="N718" t="str">
            <v>Triallate</v>
          </cell>
        </row>
        <row r="719">
          <cell r="N719" t="str">
            <v>Triasulfuron</v>
          </cell>
        </row>
        <row r="720">
          <cell r="N720" t="str">
            <v>Tribromobenzene, 1,2,4-</v>
          </cell>
        </row>
        <row r="721">
          <cell r="N721" t="str">
            <v>Tributyl Phosphate</v>
          </cell>
        </row>
        <row r="722">
          <cell r="N722" t="str">
            <v>Tributyltin Compounds</v>
          </cell>
        </row>
        <row r="723">
          <cell r="N723" t="str">
            <v>Tributyltin Oxide</v>
          </cell>
        </row>
        <row r="724">
          <cell r="N724" t="str">
            <v>Trichloro-1,2,2-trifluoroethane, 1,1,2-</v>
          </cell>
        </row>
        <row r="725">
          <cell r="N725" t="str">
            <v>Trichloroacetic Acid</v>
          </cell>
        </row>
        <row r="726">
          <cell r="N726" t="str">
            <v>Trichloroaniline HCl, 2,4,6-</v>
          </cell>
        </row>
        <row r="727">
          <cell r="N727" t="str">
            <v>Trichloroaniline, 2,4,6-</v>
          </cell>
        </row>
        <row r="728">
          <cell r="N728" t="str">
            <v>Trichlorobenzene, 1,2,3-</v>
          </cell>
        </row>
        <row r="729">
          <cell r="N729" t="str">
            <v>Trichlorobenzene, 1,2,4-</v>
          </cell>
        </row>
        <row r="730">
          <cell r="N730" t="str">
            <v>Trichloroethane, 1,1,1-</v>
          </cell>
        </row>
        <row r="731">
          <cell r="N731" t="str">
            <v>Trichloroethane, 1,1,2-</v>
          </cell>
        </row>
        <row r="732">
          <cell r="N732" t="str">
            <v>Trichloroethylene</v>
          </cell>
        </row>
        <row r="733">
          <cell r="N733" t="str">
            <v>Trichlorofluoromethane</v>
          </cell>
        </row>
        <row r="734">
          <cell r="N734" t="str">
            <v>Trichlorophenol, 2,4,5-</v>
          </cell>
        </row>
        <row r="735">
          <cell r="N735" t="str">
            <v>Trichlorophenol, 2,4,6-</v>
          </cell>
        </row>
        <row r="736">
          <cell r="N736" t="str">
            <v>Trichlorophenoxyacetic Acid, 2,4,5-</v>
          </cell>
        </row>
        <row r="737">
          <cell r="N737" t="str">
            <v>Trichlorophenoxypropionic acid, -2,4,5</v>
          </cell>
        </row>
        <row r="738">
          <cell r="N738" t="str">
            <v>Trichloropropane, 1,1,2-</v>
          </cell>
        </row>
        <row r="739">
          <cell r="N739" t="str">
            <v>Trichloropropane, 1,2,3-</v>
          </cell>
        </row>
        <row r="740">
          <cell r="N740" t="str">
            <v>Trichloropropene, 1,2,3-</v>
          </cell>
        </row>
        <row r="741">
          <cell r="N741" t="str">
            <v>Tricresyl Phosphate (TCP)</v>
          </cell>
        </row>
        <row r="742">
          <cell r="N742" t="str">
            <v>Tridiphane</v>
          </cell>
        </row>
        <row r="743">
          <cell r="N743" t="str">
            <v>Triethylamine</v>
          </cell>
        </row>
        <row r="744">
          <cell r="N744" t="str">
            <v>Trifluralin</v>
          </cell>
        </row>
        <row r="745">
          <cell r="N745" t="str">
            <v>Trimethyl Phosphate</v>
          </cell>
        </row>
        <row r="746">
          <cell r="N746" t="str">
            <v>Trimethylbenzene, 1,2,3-</v>
          </cell>
        </row>
        <row r="747">
          <cell r="N747" t="str">
            <v>Trimethylbenzene, 1,2,4-</v>
          </cell>
        </row>
        <row r="748">
          <cell r="N748" t="str">
            <v>Trimethylbenzene, 1,3,5-</v>
          </cell>
        </row>
        <row r="749">
          <cell r="N749" t="str">
            <v>Trinitrobenzene, 1,3,5-</v>
          </cell>
        </row>
        <row r="750">
          <cell r="N750" t="str">
            <v>Trinitrotoluene, 2,4,6-</v>
          </cell>
        </row>
        <row r="751">
          <cell r="N751" t="str">
            <v>Triphenylphosphine Oxide</v>
          </cell>
        </row>
        <row r="752">
          <cell r="N752" t="str">
            <v>Tris(1,3-Dichloro-2-propyl) Phosphate</v>
          </cell>
        </row>
        <row r="753">
          <cell r="N753" t="str">
            <v>Tris(1-chloro-2-propyl)phosphate</v>
          </cell>
        </row>
        <row r="754">
          <cell r="N754" t="str">
            <v>Tris(2-chloroethyl)phosphate</v>
          </cell>
        </row>
        <row r="755">
          <cell r="N755" t="str">
            <v>Tris(2-ethylhexyl)phosphate</v>
          </cell>
        </row>
        <row r="756">
          <cell r="N756" t="str">
            <v>Uranium (Soluble Salts)</v>
          </cell>
        </row>
        <row r="757">
          <cell r="N757" t="str">
            <v>Urethane</v>
          </cell>
        </row>
        <row r="758">
          <cell r="N758" t="str">
            <v>Vanadium Pentoxide</v>
          </cell>
        </row>
        <row r="759">
          <cell r="N759" t="str">
            <v>Vanadium and Compounds</v>
          </cell>
        </row>
        <row r="760">
          <cell r="N760" t="str">
            <v>Vernolate</v>
          </cell>
        </row>
        <row r="761">
          <cell r="N761" t="str">
            <v>Vinclozolin</v>
          </cell>
        </row>
        <row r="762">
          <cell r="N762" t="str">
            <v>Vinyl Acetate</v>
          </cell>
        </row>
        <row r="763">
          <cell r="N763" t="str">
            <v>Vinyl Bromide</v>
          </cell>
        </row>
        <row r="764">
          <cell r="N764" t="str">
            <v>Vinyl Chloride</v>
          </cell>
        </row>
        <row r="765">
          <cell r="N765" t="str">
            <v>Warfarin</v>
          </cell>
        </row>
        <row r="766">
          <cell r="N766" t="str">
            <v>Xylene, P-</v>
          </cell>
        </row>
        <row r="767">
          <cell r="N767" t="str">
            <v>Xylene, m-</v>
          </cell>
        </row>
        <row r="768">
          <cell r="N768" t="str">
            <v>Xylene, o-</v>
          </cell>
        </row>
        <row r="769">
          <cell r="N769" t="str">
            <v>Xylenes</v>
          </cell>
        </row>
        <row r="770">
          <cell r="N770" t="str">
            <v>Zinc Phosphide</v>
          </cell>
        </row>
        <row r="771">
          <cell r="N771" t="str">
            <v>Zinc and Compounds</v>
          </cell>
        </row>
        <row r="772">
          <cell r="N772" t="str">
            <v>Zineb</v>
          </cell>
        </row>
        <row r="773">
          <cell r="N773" t="str">
            <v>Zirconium</v>
          </cell>
        </row>
      </sheetData>
      <sheetData sheetId="8"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www.epa.gov/vaporintrusion/vapor-intrusion-screening-levels-visls" TargetMode="External"/><Relationship Id="rId1" Type="http://schemas.openxmlformats.org/officeDocument/2006/relationships/hyperlink" Target="http://www.epa.gov/vaporintrusion" TargetMode="Externa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18" Type="http://schemas.openxmlformats.org/officeDocument/2006/relationships/ctrlProp" Target="../ctrlProps/ctrlProp13.xml"/><Relationship Id="rId3" Type="http://schemas.openxmlformats.org/officeDocument/2006/relationships/vmlDrawing" Target="../drawings/vmlDrawing1.vml"/><Relationship Id="rId7" Type="http://schemas.openxmlformats.org/officeDocument/2006/relationships/ctrlProp" Target="../ctrlProps/ctrlProp2.xml"/><Relationship Id="rId12" Type="http://schemas.openxmlformats.org/officeDocument/2006/relationships/ctrlProp" Target="../ctrlProps/ctrlProp7.xml"/><Relationship Id="rId17" Type="http://schemas.openxmlformats.org/officeDocument/2006/relationships/ctrlProp" Target="../ctrlProps/ctrlProp12.xml"/><Relationship Id="rId2" Type="http://schemas.openxmlformats.org/officeDocument/2006/relationships/drawing" Target="../drawings/drawing1.xml"/><Relationship Id="rId16" Type="http://schemas.openxmlformats.org/officeDocument/2006/relationships/ctrlProp" Target="../ctrlProps/ctrlProp11.xml"/><Relationship Id="rId1" Type="http://schemas.openxmlformats.org/officeDocument/2006/relationships/printerSettings" Target="../printerSettings/printerSettings2.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image" Target="../media/image1.emf"/><Relationship Id="rId15" Type="http://schemas.openxmlformats.org/officeDocument/2006/relationships/ctrlProp" Target="../ctrlProps/ctrlProp10.xml"/><Relationship Id="rId10" Type="http://schemas.openxmlformats.org/officeDocument/2006/relationships/ctrlProp" Target="../ctrlProps/ctrlProp5.xml"/><Relationship Id="rId19" Type="http://schemas.openxmlformats.org/officeDocument/2006/relationships/comments" Target="../comments1.xml"/><Relationship Id="rId4" Type="http://schemas.openxmlformats.org/officeDocument/2006/relationships/control" Target="../activeX/activeX1.xml"/><Relationship Id="rId9" Type="http://schemas.openxmlformats.org/officeDocument/2006/relationships/ctrlProp" Target="../ctrlProps/ctrlProp4.xml"/><Relationship Id="rId14" Type="http://schemas.openxmlformats.org/officeDocument/2006/relationships/ctrlProp" Target="../ctrlProps/ctrlProp9.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ctrlProp" Target="../ctrlProps/ctrlProp1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3.bin"/><Relationship Id="rId4" Type="http://schemas.openxmlformats.org/officeDocument/2006/relationships/ctrlProp" Target="../ctrlProps/ctrlProp17.xml"/></Relationships>
</file>

<file path=xl/worksheets/_rels/sheet6.xml.rels><?xml version="1.0" encoding="UTF-8" standalone="yes"?>
<Relationships xmlns="http://schemas.openxmlformats.org/package/2006/relationships"><Relationship Id="rId3" Type="http://schemas.openxmlformats.org/officeDocument/2006/relationships/control" Target="../activeX/activeX2.xml"/><Relationship Id="rId7" Type="http://schemas.openxmlformats.org/officeDocument/2006/relationships/ctrlProp" Target="../ctrlProps/ctrlProp18.xml"/><Relationship Id="rId2" Type="http://schemas.openxmlformats.org/officeDocument/2006/relationships/vmlDrawing" Target="../drawings/vmlDrawing5.vml"/><Relationship Id="rId1" Type="http://schemas.openxmlformats.org/officeDocument/2006/relationships/drawing" Target="../drawings/drawing5.xml"/><Relationship Id="rId6" Type="http://schemas.openxmlformats.org/officeDocument/2006/relationships/image" Target="../media/image3.emf"/><Relationship Id="rId5" Type="http://schemas.openxmlformats.org/officeDocument/2006/relationships/control" Target="../activeX/activeX3.xml"/><Relationship Id="rId4" Type="http://schemas.openxmlformats.org/officeDocument/2006/relationships/image" Target="../media/image2.emf"/></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10.bin"/><Relationship Id="rId4" Type="http://schemas.openxmlformats.org/officeDocument/2006/relationships/ctrlProp" Target="../ctrlProps/ctrlProp1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pageSetUpPr fitToPage="1"/>
  </sheetPr>
  <dimension ref="B1:C65"/>
  <sheetViews>
    <sheetView topLeftCell="B1" zoomScaleNormal="100" workbookViewId="0">
      <selection activeCell="B18" sqref="B18"/>
    </sheetView>
  </sheetViews>
  <sheetFormatPr defaultColWidth="9.140625" defaultRowHeight="12.75"/>
  <cols>
    <col min="1" max="1" width="2.85546875" style="604" customWidth="1"/>
    <col min="2" max="2" width="174.42578125" style="776" customWidth="1"/>
    <col min="3" max="16384" width="9.140625" style="604"/>
  </cols>
  <sheetData>
    <row r="1" spans="2:3" ht="6" customHeight="1" thickBot="1"/>
    <row r="2" spans="2:3" ht="16.5" thickBot="1">
      <c r="B2" s="778" t="s">
        <v>2465</v>
      </c>
      <c r="C2" s="604" t="s">
        <v>1750</v>
      </c>
    </row>
    <row r="3" spans="2:3">
      <c r="B3" s="769"/>
      <c r="C3" s="604" t="s">
        <v>1750</v>
      </c>
    </row>
    <row r="4" spans="2:3">
      <c r="B4" s="770" t="s">
        <v>2464</v>
      </c>
      <c r="C4" s="604" t="s">
        <v>1750</v>
      </c>
    </row>
    <row r="5" spans="2:3">
      <c r="B5" s="769"/>
      <c r="C5" s="604" t="s">
        <v>1750</v>
      </c>
    </row>
    <row r="6" spans="2:3">
      <c r="B6" s="771" t="s">
        <v>2309</v>
      </c>
      <c r="C6" s="604" t="s">
        <v>1750</v>
      </c>
    </row>
    <row r="7" spans="2:3">
      <c r="B7" s="769" t="s">
        <v>2482</v>
      </c>
      <c r="C7" s="604" t="s">
        <v>1750</v>
      </c>
    </row>
    <row r="8" spans="2:3">
      <c r="B8" s="769" t="s">
        <v>2310</v>
      </c>
      <c r="C8" s="604" t="s">
        <v>1750</v>
      </c>
    </row>
    <row r="9" spans="2:3">
      <c r="B9" s="769" t="s">
        <v>2483</v>
      </c>
      <c r="C9" s="604" t="s">
        <v>1750</v>
      </c>
    </row>
    <row r="10" spans="2:3">
      <c r="B10" s="769" t="s">
        <v>2484</v>
      </c>
      <c r="C10" s="604" t="s">
        <v>1750</v>
      </c>
    </row>
    <row r="11" spans="2:3">
      <c r="B11" s="769"/>
      <c r="C11" s="604" t="s">
        <v>1750</v>
      </c>
    </row>
    <row r="12" spans="2:3" ht="25.5">
      <c r="B12" s="769" t="s">
        <v>2342</v>
      </c>
      <c r="C12" s="604" t="s">
        <v>1750</v>
      </c>
    </row>
    <row r="13" spans="2:3">
      <c r="B13" s="769"/>
    </row>
    <row r="14" spans="2:3">
      <c r="B14" s="902" t="s">
        <v>2467</v>
      </c>
    </row>
    <row r="15" spans="2:3">
      <c r="B15" s="903" t="s">
        <v>2466</v>
      </c>
      <c r="C15" s="604" t="s">
        <v>1750</v>
      </c>
    </row>
    <row r="16" spans="2:3">
      <c r="B16" s="901"/>
    </row>
    <row r="17" spans="2:3">
      <c r="B17" s="772" t="s">
        <v>2311</v>
      </c>
      <c r="C17" s="604" t="s">
        <v>1750</v>
      </c>
    </row>
    <row r="18" spans="2:3" ht="15" customHeight="1">
      <c r="B18" s="773" t="s">
        <v>2312</v>
      </c>
      <c r="C18" s="604" t="s">
        <v>1750</v>
      </c>
    </row>
    <row r="19" spans="2:3" ht="15" customHeight="1">
      <c r="B19" s="773" t="s">
        <v>2379</v>
      </c>
      <c r="C19" s="604" t="s">
        <v>1750</v>
      </c>
    </row>
    <row r="20" spans="2:3" ht="25.5">
      <c r="B20" s="773" t="s">
        <v>2343</v>
      </c>
      <c r="C20" s="604" t="s">
        <v>1750</v>
      </c>
    </row>
    <row r="21" spans="2:3" s="777" customFormat="1" ht="29.45" customHeight="1">
      <c r="B21" s="775" t="s">
        <v>2313</v>
      </c>
      <c r="C21" s="777" t="s">
        <v>1750</v>
      </c>
    </row>
    <row r="22" spans="2:3" ht="15" customHeight="1">
      <c r="B22" s="773" t="s">
        <v>2314</v>
      </c>
      <c r="C22" s="604" t="s">
        <v>1750</v>
      </c>
    </row>
    <row r="23" spans="2:3" ht="15" customHeight="1">
      <c r="B23" s="773" t="s">
        <v>2315</v>
      </c>
      <c r="C23" s="604" t="s">
        <v>1750</v>
      </c>
    </row>
    <row r="24" spans="2:3" ht="15" customHeight="1">
      <c r="B24" s="773" t="s">
        <v>2380</v>
      </c>
      <c r="C24" s="604" t="s">
        <v>1750</v>
      </c>
    </row>
    <row r="25" spans="2:3" ht="15" customHeight="1">
      <c r="B25" s="773" t="s">
        <v>2381</v>
      </c>
      <c r="C25" s="604" t="s">
        <v>1750</v>
      </c>
    </row>
    <row r="26" spans="2:3" ht="15" customHeight="1">
      <c r="B26" s="773" t="s">
        <v>2316</v>
      </c>
      <c r="C26" s="604" t="s">
        <v>1750</v>
      </c>
    </row>
    <row r="27" spans="2:3">
      <c r="B27" s="769"/>
      <c r="C27" s="604" t="s">
        <v>1750</v>
      </c>
    </row>
    <row r="28" spans="2:3">
      <c r="B28" s="769"/>
      <c r="C28" s="604" t="s">
        <v>1750</v>
      </c>
    </row>
    <row r="29" spans="2:3">
      <c r="B29" s="772" t="s">
        <v>2317</v>
      </c>
      <c r="C29" s="604" t="s">
        <v>1750</v>
      </c>
    </row>
    <row r="30" spans="2:3">
      <c r="B30" s="769" t="s">
        <v>2318</v>
      </c>
      <c r="C30" s="604" t="s">
        <v>1750</v>
      </c>
    </row>
    <row r="31" spans="2:3">
      <c r="B31" s="769"/>
      <c r="C31" s="604" t="s">
        <v>1750</v>
      </c>
    </row>
    <row r="32" spans="2:3">
      <c r="B32" s="774" t="s">
        <v>2319</v>
      </c>
      <c r="C32" s="604" t="s">
        <v>1750</v>
      </c>
    </row>
    <row r="33" spans="2:3">
      <c r="B33" s="773" t="s">
        <v>2320</v>
      </c>
      <c r="C33" s="604" t="s">
        <v>1750</v>
      </c>
    </row>
    <row r="34" spans="2:3">
      <c r="B34" s="773" t="s">
        <v>2321</v>
      </c>
      <c r="C34" s="604" t="s">
        <v>1750</v>
      </c>
    </row>
    <row r="35" spans="2:3" ht="25.5">
      <c r="B35" s="773" t="s">
        <v>2382</v>
      </c>
      <c r="C35" s="604" t="s">
        <v>1750</v>
      </c>
    </row>
    <row r="36" spans="2:3">
      <c r="B36" s="773" t="s">
        <v>2322</v>
      </c>
      <c r="C36" s="604" t="s">
        <v>1750</v>
      </c>
    </row>
    <row r="37" spans="2:3">
      <c r="B37" s="773" t="s">
        <v>2323</v>
      </c>
      <c r="C37" s="604" t="s">
        <v>1750</v>
      </c>
    </row>
    <row r="38" spans="2:3">
      <c r="B38" s="773"/>
      <c r="C38" s="604" t="s">
        <v>1750</v>
      </c>
    </row>
    <row r="39" spans="2:3" ht="25.5">
      <c r="B39" s="774" t="s">
        <v>2344</v>
      </c>
      <c r="C39" s="604" t="s">
        <v>1750</v>
      </c>
    </row>
    <row r="40" spans="2:3">
      <c r="B40" s="773" t="s">
        <v>2324</v>
      </c>
      <c r="C40" s="604" t="s">
        <v>1750</v>
      </c>
    </row>
    <row r="41" spans="2:3">
      <c r="B41" s="773" t="s">
        <v>2325</v>
      </c>
      <c r="C41" s="604" t="s">
        <v>1750</v>
      </c>
    </row>
    <row r="42" spans="2:3">
      <c r="B42" s="773" t="s">
        <v>2326</v>
      </c>
      <c r="C42" s="604" t="s">
        <v>1750</v>
      </c>
    </row>
    <row r="43" spans="2:3">
      <c r="B43" s="773" t="s">
        <v>2327</v>
      </c>
      <c r="C43" s="604" t="s">
        <v>1750</v>
      </c>
    </row>
    <row r="44" spans="2:3">
      <c r="B44" s="773" t="s">
        <v>2328</v>
      </c>
      <c r="C44" s="604" t="s">
        <v>1750</v>
      </c>
    </row>
    <row r="45" spans="2:3">
      <c r="B45" s="773" t="s">
        <v>2329</v>
      </c>
      <c r="C45" s="604" t="s">
        <v>1750</v>
      </c>
    </row>
    <row r="46" spans="2:3">
      <c r="B46" s="773" t="s">
        <v>2330</v>
      </c>
      <c r="C46" s="604" t="s">
        <v>1750</v>
      </c>
    </row>
    <row r="47" spans="2:3">
      <c r="B47" s="773" t="s">
        <v>2331</v>
      </c>
      <c r="C47" s="604" t="s">
        <v>1750</v>
      </c>
    </row>
    <row r="48" spans="2:3">
      <c r="B48" s="773" t="s">
        <v>2332</v>
      </c>
      <c r="C48" s="604" t="s">
        <v>1750</v>
      </c>
    </row>
    <row r="49" spans="2:3">
      <c r="B49" s="772"/>
      <c r="C49" s="604" t="s">
        <v>1750</v>
      </c>
    </row>
    <row r="50" spans="2:3">
      <c r="B50" s="769"/>
      <c r="C50" s="604" t="s">
        <v>1750</v>
      </c>
    </row>
    <row r="51" spans="2:3">
      <c r="B51" s="772" t="s">
        <v>2333</v>
      </c>
      <c r="C51" s="604" t="s">
        <v>1750</v>
      </c>
    </row>
    <row r="52" spans="2:3">
      <c r="B52" s="773" t="s">
        <v>2334</v>
      </c>
      <c r="C52" s="604" t="s">
        <v>1750</v>
      </c>
    </row>
    <row r="53" spans="2:3">
      <c r="B53" s="773" t="s">
        <v>2384</v>
      </c>
      <c r="C53" s="604" t="s">
        <v>1750</v>
      </c>
    </row>
    <row r="54" spans="2:3">
      <c r="B54" s="773" t="s">
        <v>2335</v>
      </c>
      <c r="C54" s="604" t="s">
        <v>1750</v>
      </c>
    </row>
    <row r="55" spans="2:3">
      <c r="B55" s="773" t="s">
        <v>2336</v>
      </c>
      <c r="C55" s="604" t="s">
        <v>1750</v>
      </c>
    </row>
    <row r="56" spans="2:3">
      <c r="B56" s="773" t="s">
        <v>2337</v>
      </c>
      <c r="C56" s="604" t="s">
        <v>1750</v>
      </c>
    </row>
    <row r="57" spans="2:3">
      <c r="B57" s="773" t="s">
        <v>2338</v>
      </c>
      <c r="C57" s="604" t="s">
        <v>1750</v>
      </c>
    </row>
    <row r="58" spans="2:3">
      <c r="B58" s="773" t="s">
        <v>2339</v>
      </c>
      <c r="C58" s="604" t="s">
        <v>1750</v>
      </c>
    </row>
    <row r="59" spans="2:3" ht="25.5">
      <c r="B59" s="773" t="s">
        <v>2383</v>
      </c>
      <c r="C59" s="604" t="s">
        <v>1750</v>
      </c>
    </row>
    <row r="60" spans="2:3">
      <c r="B60" s="773" t="s">
        <v>2340</v>
      </c>
      <c r="C60" s="604" t="s">
        <v>1750</v>
      </c>
    </row>
    <row r="61" spans="2:3">
      <c r="B61" s="773" t="s">
        <v>2341</v>
      </c>
      <c r="C61" s="604" t="s">
        <v>1750</v>
      </c>
    </row>
    <row r="62" spans="2:3">
      <c r="B62" s="769"/>
      <c r="C62" s="604" t="s">
        <v>1750</v>
      </c>
    </row>
    <row r="63" spans="2:3">
      <c r="B63" s="781" t="s">
        <v>2385</v>
      </c>
      <c r="C63" s="604" t="s">
        <v>1750</v>
      </c>
    </row>
    <row r="64" spans="2:3">
      <c r="B64" s="775" t="s">
        <v>2386</v>
      </c>
    </row>
    <row r="65" spans="2:2">
      <c r="B65" s="776" t="s">
        <v>2387</v>
      </c>
    </row>
  </sheetData>
  <phoneticPr fontId="34" type="noConversion"/>
  <hyperlinks>
    <hyperlink ref="B4" r:id="rId1" display="http://www.epa.gov/vaporintrusion" xr:uid="{00000000-0004-0000-0000-000000000000}"/>
    <hyperlink ref="B15" r:id="rId2" xr:uid="{00000000-0004-0000-0000-000001000000}"/>
  </hyperlinks>
  <pageMargins left="0.75" right="0.75" top="1" bottom="1" header="0.5" footer="0.5"/>
  <pageSetup scale="35" orientation="landscape" r:id="rId3"/>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ransitionEvaluation="1" codeName="Sheet1"/>
  <dimension ref="A1:CA323"/>
  <sheetViews>
    <sheetView showGridLines="0" zoomScale="70" zoomScaleNormal="70" zoomScaleSheetLayoutView="55" workbookViewId="0">
      <pane ySplit="4" topLeftCell="A5" activePane="bottomLeft" state="frozen"/>
      <selection pane="bottomLeft" activeCell="F17" sqref="F17"/>
    </sheetView>
  </sheetViews>
  <sheetFormatPr defaultColWidth="9.140625" defaultRowHeight="13.5"/>
  <cols>
    <col min="1" max="2" width="2.7109375" style="28" customWidth="1"/>
    <col min="3" max="3" width="42" style="28" customWidth="1"/>
    <col min="4" max="4" width="15" style="28" customWidth="1"/>
    <col min="5" max="5" width="12.42578125" style="28" customWidth="1"/>
    <col min="6" max="6" width="22" style="28" customWidth="1"/>
    <col min="7" max="7" width="17" style="28" customWidth="1"/>
    <col min="8" max="8" width="16.7109375" style="94" customWidth="1"/>
    <col min="9" max="9" width="20.7109375" style="28" bestFit="1" customWidth="1"/>
    <col min="10" max="10" width="19" style="94" customWidth="1"/>
    <col min="11" max="11" width="35.5703125" style="28" customWidth="1"/>
    <col min="12" max="12" width="42.140625" style="28" customWidth="1"/>
    <col min="13" max="13" width="90.28515625" style="28" customWidth="1"/>
    <col min="14" max="14" width="2.7109375" style="28" customWidth="1"/>
    <col min="15" max="15" width="47.7109375" style="28" hidden="1" customWidth="1"/>
    <col min="16" max="17" width="13.28515625" style="28" hidden="1" customWidth="1"/>
    <col min="18" max="19" width="12.42578125" style="28" hidden="1" customWidth="1"/>
    <col min="20" max="20" width="15.7109375" style="28" hidden="1" customWidth="1"/>
    <col min="21" max="21" width="40.140625" style="28" hidden="1" customWidth="1"/>
    <col min="22" max="22" width="13.28515625" style="28" hidden="1" customWidth="1"/>
    <col min="23" max="23" width="13.7109375" style="28" hidden="1" customWidth="1"/>
    <col min="24" max="24" width="13.5703125" style="28" hidden="1" customWidth="1"/>
    <col min="25" max="25" width="9.28515625" style="28" hidden="1" customWidth="1"/>
    <col min="26" max="26" width="8.28515625" style="28" hidden="1" customWidth="1"/>
    <col min="27" max="28" width="2.7109375" style="28" hidden="1" customWidth="1"/>
    <col min="29" max="29" width="39.5703125" style="28" hidden="1" customWidth="1"/>
    <col min="30" max="30" width="13.28515625" style="28" hidden="1" customWidth="1"/>
    <col min="31" max="31" width="12.42578125" style="28" hidden="1" customWidth="1"/>
    <col min="32" max="32" width="20.7109375" style="28" hidden="1" customWidth="1"/>
    <col min="33" max="33" width="20.85546875" style="28" hidden="1" customWidth="1"/>
    <col min="34" max="34" width="13.28515625" style="94" hidden="1" customWidth="1"/>
    <col min="35" max="35" width="11.85546875" style="28" hidden="1" customWidth="1"/>
    <col min="36" max="36" width="10" style="94" hidden="1" customWidth="1"/>
    <col min="37" max="37" width="39.28515625" style="28" hidden="1" customWidth="1"/>
    <col min="38" max="38" width="10" style="28" hidden="1" customWidth="1"/>
    <col min="39" max="39" width="9" style="28" hidden="1" customWidth="1"/>
    <col min="40" max="40" width="10.85546875" style="28" hidden="1" customWidth="1"/>
    <col min="41" max="41" width="10.28515625" style="28" hidden="1" customWidth="1"/>
    <col min="42" max="42" width="10" style="28" hidden="1" customWidth="1"/>
    <col min="43" max="43" width="8.5703125" style="28" hidden="1" customWidth="1"/>
    <col min="44" max="44" width="10" style="28" hidden="1" customWidth="1"/>
    <col min="45" max="45" width="11.5703125" style="28" hidden="1" customWidth="1"/>
    <col min="46" max="46" width="13.7109375" style="28" hidden="1" customWidth="1"/>
    <col min="47" max="47" width="1.85546875" style="28" hidden="1" customWidth="1"/>
    <col min="48" max="48" width="10.42578125" style="28" hidden="1" customWidth="1"/>
    <col min="49" max="49" width="11" style="28" hidden="1" customWidth="1"/>
    <col min="50" max="50" width="9.140625" style="28" hidden="1" customWidth="1"/>
    <col min="51" max="51" width="8.7109375" style="28" hidden="1" customWidth="1"/>
    <col min="52" max="52" width="5.5703125" style="28" hidden="1" customWidth="1"/>
    <col min="53" max="53" width="12.85546875" style="28" hidden="1" customWidth="1"/>
    <col min="54" max="54" width="21.7109375" style="28" hidden="1" customWidth="1"/>
    <col min="55" max="55" width="11.28515625" style="28" hidden="1" customWidth="1"/>
    <col min="56" max="56" width="19.28515625" style="28" hidden="1" customWidth="1"/>
    <col min="57" max="57" width="11.28515625" style="28" hidden="1" customWidth="1"/>
    <col min="58" max="58" width="20.5703125" style="28" hidden="1" customWidth="1"/>
    <col min="59" max="60" width="7.5703125" style="28" hidden="1" customWidth="1"/>
    <col min="61" max="61" width="4.140625" style="28" hidden="1" customWidth="1"/>
    <col min="62" max="64" width="5.5703125" style="28" hidden="1" customWidth="1"/>
    <col min="65" max="65" width="9.140625" style="28" hidden="1" customWidth="1"/>
    <col min="66" max="66" width="9" style="28" hidden="1" customWidth="1"/>
    <col min="67" max="67" width="24.42578125" style="28" hidden="1" customWidth="1"/>
    <col min="68" max="68" width="10" style="28" hidden="1" customWidth="1"/>
    <col min="69" max="70" width="9.140625" style="28" hidden="1" customWidth="1"/>
    <col min="71" max="71" width="10.42578125" style="28" hidden="1" customWidth="1"/>
    <col min="72" max="72" width="11.42578125" style="28" hidden="1" customWidth="1"/>
    <col min="73" max="73" width="12" style="28" hidden="1" customWidth="1"/>
    <col min="74" max="74" width="11.42578125" style="28" hidden="1" customWidth="1"/>
    <col min="75" max="75" width="7.28515625" style="28" hidden="1" customWidth="1"/>
    <col min="76" max="76" width="11.42578125" style="28" hidden="1" customWidth="1"/>
    <col min="77" max="77" width="13.42578125" style="28" hidden="1" customWidth="1"/>
    <col min="78" max="78" width="8.7109375" style="28" hidden="1" customWidth="1"/>
    <col min="79" max="79" width="10" style="28" hidden="1" customWidth="1"/>
    <col min="80" max="80" width="10" style="28" customWidth="1"/>
    <col min="81" max="16384" width="9.140625" style="28"/>
  </cols>
  <sheetData>
    <row r="1" spans="1:62" s="95" customFormat="1" ht="13.15" customHeight="1">
      <c r="A1" s="401" t="s">
        <v>1720</v>
      </c>
      <c r="B1" s="388"/>
      <c r="C1" s="388"/>
      <c r="D1" s="388"/>
      <c r="E1" s="696" t="s">
        <v>1656</v>
      </c>
      <c r="F1" s="696" t="s">
        <v>267</v>
      </c>
      <c r="G1" s="696" t="s">
        <v>337</v>
      </c>
      <c r="H1" s="696" t="s">
        <v>288</v>
      </c>
      <c r="I1" s="747" t="s">
        <v>2363</v>
      </c>
      <c r="J1" s="744"/>
      <c r="K1" s="929" t="str">
        <f>IF(LEN(IFERROR(alpha_range, "uhoh"))&lt;10,"Warning: Some versions of excel do not support the CONCATENATE function, so the range values will appear broken. To fix, either upgrade your version of Excel (preferred) or replace all occurences of 'CONCATENATE' with 'CONCAT.'","")</f>
        <v/>
      </c>
      <c r="L1" s="930"/>
      <c r="Q1" s="95" t="s">
        <v>2361</v>
      </c>
      <c r="R1" s="95" t="s">
        <v>2362</v>
      </c>
      <c r="S1" s="95" t="s">
        <v>2359</v>
      </c>
      <c r="T1" s="95" t="s">
        <v>2360</v>
      </c>
      <c r="AI1" s="171"/>
      <c r="AK1" s="171"/>
    </row>
    <row r="2" spans="1:62" s="95" customFormat="1" ht="10.9" customHeight="1">
      <c r="A2" s="389"/>
      <c r="B2" s="366" t="str">
        <f>IF(Source="Groundwater", "Groundwater to indoor air attenuation coefficient","Soil gas to indoor air attenuation coefficient")</f>
        <v>Groundwater to indoor air attenuation coefficient</v>
      </c>
      <c r="C2" s="374"/>
      <c r="D2" s="374"/>
      <c r="E2" s="379" t="s">
        <v>128</v>
      </c>
      <c r="F2" s="699">
        <f>alpha</f>
        <v>9.9307422105413467E-4</v>
      </c>
      <c r="G2" s="699" t="str">
        <f>IF(Q2&lt;R2,CONCATENATE(TEXT(Q2,"0.0E+00")," - ",TEXT(R2,"0.0E+00")),CONCATENATE(TEXT(R2,"0.0E+00")," - ",TEXT(Q2,"0.0E+00")))</f>
        <v>1.2E-04 - 1.4E-03</v>
      </c>
      <c r="H2" s="682">
        <f>alpha_default</f>
        <v>9.9307422105413467E-4</v>
      </c>
      <c r="I2" s="748" t="str">
        <f>IF(S2&lt;T2,CONCATENATE(TEXT(S2,"0.0E+00")," - ",TEXT(T2,"0.0E+00")),CONCATENATE(TEXT(T2,"0.0E+00")," - ",TEXT(S2,"0.0E+00")))</f>
        <v>1.2E-04 - 1.4E-03</v>
      </c>
      <c r="J2" s="745"/>
      <c r="K2" s="931"/>
      <c r="L2" s="932"/>
      <c r="Q2" s="779">
        <f>MAX(0,ROUND(alpha_min,20))</f>
        <v>1.20742682906278E-4</v>
      </c>
      <c r="R2" s="697">
        <f>ROUND(alpha_max,20)</f>
        <v>1.4416684789300999E-3</v>
      </c>
      <c r="S2" s="746">
        <f>MAX(ROUND(alpha_min_default,20),0)</f>
        <v>1.20742682906278E-4</v>
      </c>
      <c r="T2" s="746">
        <f>ROUND(alpha_max_default,20)</f>
        <v>1.4416684789300999E-3</v>
      </c>
      <c r="AI2" s="171"/>
      <c r="AK2" s="171"/>
    </row>
    <row r="3" spans="1:62" s="34" customFormat="1" ht="13.15" customHeight="1">
      <c r="A3" s="391"/>
      <c r="B3" s="392" t="s">
        <v>1721</v>
      </c>
      <c r="C3" s="392"/>
      <c r="D3" s="366"/>
      <c r="E3" s="390" t="s">
        <v>251</v>
      </c>
      <c r="F3" s="722">
        <f>Cia</f>
        <v>1.3543959527951062</v>
      </c>
      <c r="G3" s="722" t="str">
        <f>IF(Q3&lt;R3,CONCATENATE(TEXT(Q3,"0.0E+00")," - ",TEXT(R3,"0.0E+00")),CONCATENATE(TEXT(R3,"0.0E+00")," - ",TEXT(Q3,"0.0E+00")))</f>
        <v>1.6E-01 - 2.0E+00</v>
      </c>
      <c r="H3" s="699">
        <f>Cia_default</f>
        <v>1.3543959527951062</v>
      </c>
      <c r="I3" s="749" t="str">
        <f>IF(S3&lt;T3,CONCATENATE(TEXT(S3,"0.0E+00")," - ",TEXT(T3,"0.0E+00")),CONCATENATE(TEXT(T3,"0.0E+00")," - ",TEXT(S3,"0.0E+00")))</f>
        <v>1.6E-01 - 2.0E+00</v>
      </c>
      <c r="J3" s="38"/>
      <c r="K3" s="931"/>
      <c r="L3" s="932"/>
      <c r="Q3" s="698">
        <f>Cia_min</f>
        <v>0.16467389606015295</v>
      </c>
      <c r="R3" s="698">
        <f>Cia_max</f>
        <v>1.9662074714441378</v>
      </c>
      <c r="S3" s="698">
        <f>Cia_min_default</f>
        <v>0.16467389606015295</v>
      </c>
      <c r="T3" s="698">
        <f>Cia_max_default</f>
        <v>1.9662074714441378</v>
      </c>
      <c r="AI3" s="97"/>
      <c r="AK3" s="97"/>
    </row>
    <row r="4" spans="1:62" s="34" customFormat="1" ht="13.15" customHeight="1">
      <c r="A4" s="704"/>
      <c r="B4" s="705"/>
      <c r="C4" s="780" t="str">
        <f>WarnFlag</f>
        <v/>
      </c>
      <c r="D4" s="705"/>
      <c r="E4" s="706" t="s">
        <v>1638</v>
      </c>
      <c r="F4" s="707">
        <f>cia_ppbv</f>
        <v>0.75199811607046563</v>
      </c>
      <c r="G4" s="707" t="str">
        <f>IF(Q4&lt;R4,CONCATENATE(TEXT(Q4,"0.0E+00")," - ",TEXT(R4,"0.0E+00")),CONCATENATE(TEXT(R4,"0.0E+00")," - ",TEXT(Q4,"0.0E+00")))</f>
        <v>9.1E-02 - 1.1E+00</v>
      </c>
      <c r="H4" s="707">
        <f>cia_ppbv_default</f>
        <v>0.75199811607046563</v>
      </c>
      <c r="I4" s="750" t="str">
        <f>IF(Q4&lt;R4,CONCATENATE(TEXT(Q4,"0.0E+00")," - ",TEXT(R4,"0.0E+00")),CONCATENATE(TEXT(R4,"0.0E+00")," - ",TEXT(Q4,"0.0E+00")))</f>
        <v>9.1E-02 - 1.1E+00</v>
      </c>
      <c r="J4" s="570"/>
      <c r="K4" s="933"/>
      <c r="L4" s="934"/>
      <c r="Q4" s="746">
        <f>Cs*alpha_min*24.46/INDEX(CHEM_DATA!$C$6:$C$474, MATCH(Chem, Chem_Search, 0))</f>
        <v>9.1431504463416274E-2</v>
      </c>
      <c r="R4" s="746">
        <f>Cs*alpha_max*24.46/INDEX(CHEM_DATA!$C$6:$C$474, MATCH(Chem, Chem_Search, 0))</f>
        <v>1.0916928031852637</v>
      </c>
      <c r="S4" s="746">
        <f>Cs*alpha_min_default*24.46/INDEX(CHEM_DATA!$C$6:$C$474, MATCH(Chem, Chem_Search, 0))</f>
        <v>9.1431504463416274E-2</v>
      </c>
      <c r="T4" s="746">
        <f>Cs*alpha_max_default*24.46/INDEX(CHEM_DATA!$C$6:$C$474, MATCH(Chem, Chem_Search, 0))</f>
        <v>1.0916928031852637</v>
      </c>
      <c r="AI4" s="97"/>
      <c r="AK4" s="97"/>
    </row>
    <row r="5" spans="1:62" ht="18">
      <c r="A5" s="21" t="s">
        <v>1750</v>
      </c>
      <c r="B5" s="22"/>
      <c r="C5" s="22"/>
      <c r="D5" s="23"/>
      <c r="E5" s="23"/>
      <c r="F5" s="24"/>
      <c r="G5" s="25"/>
      <c r="H5" s="135"/>
      <c r="I5" s="25"/>
      <c r="J5" s="26"/>
      <c r="K5" s="27"/>
      <c r="M5" s="21"/>
      <c r="N5" s="29"/>
      <c r="O5" s="29"/>
      <c r="P5" s="24"/>
      <c r="Q5" s="24"/>
      <c r="R5" s="29"/>
      <c r="S5" s="29"/>
      <c r="T5" s="27"/>
      <c r="U5" s="27"/>
      <c r="AA5" s="21" t="s">
        <v>1651</v>
      </c>
      <c r="AB5" s="22"/>
      <c r="AC5" s="22"/>
      <c r="AD5" s="23"/>
      <c r="AE5" s="23"/>
      <c r="AF5" s="24"/>
      <c r="AG5" s="25"/>
      <c r="AH5" s="135"/>
      <c r="AI5" s="25"/>
      <c r="AJ5" s="26"/>
      <c r="AK5" s="27"/>
    </row>
    <row r="6" spans="1:62" ht="18.95" customHeight="1">
      <c r="A6" s="102"/>
      <c r="B6" s="322"/>
      <c r="C6" s="322"/>
      <c r="D6" s="323"/>
      <c r="E6" s="323"/>
      <c r="F6" s="33"/>
      <c r="G6" s="35"/>
      <c r="H6" s="24"/>
      <c r="I6" s="35"/>
      <c r="J6" s="24"/>
      <c r="K6" s="32"/>
      <c r="L6" s="30"/>
      <c r="M6" s="31"/>
      <c r="N6" s="32"/>
      <c r="O6" s="32"/>
      <c r="P6" s="33"/>
      <c r="Q6" s="33"/>
      <c r="R6" s="32"/>
      <c r="S6" s="32"/>
      <c r="T6" s="27"/>
      <c r="U6" s="27"/>
      <c r="AA6" s="102"/>
      <c r="AB6" s="322"/>
      <c r="AC6" s="322"/>
      <c r="AD6" s="323"/>
      <c r="AE6" s="323"/>
      <c r="AF6" s="33"/>
      <c r="AG6" s="35"/>
      <c r="AH6" s="24"/>
      <c r="AI6" s="35"/>
      <c r="AJ6" s="24"/>
      <c r="AK6" s="32"/>
    </row>
    <row r="7" spans="1:62" ht="18.95" customHeight="1">
      <c r="A7" s="21" t="s">
        <v>1778</v>
      </c>
      <c r="B7" s="35"/>
      <c r="C7" s="35"/>
      <c r="D7" s="322" t="s">
        <v>1777</v>
      </c>
      <c r="E7" s="23"/>
      <c r="F7" s="723" t="s">
        <v>2356</v>
      </c>
      <c r="G7" s="35"/>
      <c r="H7" s="24"/>
      <c r="I7" s="35"/>
      <c r="J7" s="24"/>
      <c r="K7" s="29"/>
      <c r="L7" s="34"/>
      <c r="M7" s="21"/>
      <c r="N7" s="29"/>
      <c r="O7" s="29"/>
      <c r="P7" s="24"/>
      <c r="Q7" s="24"/>
      <c r="R7" s="29"/>
      <c r="S7" s="29"/>
      <c r="T7" s="27"/>
      <c r="U7" s="27"/>
      <c r="AA7" s="21" t="s">
        <v>126</v>
      </c>
      <c r="AB7" s="35"/>
      <c r="AC7" s="35"/>
      <c r="AD7" s="23"/>
      <c r="AE7" s="23"/>
      <c r="AF7" s="24"/>
      <c r="AG7" s="35"/>
      <c r="AH7" s="24"/>
      <c r="AI7" s="35"/>
      <c r="AJ7" s="24"/>
      <c r="AK7" s="29"/>
    </row>
    <row r="8" spans="1:62" ht="95.25" customHeight="1">
      <c r="A8" s="935" t="s">
        <v>1776</v>
      </c>
      <c r="B8" s="936"/>
      <c r="C8" s="936"/>
      <c r="D8" s="936"/>
      <c r="E8" s="936"/>
      <c r="F8" s="944"/>
      <c r="G8" s="35"/>
      <c r="H8" s="24"/>
      <c r="I8" s="35"/>
      <c r="J8" s="24"/>
      <c r="K8" s="29"/>
      <c r="L8" s="34"/>
      <c r="M8" s="29"/>
      <c r="N8" s="29"/>
      <c r="O8" s="29"/>
      <c r="P8" s="24"/>
      <c r="Q8" s="24"/>
      <c r="R8" s="36"/>
      <c r="S8" s="29"/>
      <c r="T8" s="27"/>
      <c r="U8" s="27"/>
      <c r="AA8" s="935" t="s">
        <v>1776</v>
      </c>
      <c r="AB8" s="936"/>
      <c r="AC8" s="936"/>
      <c r="AD8" s="936"/>
      <c r="AE8" s="936"/>
      <c r="AF8" s="937"/>
      <c r="AG8" s="35"/>
      <c r="AH8" s="24"/>
      <c r="AI8" s="35"/>
      <c r="AJ8" s="24"/>
      <c r="AK8" s="29"/>
    </row>
    <row r="9" spans="1:62" ht="34.9" customHeight="1" thickBot="1">
      <c r="A9" s="701" t="s">
        <v>124</v>
      </c>
      <c r="B9" s="702"/>
      <c r="C9" s="703"/>
      <c r="D9" s="324" t="s">
        <v>136</v>
      </c>
      <c r="E9" s="324" t="s">
        <v>137</v>
      </c>
      <c r="F9" s="324" t="s">
        <v>267</v>
      </c>
      <c r="G9" s="324" t="s">
        <v>288</v>
      </c>
      <c r="H9" s="712" t="s">
        <v>2355</v>
      </c>
      <c r="I9" s="324" t="s">
        <v>338</v>
      </c>
      <c r="J9" s="324" t="s">
        <v>319</v>
      </c>
      <c r="K9" s="325" t="s">
        <v>320</v>
      </c>
      <c r="L9" s="38"/>
      <c r="AA9" s="148" t="s">
        <v>124</v>
      </c>
      <c r="AB9" s="72"/>
      <c r="AC9" s="37"/>
      <c r="AD9" s="139" t="s">
        <v>136</v>
      </c>
      <c r="AE9" s="139" t="s">
        <v>137</v>
      </c>
      <c r="AF9" s="139" t="s">
        <v>267</v>
      </c>
      <c r="AG9" s="139" t="s">
        <v>288</v>
      </c>
      <c r="AH9" s="139" t="s">
        <v>337</v>
      </c>
      <c r="AI9" s="139" t="s">
        <v>338</v>
      </c>
      <c r="AJ9" s="139" t="s">
        <v>319</v>
      </c>
      <c r="AK9" s="325" t="s">
        <v>320</v>
      </c>
    </row>
    <row r="10" spans="1:62" ht="18.95" customHeight="1" thickTop="1" thickBot="1">
      <c r="A10" s="41"/>
      <c r="B10" s="98" t="s">
        <v>289</v>
      </c>
      <c r="C10" s="170"/>
      <c r="D10" s="26"/>
      <c r="E10" s="26" t="s">
        <v>295</v>
      </c>
      <c r="F10" s="349" t="s">
        <v>294</v>
      </c>
      <c r="G10" s="26"/>
      <c r="H10" s="84"/>
      <c r="I10" s="583"/>
      <c r="J10" s="42"/>
      <c r="K10" s="43"/>
      <c r="L10" s="38"/>
      <c r="AA10" s="41"/>
      <c r="AB10" s="98" t="s">
        <v>289</v>
      </c>
      <c r="AC10" s="170"/>
      <c r="AD10" s="26"/>
      <c r="AE10" s="26" t="s">
        <v>295</v>
      </c>
      <c r="AF10" s="349" t="s">
        <v>294</v>
      </c>
      <c r="AG10" s="26"/>
      <c r="AH10" s="84"/>
      <c r="AI10" s="206"/>
      <c r="AJ10" s="42"/>
      <c r="AK10" s="43"/>
    </row>
    <row r="11" spans="1:62" ht="18.95" customHeight="1" thickTop="1">
      <c r="A11" s="45"/>
      <c r="B11" s="98" t="str">
        <f>IF(Source="Groundwater","Groundwater concentration","Soil gas concentration")</f>
        <v>Groundwater concentration</v>
      </c>
      <c r="C11" s="170"/>
      <c r="D11" s="26" t="str">
        <f>IF(Source="Groundwater","(ug/L)","(ug/m3)")</f>
        <v>(ug/L)</v>
      </c>
      <c r="E11" s="26" t="s">
        <v>296</v>
      </c>
      <c r="F11" s="350">
        <v>500</v>
      </c>
      <c r="G11" s="46"/>
      <c r="H11" s="129" t="s">
        <v>707</v>
      </c>
      <c r="I11" s="585"/>
      <c r="J11" s="42" t="str">
        <f>IF(Source="Groundwater",IF(Cmedium&gt;1000*INDEX(CHEM_DATA!$I$6:$I$474, MATCH(Chem,Chem_Search,0)),"ERROR",""),"")</f>
        <v/>
      </c>
      <c r="K11" s="43" t="str">
        <f>IF(ISNUMBER(Cmedium),IF(Source="Groundwater",IF(Cmedium&gt;1000*INDEX(CHEM_DATA!$I$6:$I$474, MATCH(Chem,Chem_Search, 0)),"Value exceeds aqueous solubility limit.",""),""),"Please enter a value for Cmedium")</f>
        <v/>
      </c>
      <c r="L11" s="38"/>
      <c r="AA11" s="45"/>
      <c r="AB11" s="98" t="s">
        <v>1705</v>
      </c>
      <c r="AC11" s="170"/>
      <c r="AD11" s="26" t="s">
        <v>251</v>
      </c>
      <c r="AE11" s="26" t="s">
        <v>296</v>
      </c>
      <c r="AF11" s="350"/>
      <c r="AG11" s="46"/>
      <c r="AH11" s="129" t="s">
        <v>707</v>
      </c>
      <c r="AI11" s="207">
        <f>IF(Source="Groundwater",1,0.5)</f>
        <v>1</v>
      </c>
      <c r="AJ11" s="42" t="str">
        <f>IF(Source="Groundwater",IF(Cmedium&gt;1000*INDEX(CHEM_DATA!$I$6:$I$474, MATCH(Chem,Chem_Search,0)),"ERROR",""),"")</f>
        <v/>
      </c>
      <c r="AK11" s="43" t="str">
        <f>IF(ISNUMBER(Cmedium),IF(Source="Groundwater",IF(Cmedium&gt;1000*INDEX(CHEM_DATA!$I$6:$I$474, MATCH(Chem,Chem_Search, 0)),"Value exceeds aqueous solubility limit.",""),""),"Please enter a value for Cmedium")</f>
        <v/>
      </c>
      <c r="BF11" s="683"/>
      <c r="BG11" s="684" t="s">
        <v>2347</v>
      </c>
      <c r="BH11" s="685">
        <v>9.9999999999999995E-7</v>
      </c>
      <c r="BI11" s="686" t="s">
        <v>2348</v>
      </c>
      <c r="BJ11" s="685">
        <v>9.9999999999999995E-7</v>
      </c>
    </row>
    <row r="12" spans="1:62" ht="18.95" customHeight="1">
      <c r="A12" s="45"/>
      <c r="B12" s="98" t="str">
        <f>IF(Source="Groundwater","Depth below grade to water table","Depth below grade to soil gas sample")</f>
        <v>Depth below grade to water table</v>
      </c>
      <c r="C12" s="170"/>
      <c r="D12" s="26" t="s">
        <v>185</v>
      </c>
      <c r="E12" s="26" t="s">
        <v>231</v>
      </c>
      <c r="F12" s="351">
        <v>2</v>
      </c>
      <c r="G12" s="48"/>
      <c r="H12" s="84" t="s">
        <v>1722</v>
      </c>
      <c r="I12" s="584" t="s">
        <v>707</v>
      </c>
      <c r="J12" s="42" t="str">
        <f>IF(Source="Sub-slab Soil Gas",(IF(AND(Ls&gt;=Lb,Ls&lt;=Lb+1)=TRUE,"","WARNING")),(IF(Source="Groundwater",IF(Ls&lt;MAX(Lb+hcz,Lb+1),"WARNING",""),IF(Ls&lt;Lb+1,"WARNING",""))))</f>
        <v/>
      </c>
      <c r="K12" s="43" t="str">
        <f>IF(ISNUMBER(Ls), IF(Source="Sub-slab Soil Gas",(IF(AND(Ls&gt;=Lb,Ls&lt;=Lb+1)=TRUE,"","Ls should be between Lb and Lb + 1m.")),(IF(Source="Groundwater",IF(Ls&lt;MAX(Lb+hcz,Lb+1),"Ls must be  &gt;=  MAX( Lb + hcz , Lb + 1 m )",""),IF(Ls&lt;Lb+1,"Ls should be  &gt;=  Lb +1 m","")))),"Please enter a value for Ls")</f>
        <v/>
      </c>
      <c r="L12" s="38"/>
      <c r="AA12" s="45"/>
      <c r="AB12" s="98" t="s">
        <v>1706</v>
      </c>
      <c r="AC12" s="170"/>
      <c r="AD12" s="26" t="s">
        <v>185</v>
      </c>
      <c r="AE12" s="26" t="s">
        <v>231</v>
      </c>
      <c r="AF12" s="351"/>
      <c r="AG12" s="48"/>
      <c r="AH12" s="84" t="s">
        <v>1722</v>
      </c>
      <c r="AI12" s="206">
        <v>0.27</v>
      </c>
      <c r="AJ12" s="42" t="str">
        <f>IF(Source="Sub-slab Soil Gas",(IF(AND(Ls&gt;=Lb,Ls&lt;=Lb+1)=TRUE,"","WARNING")),(IF(Source="Groundwater",IF(Ls&lt;MAX(Lb+hcz,Lb+1),"WARNING",""),IF(Ls&lt;Lb+1,"WARNING",""))))</f>
        <v/>
      </c>
      <c r="AK12" s="43" t="str">
        <f>IF(ISNUMBER(Ls), IF(Source="Sub-slab Soil Gas",(IF(AND(Ls&gt;=Lb,Ls&lt;=Lb+1)=TRUE,"","Ls should be between Lb and Lb + 1m.")),(IF(Source="Groundwater",IF(Ls&lt;MAX(Lb+hcz,Lb+1),"Ls must be  &gt;=  MAX( Lb + hcz , Lb + 1 m )",""),IF(Ls&lt;Lb+1,"Ls should be  &gt;=  Lb +1 m","")))),"Please enter a value for Ls")</f>
        <v/>
      </c>
      <c r="BF12" s="683"/>
      <c r="BG12" s="684" t="s">
        <v>2349</v>
      </c>
      <c r="BH12" s="685">
        <v>3.1E-6</v>
      </c>
      <c r="BI12" s="686" t="s">
        <v>2350</v>
      </c>
      <c r="BJ12" s="685">
        <v>4.0999999999999997E-6</v>
      </c>
    </row>
    <row r="13" spans="1:62" ht="18.95" customHeight="1">
      <c r="A13" s="45"/>
      <c r="B13" s="98" t="str">
        <f>IF(Source="Groundwater","Average groundwater temperature","Average vadose zone temperature")</f>
        <v>Average groundwater temperature</v>
      </c>
      <c r="C13" s="170"/>
      <c r="D13" s="49" t="s">
        <v>329</v>
      </c>
      <c r="E13" s="49" t="s">
        <v>123</v>
      </c>
      <c r="F13" s="352">
        <v>25</v>
      </c>
      <c r="G13" s="52">
        <v>25</v>
      </c>
      <c r="H13" s="130" t="str">
        <f>IF(Source="Groundwater","3 - 25","3-30")</f>
        <v>3 - 25</v>
      </c>
      <c r="I13" s="133"/>
      <c r="J13" s="50" t="str">
        <f>IF(Source="Groundwater",(IF(OR(Ts&gt;25,Ts&lt;3)=TRUE,"WARNING","")),IF(OR(Ts&gt;30,Ts&lt;3)=TRUE,"WARNING",""))</f>
        <v/>
      </c>
      <c r="K13" s="43"/>
      <c r="L13" s="38"/>
      <c r="AA13" s="45"/>
      <c r="AB13" s="98" t="s">
        <v>1707</v>
      </c>
      <c r="AC13" s="170"/>
      <c r="AD13" s="49" t="s">
        <v>1969</v>
      </c>
      <c r="AE13" s="49" t="s">
        <v>123</v>
      </c>
      <c r="AF13" s="352">
        <v>15</v>
      </c>
      <c r="AG13" s="52"/>
      <c r="AH13" s="130" t="str">
        <f>IF(Source="Groundwater","3 - 25","3-30")</f>
        <v>3 - 25</v>
      </c>
      <c r="AI13" s="133">
        <f>IF(Source="Groundwater",0.2,0.5)</f>
        <v>0.2</v>
      </c>
      <c r="AJ13" s="50" t="str">
        <f>IF(Source="Groundwater",(IF(OR(Ts&gt;25,Ts&lt;3)=TRUE,"WARNING","")),IF(OR(Ts&gt;30,Ts&lt;3)=TRUE,"WARNING",""))</f>
        <v/>
      </c>
      <c r="AK13" s="43"/>
      <c r="BG13" s="28" t="s">
        <v>2353</v>
      </c>
      <c r="BH13" s="28">
        <f>IF(Scenario="Residential",mIURTCE_R,mIURTCE_C)</f>
        <v>9.9999999999999995E-7</v>
      </c>
    </row>
    <row r="14" spans="1:62" ht="18.95" customHeight="1">
      <c r="A14" s="45"/>
      <c r="B14" s="51"/>
      <c r="C14" s="36" t="s">
        <v>318</v>
      </c>
      <c r="D14" s="26" t="s">
        <v>251</v>
      </c>
      <c r="E14" s="49" t="s">
        <v>273</v>
      </c>
      <c r="F14" s="52">
        <f>IF(Source="Groundwater",Cmedium*1000*Hs,Cmedium)</f>
        <v>1363.8416183610459</v>
      </c>
      <c r="G14" s="52"/>
      <c r="H14" s="130"/>
      <c r="I14" s="133"/>
      <c r="J14" s="53"/>
      <c r="K14" s="43"/>
      <c r="L14" s="38"/>
      <c r="AA14" s="45"/>
      <c r="AB14" s="51"/>
      <c r="AC14" s="36" t="s">
        <v>318</v>
      </c>
      <c r="AD14" s="26" t="s">
        <v>251</v>
      </c>
      <c r="AE14" s="49" t="s">
        <v>273</v>
      </c>
      <c r="AF14" s="52">
        <f>IF(Source="Groundwater",Cmedium*1000*Hs,Cmedium)</f>
        <v>1363.8416183610459</v>
      </c>
      <c r="AG14" s="52"/>
      <c r="AH14" s="130"/>
      <c r="AI14" s="133"/>
      <c r="AJ14" s="53"/>
      <c r="AK14" s="43"/>
    </row>
    <row r="15" spans="1:62" ht="27" customHeight="1">
      <c r="A15" s="45"/>
      <c r="B15" s="51"/>
      <c r="C15" s="326" t="s">
        <v>1758</v>
      </c>
      <c r="D15" s="26" t="s">
        <v>1759</v>
      </c>
      <c r="E15" s="49" t="s">
        <v>1760</v>
      </c>
      <c r="F15" s="346">
        <f>Cs/INDEX(CHEM_DATA!$G:$G,MATCH(Chem,CHEM_DATA!$A:$A,0))</f>
        <v>6.3803146825057827E-7</v>
      </c>
      <c r="G15" s="52"/>
      <c r="H15" s="177"/>
      <c r="I15" s="178"/>
      <c r="J15" s="53"/>
      <c r="K15" s="43"/>
      <c r="L15" s="38"/>
      <c r="AA15" s="45"/>
      <c r="AB15" s="51"/>
      <c r="AC15" s="326" t="s">
        <v>1758</v>
      </c>
      <c r="AD15" s="26" t="s">
        <v>1759</v>
      </c>
      <c r="AE15" s="49" t="s">
        <v>1760</v>
      </c>
      <c r="AF15" s="346">
        <f>Cs/INDEX(CHEM_DATA!$G$6:$G$474,MATCH(Chem,CHEM_DATA!$A:$A,0))</f>
        <v>8.8618646525941749E-5</v>
      </c>
      <c r="AG15" s="52"/>
      <c r="AH15" s="177"/>
      <c r="AI15" s="178"/>
      <c r="AJ15" s="53"/>
      <c r="AK15" s="43"/>
    </row>
    <row r="16" spans="1:62" ht="38.450000000000003" customHeight="1" thickBot="1">
      <c r="A16" s="701" t="s">
        <v>254</v>
      </c>
      <c r="B16" s="702"/>
      <c r="C16" s="703"/>
      <c r="D16" s="324" t="s">
        <v>136</v>
      </c>
      <c r="E16" s="324" t="s">
        <v>137</v>
      </c>
      <c r="F16" s="324" t="s">
        <v>267</v>
      </c>
      <c r="G16" s="324" t="s">
        <v>288</v>
      </c>
      <c r="H16" s="712" t="s">
        <v>2355</v>
      </c>
      <c r="I16" s="324" t="s">
        <v>338</v>
      </c>
      <c r="J16" s="324" t="s">
        <v>319</v>
      </c>
      <c r="K16" s="325" t="s">
        <v>320</v>
      </c>
      <c r="L16" s="38"/>
      <c r="AA16" s="148" t="s">
        <v>254</v>
      </c>
      <c r="AB16" s="72"/>
      <c r="AC16" s="37"/>
      <c r="AD16" s="139" t="s">
        <v>136</v>
      </c>
      <c r="AE16" s="139" t="s">
        <v>137</v>
      </c>
      <c r="AF16" s="139" t="s">
        <v>267</v>
      </c>
      <c r="AG16" s="139" t="s">
        <v>288</v>
      </c>
      <c r="AH16" s="150" t="s">
        <v>337</v>
      </c>
      <c r="AI16" s="139" t="s">
        <v>338</v>
      </c>
      <c r="AJ16" s="139" t="s">
        <v>319</v>
      </c>
      <c r="AK16" s="325" t="s">
        <v>320</v>
      </c>
    </row>
    <row r="17" spans="1:37" ht="18.95" customHeight="1" thickTop="1" thickBot="1">
      <c r="A17" s="45"/>
      <c r="B17" s="98" t="s">
        <v>121</v>
      </c>
      <c r="C17" s="36"/>
      <c r="D17" s="26"/>
      <c r="E17" s="26" t="s">
        <v>223</v>
      </c>
      <c r="F17" s="353" t="s">
        <v>55</v>
      </c>
      <c r="G17" s="60"/>
      <c r="H17" s="131"/>
      <c r="I17" s="208"/>
      <c r="J17" s="42"/>
      <c r="K17" s="43"/>
      <c r="L17" s="38"/>
      <c r="AA17" s="45"/>
      <c r="AB17" s="98" t="s">
        <v>121</v>
      </c>
      <c r="AC17" s="36"/>
      <c r="AD17" s="26"/>
      <c r="AE17" s="26" t="s">
        <v>223</v>
      </c>
      <c r="AF17" s="353" t="s">
        <v>74</v>
      </c>
      <c r="AG17" s="60"/>
      <c r="AH17" s="131"/>
      <c r="AI17" s="208"/>
      <c r="AJ17" s="42"/>
      <c r="AK17" s="43"/>
    </row>
    <row r="18" spans="1:37" ht="18.95" customHeight="1" thickTop="1">
      <c r="A18" s="47"/>
      <c r="B18" s="36"/>
      <c r="C18" s="170" t="s">
        <v>1</v>
      </c>
      <c r="D18" s="26"/>
      <c r="E18" s="26" t="s">
        <v>114</v>
      </c>
      <c r="F18" s="52" t="str">
        <f>INDEX(CHEM_DATA!$B:$B, MATCH(Chem, CHEM_DATA!$A:$A,0))</f>
        <v>75-07-0</v>
      </c>
      <c r="G18" s="52"/>
      <c r="H18" s="130"/>
      <c r="I18" s="133"/>
      <c r="J18" s="42"/>
      <c r="K18" s="43"/>
      <c r="L18" s="38"/>
      <c r="AA18" s="47"/>
      <c r="AB18" s="36"/>
      <c r="AC18" s="170" t="s">
        <v>1</v>
      </c>
      <c r="AD18" s="26"/>
      <c r="AE18" s="26" t="s">
        <v>114</v>
      </c>
      <c r="AF18" s="52" t="str">
        <f>INDEX(CHEM_DATA!$B:$B, MATCH(Chem, CHEM_DATA!$A:$A,0))</f>
        <v>75-07-0</v>
      </c>
      <c r="AG18" s="52"/>
      <c r="AH18" s="130"/>
      <c r="AI18" s="133"/>
      <c r="AJ18" s="42"/>
      <c r="AK18" s="43"/>
    </row>
    <row r="19" spans="1:37" ht="18.95" customHeight="1">
      <c r="A19" s="41" t="s">
        <v>210</v>
      </c>
      <c r="B19" s="36"/>
      <c r="C19" s="170"/>
      <c r="D19" s="49"/>
      <c r="E19" s="49"/>
      <c r="F19" s="46"/>
      <c r="G19" s="67"/>
      <c r="H19" s="132"/>
      <c r="I19" s="133"/>
      <c r="J19" s="53"/>
      <c r="K19" s="43"/>
      <c r="L19" s="38"/>
      <c r="AA19" s="41" t="s">
        <v>210</v>
      </c>
      <c r="AB19" s="36"/>
      <c r="AC19" s="170"/>
      <c r="AD19" s="49"/>
      <c r="AE19" s="49"/>
      <c r="AF19" s="46"/>
      <c r="AG19" s="67"/>
      <c r="AH19" s="132"/>
      <c r="AI19" s="133"/>
      <c r="AJ19" s="53"/>
      <c r="AK19" s="43"/>
    </row>
    <row r="20" spans="1:37" ht="18.95" customHeight="1">
      <c r="A20" s="47"/>
      <c r="B20" s="68" t="s">
        <v>119</v>
      </c>
      <c r="C20" s="68"/>
      <c r="D20" s="49" t="s">
        <v>330</v>
      </c>
      <c r="E20" s="49" t="s">
        <v>2191</v>
      </c>
      <c r="F20" s="354">
        <f>VLOOKUP(CAS,CHEM_DATA!$B:$AC,25,FALSE)</f>
        <v>2.2000000000000001E-6</v>
      </c>
      <c r="G20" s="46">
        <f>VLOOKUP(CAS,CHEM_DATA!$B:$AC,25,FALSE)</f>
        <v>2.2000000000000001E-6</v>
      </c>
      <c r="H20" s="129" t="s">
        <v>707</v>
      </c>
      <c r="I20" s="207" t="s">
        <v>707</v>
      </c>
      <c r="J20" s="50" t="str">
        <f>IF(URF&lt;&gt;G20,"WARNING","")</f>
        <v/>
      </c>
      <c r="K20" s="43" t="str">
        <f>IF(G20="Not Available","No IUR available for this compound.",IF(URF&lt;&gt;G20,"Value is different from default value; please justify.",""))</f>
        <v/>
      </c>
      <c r="L20" s="38"/>
      <c r="AA20" s="47"/>
      <c r="AB20" s="68" t="s">
        <v>119</v>
      </c>
      <c r="AC20" s="68"/>
      <c r="AD20" s="49" t="s">
        <v>1970</v>
      </c>
      <c r="AE20" s="49" t="s">
        <v>2191</v>
      </c>
      <c r="AF20" s="354">
        <f>VLOOKUP(CAS,CHEM_DATA!$B:$AC,25,FALSE)</f>
        <v>2.2000000000000001E-6</v>
      </c>
      <c r="AG20" s="46">
        <f>VLOOKUP(CAS,CHEM_DATA!$B:$AC,25,FALSE)</f>
        <v>2.2000000000000001E-6</v>
      </c>
      <c r="AH20" s="129" t="s">
        <v>707</v>
      </c>
      <c r="AI20" s="207" t="s">
        <v>707</v>
      </c>
      <c r="AJ20" s="50" t="str">
        <f>IF(URF&lt;&gt;AG20,"WARNING","")</f>
        <v/>
      </c>
      <c r="AK20" s="43" t="str">
        <f>IF(AG20="Not Available","No IUR available for this compound.",IF(URF&lt;&gt;AG20,"Value is different from default value; please justify.",""))</f>
        <v/>
      </c>
    </row>
    <row r="21" spans="1:37" ht="18.95" customHeight="1">
      <c r="A21" s="47"/>
      <c r="B21" s="68" t="s">
        <v>1959</v>
      </c>
      <c r="C21" s="68"/>
      <c r="D21" s="49"/>
      <c r="E21" s="49" t="s">
        <v>1960</v>
      </c>
      <c r="F21" s="402" t="str">
        <f>VLOOKUP(CAS,CHEM_DATA!$B:$AD,29,FALSE)</f>
        <v>No</v>
      </c>
      <c r="G21" s="46" t="s">
        <v>707</v>
      </c>
      <c r="H21" s="129" t="s">
        <v>707</v>
      </c>
      <c r="I21" s="207" t="s">
        <v>707</v>
      </c>
      <c r="J21" s="50"/>
      <c r="K21" s="43"/>
      <c r="L21" s="38"/>
      <c r="AA21" s="47"/>
      <c r="AB21" s="68" t="s">
        <v>1959</v>
      </c>
      <c r="AC21" s="68"/>
      <c r="AD21" s="49"/>
      <c r="AE21" s="49" t="s">
        <v>1960</v>
      </c>
      <c r="AF21" s="402" t="str">
        <f>VLOOKUP(CAS,CHEM_DATA!$B:$AD,29,FALSE)</f>
        <v>No</v>
      </c>
      <c r="AG21" s="46" t="s">
        <v>707</v>
      </c>
      <c r="AH21" s="129" t="s">
        <v>707</v>
      </c>
      <c r="AI21" s="207" t="s">
        <v>707</v>
      </c>
      <c r="AJ21" s="50"/>
      <c r="AK21" s="43"/>
    </row>
    <row r="22" spans="1:37" ht="18.95" customHeight="1">
      <c r="A22" s="69"/>
      <c r="B22" s="70" t="s">
        <v>120</v>
      </c>
      <c r="C22" s="70"/>
      <c r="D22" s="165" t="s">
        <v>2468</v>
      </c>
      <c r="E22" s="165" t="s">
        <v>15</v>
      </c>
      <c r="F22" s="355">
        <f>VLOOKUP(CAS,CHEM_DATA!$B:$AC,27,FALSE)</f>
        <v>8.9999999999999993E-3</v>
      </c>
      <c r="G22" s="136">
        <f>VLOOKUP(CAS,CHEM_DATA!$B:$AC,27,FALSE)</f>
        <v>8.9999999999999993E-3</v>
      </c>
      <c r="H22" s="214" t="s">
        <v>707</v>
      </c>
      <c r="I22" s="209" t="s">
        <v>707</v>
      </c>
      <c r="J22" s="71" t="str">
        <f>IF(RfC&lt;&gt;G22,"WARNING","")</f>
        <v/>
      </c>
      <c r="K22" s="62" t="str">
        <f>IF(G22="Not Available","No RfC available for this compound.", IF(RfC&lt;&gt;G22,"Value is different from default value; please justify.",""))</f>
        <v/>
      </c>
      <c r="L22" s="38"/>
      <c r="AA22" s="69"/>
      <c r="AB22" s="70" t="s">
        <v>120</v>
      </c>
      <c r="AC22" s="70"/>
      <c r="AD22" s="165" t="s">
        <v>251</v>
      </c>
      <c r="AE22" s="165" t="s">
        <v>15</v>
      </c>
      <c r="AF22" s="355">
        <f>VLOOKUP(CAS,CHEM_DATA!$B:$AC,27,FALSE)</f>
        <v>8.9999999999999993E-3</v>
      </c>
      <c r="AG22" s="136">
        <f>VLOOKUP(CAS,CHEM_DATA!$B:$AC,27,FALSE)</f>
        <v>8.9999999999999993E-3</v>
      </c>
      <c r="AH22" s="214" t="s">
        <v>707</v>
      </c>
      <c r="AI22" s="209" t="s">
        <v>707</v>
      </c>
      <c r="AJ22" s="71" t="str">
        <f>IF(RfC&lt;&gt;AG22,"WARNING","")</f>
        <v/>
      </c>
      <c r="AK22" s="62" t="str">
        <f>IF(AG22="Not Available","No RfC available for this compound.", IF(RfC&lt;&gt;AG22,"Value is different from default value; please justify.",""))</f>
        <v/>
      </c>
    </row>
    <row r="23" spans="1:37" ht="36">
      <c r="A23" s="708" t="s">
        <v>1655</v>
      </c>
      <c r="B23" s="88"/>
      <c r="C23" s="88"/>
      <c r="D23" s="324" t="s">
        <v>136</v>
      </c>
      <c r="E23" s="324" t="s">
        <v>137</v>
      </c>
      <c r="F23" s="324" t="s">
        <v>267</v>
      </c>
      <c r="G23" s="324" t="s">
        <v>288</v>
      </c>
      <c r="H23" s="712" t="s">
        <v>2355</v>
      </c>
      <c r="I23" s="324" t="s">
        <v>338</v>
      </c>
      <c r="J23" s="324" t="s">
        <v>319</v>
      </c>
      <c r="K23" s="325" t="s">
        <v>320</v>
      </c>
      <c r="AA23" s="63" t="s">
        <v>1655</v>
      </c>
      <c r="AB23" s="64"/>
      <c r="AC23" s="64"/>
      <c r="AD23" s="150" t="s">
        <v>136</v>
      </c>
      <c r="AE23" s="150" t="s">
        <v>137</v>
      </c>
      <c r="AF23" s="150" t="s">
        <v>267</v>
      </c>
      <c r="AG23" s="150" t="s">
        <v>288</v>
      </c>
      <c r="AH23" s="150" t="s">
        <v>337</v>
      </c>
      <c r="AI23" s="150" t="s">
        <v>338</v>
      </c>
      <c r="AJ23" s="150" t="s">
        <v>319</v>
      </c>
      <c r="AK23" s="325" t="s">
        <v>320</v>
      </c>
    </row>
    <row r="24" spans="1:37">
      <c r="A24" s="44"/>
      <c r="B24" s="170" t="s">
        <v>122</v>
      </c>
      <c r="C24" s="170"/>
      <c r="D24" s="26" t="s">
        <v>17</v>
      </c>
      <c r="E24" s="26" t="s">
        <v>14</v>
      </c>
      <c r="F24" s="356">
        <f>INDEX(CHEM_DATA!$I:$I, MATCH(Chem, CHEM_DATA!$A:$A, 0))</f>
        <v>1000000</v>
      </c>
      <c r="G24" s="46">
        <f>INDEX(CHEM_DATA!$I$6:$I$474, MATCH(Chem, CHEM_DATA!$A$6:$A$474, 0))</f>
        <v>1000000</v>
      </c>
      <c r="H24" s="215" t="s">
        <v>707</v>
      </c>
      <c r="I24" s="210" t="s">
        <v>707</v>
      </c>
      <c r="J24" s="42" t="str">
        <f>IF(S&lt;&gt;G24,"WARNING","")</f>
        <v/>
      </c>
      <c r="K24" s="43" t="str">
        <f>IF(S&lt;&gt;G24,"Value is different from default value; please justify.","")</f>
        <v/>
      </c>
      <c r="Y24" s="146"/>
      <c r="AA24" s="44"/>
      <c r="AB24" s="170" t="s">
        <v>122</v>
      </c>
      <c r="AC24" s="170"/>
      <c r="AD24" s="26" t="s">
        <v>17</v>
      </c>
      <c r="AE24" s="26" t="s">
        <v>14</v>
      </c>
      <c r="AF24" s="356">
        <f>INDEX(CHEM_DATA!$I:$I, MATCH(Chem, CHEM_DATA!$A:$A, 0))</f>
        <v>1000000</v>
      </c>
      <c r="AG24" s="46">
        <f>INDEX(CHEM_DATA!$I:$I, MATCH(Chem, CHEM_DATA!$A:$A, 0))</f>
        <v>1000000</v>
      </c>
      <c r="AH24" s="215" t="s">
        <v>707</v>
      </c>
      <c r="AI24" s="210" t="e">
        <f>VLOOKUP(CAS,#REF!,5,FALSE)</f>
        <v>#REF!</v>
      </c>
      <c r="AJ24" s="42" t="str">
        <f>IF(S&lt;&gt;AG24,"WARNING","")</f>
        <v/>
      </c>
      <c r="AK24" s="43" t="str">
        <f>IF(S&lt;&gt;AG24,"Value is different from default value; please justify.","")</f>
        <v/>
      </c>
    </row>
    <row r="25" spans="1:37" ht="15.75">
      <c r="A25" s="47"/>
      <c r="B25" s="170" t="s">
        <v>327</v>
      </c>
      <c r="C25" s="170"/>
      <c r="D25" s="26" t="s">
        <v>328</v>
      </c>
      <c r="E25" s="26" t="s">
        <v>115</v>
      </c>
      <c r="F25" s="354">
        <f>INDEX(CHEM_DATA!$K:$K, MATCH(Chem, CHEM_DATA!$A:$A, 0))</f>
        <v>6.6699999999999995E-5</v>
      </c>
      <c r="G25" s="487">
        <f>INDEX(CHEM_DATA!$K:$K, MATCH(Chem, CHEM_DATA!$A:$A, 0))</f>
        <v>6.6699999999999995E-5</v>
      </c>
      <c r="H25" s="215" t="s">
        <v>707</v>
      </c>
      <c r="I25" s="210" t="s">
        <v>707</v>
      </c>
      <c r="J25" s="42" t="str">
        <f>IF(Hc&lt;&gt;G25,"WARNING","")</f>
        <v/>
      </c>
      <c r="K25" s="43" t="str">
        <f>IF(Hc&lt;&gt;G25,"Value is different from default value; please justify.","")</f>
        <v/>
      </c>
      <c r="AA25" s="47"/>
      <c r="AB25" s="170" t="s">
        <v>1971</v>
      </c>
      <c r="AC25" s="170"/>
      <c r="AD25" s="26" t="s">
        <v>1972</v>
      </c>
      <c r="AE25" s="26" t="s">
        <v>115</v>
      </c>
      <c r="AF25" s="354">
        <f>INDEX(CHEM_DATA!$K:$K, MATCH(Chem, CHEM_DATA!$A:$A, 0))</f>
        <v>6.6699999999999995E-5</v>
      </c>
      <c r="AG25" s="487">
        <f>INDEX(CHEM_DATA!$K:$K, MATCH(Chem, CHEM_DATA!$A:$A, 0))</f>
        <v>6.6699999999999995E-5</v>
      </c>
      <c r="AH25" s="215" t="s">
        <v>707</v>
      </c>
      <c r="AI25" s="210" t="e">
        <f>VLOOKUP(CAS,#REF!,6,FALSE)</f>
        <v>#REF!</v>
      </c>
      <c r="AJ25" s="42" t="str">
        <f>IF(Hc&lt;&gt;AG25,"WARNING","")</f>
        <v/>
      </c>
      <c r="AK25" s="43" t="str">
        <f>IF(Hc&lt;&gt;AG25,"Value is different from default value; please justify.","")</f>
        <v/>
      </c>
    </row>
    <row r="26" spans="1:37" ht="29.25">
      <c r="A26" s="47"/>
      <c r="B26" s="170"/>
      <c r="C26" s="582" t="s">
        <v>1653</v>
      </c>
      <c r="D26" s="26" t="s">
        <v>1725</v>
      </c>
      <c r="E26" s="26" t="s">
        <v>253</v>
      </c>
      <c r="F26" s="46">
        <f>Hc/(0.000082057*(298))</f>
        <v>2.7276832367220919E-3</v>
      </c>
      <c r="G26" s="46">
        <f>G25/(0.000082057*(298))</f>
        <v>2.7276832367220919E-3</v>
      </c>
      <c r="H26" s="166"/>
      <c r="I26" s="212"/>
      <c r="J26" s="42"/>
      <c r="K26" s="43"/>
      <c r="AA26" s="47"/>
      <c r="AB26" s="170"/>
      <c r="AC26" s="582" t="s">
        <v>1973</v>
      </c>
      <c r="AD26" s="26" t="s">
        <v>1725</v>
      </c>
      <c r="AE26" s="26" t="s">
        <v>253</v>
      </c>
      <c r="AF26" s="46">
        <f>Hc/(0.000082057*(298))</f>
        <v>2.7276832367220919E-3</v>
      </c>
      <c r="AG26" s="46">
        <f>AG25/(0.000082057*(298))</f>
        <v>2.7276832367220919E-3</v>
      </c>
      <c r="AH26" s="166"/>
      <c r="AI26" s="211" t="e">
        <f>VLOOKUP(CAS,#REF!,7,FALSE)</f>
        <v>#REF!</v>
      </c>
      <c r="AJ26" s="42"/>
      <c r="AK26" s="43"/>
    </row>
    <row r="27" spans="1:37" ht="27">
      <c r="A27" s="47"/>
      <c r="B27" s="170"/>
      <c r="C27" s="582" t="s">
        <v>1654</v>
      </c>
      <c r="D27" s="26" t="s">
        <v>1725</v>
      </c>
      <c r="E27" s="26" t="s">
        <v>252</v>
      </c>
      <c r="F27" s="474">
        <f>IFERROR(EXP(-(VLOOKUP(Chem,Chemical_Data,22,FALSE)*((1-(Ts+273)/VLOOKUP(Chem,Chemical_Data,20,FALSE))/(1-VLOOKUP(Chem,Chemical_Data,18,FALSE)/VLOOKUP(Chem,Chemical_Data,20,FALSE)))^(IF(VLOOKUP(Chem,Chemical_Data,18,FALSE)/VLOOKUP(Chem,Chemical_Data,20,FALSE)&lt;0.57,0.3,IF(VLOOKUP(Chem,Chemical_Data,18,FALSE)/VLOOKUP(Chem,Chemical_Data,20,FALSE)&gt;0.71,0.41,0.74*(VLOOKUP(Chem,Chemical_Data,18,FALSE)/VLOOKUP(Chem,Chemical_Data,20,FALSE))-0.116)))/1.9872)*(1/(Ts+273)-1/298))*Hc/(0.000082057*(Ts+273)),Hr)</f>
        <v>2.7276832367220919E-3</v>
      </c>
      <c r="G27" s="474">
        <f>IFERROR(EXP(-(VLOOKUP(Chem,Chemical_Data,22,FALSE)*((1-(Ts_default+273)/VLOOKUP(Chem,Chemical_Data,20,FALSE))/(1-VLOOKUP(Chem,Chemical_Data,18,FALSE)/VLOOKUP(Chem,Chemical_Data,20,FALSE)))^(IF(VLOOKUP(Chem,Chemical_Data,18,FALSE)/VLOOKUP(Chem,Chemical_Data,20,FALSE)&lt;0.57,0.3,IF(VLOOKUP(Chem,Chemical_Data,18,FALSE)/VLOOKUP(Chem,Chemical_Data,20,FALSE)&gt;0.71,0.41,0.74*(VLOOKUP(Chem,Chemical_Data,18,FALSE)/VLOOKUP(Chem,Chemical_Data,20,FALSE))-0.116)))/1.9872)*(1/(Ts_default+273)-1/298))*Hc/(0.000082057*(Ts+273)),Hr_default)</f>
        <v>2.7276832367220919E-3</v>
      </c>
      <c r="H27" s="166"/>
      <c r="I27" s="211"/>
      <c r="J27" s="42" t="str">
        <f>IFERROR(IF(EXP(-(VLOOKUP(Chem,Chemical_Data,22,FALSE)*((1-(Ts+273)/VLOOKUP(Chem,Chemical_Data,20,FALSE))/(1-VLOOKUP(Chem,Chemical_Data,18,FALSE)/VLOOKUP(Chem,Chemical_Data,20,FALSE)))^(IF(VLOOKUP(Chem,Chemical_Data,18,FALSE)/VLOOKUP(Chem,Chemical_Data,20,FALSE)&lt;0.57,0.3,IF(VLOOKUP(Chem,Chemical_Data,18,FALSE)/VLOOKUP(Chem,Chemical_Data,20,FALSE)&gt;0.71,0.41,0.74*(VLOOKUP(Chem,Chemical_Data,18,FALSE)/VLOOKUP(Chem,Chemical_Data,20,FALSE))-0.116)))/1.9872)*(1/(Ts+273)-1/298))*Hc/(0.000082057*(Ts+273))&gt;0,"",""),"WARNING")</f>
        <v/>
      </c>
      <c r="K27" s="347" t="str">
        <f>IFERROR(IF(EXP(-(VLOOKUP(Chem,Chemical_Data,22,FALSE)*((1-(Ts+273)/VLOOKUP(Chem,Chemical_Data,20,FALSE))/(1-VLOOKUP(Chem,Chemical_Data,18,FALSE)/VLOOKUP(Chem,Chemical_Data,20,FALSE)))^(IF(VLOOKUP(Chem,Chemical_Data,18,FALSE)/VLOOKUP(Chem,Chemical_Data,20,FALSE)&lt;0.57,0.3,IF(VLOOKUP(Chem,Chemical_Data,18,FALSE)/VLOOKUP(Chem,Chemical_Data,20,FALSE)&gt;0.71,0.41,0.74*(VLOOKUP(Chem,Chemical_Data,18,FALSE)/VLOOKUP(Chem,Chemical_Data,20,FALSE))-0.116)))/1.9872)*(1/(Ts+273)-1/298))*Hc/(0.000082057*(Ts+273))&gt;0,"",""),"HLC conversion to system temperature not available for this compound.")</f>
        <v/>
      </c>
      <c r="AA27" s="47"/>
      <c r="AB27" s="170"/>
      <c r="AC27" s="582" t="s">
        <v>1654</v>
      </c>
      <c r="AD27" s="26" t="s">
        <v>1725</v>
      </c>
      <c r="AE27" s="26" t="s">
        <v>252</v>
      </c>
      <c r="AF27" s="474">
        <f>IFERROR(EXP(-(VLOOKUP(Chem,Chemical_Data,22,FALSE)*((1-(Ts+273)/VLOOKUP(Chem,Chemical_Data,20,FALSE))/(1-VLOOKUP(Chem,Chemical_Data,18,FALSE)/VLOOKUP(Chem,Chemical_Data,20,FALSE)))^(IF(VLOOKUP(Chem,Chemical_Data,18,FALSE)/VLOOKUP(Chem,Chemical_Data,20,FALSE)&lt;0.57,0.3,IF(VLOOKUP(Chem,Chemical_Data,18,FALSE)/VLOOKUP(Chem,Chemical_Data,20,FALSE)&gt;0.71,0.41,0.74*(VLOOKUP(Chem,Chemical_Data,18,FALSE)/VLOOKUP(Chem,Chemical_Data,20,FALSE))-0.116)))/1.9872)*(1/(Ts+273)-1/298))*Hc/(0.000082057*(Ts+273)),Hr)</f>
        <v>2.7276832367220919E-3</v>
      </c>
      <c r="AG27" s="474">
        <f>IFERROR(EXP(-(VLOOKUP(Chem,Chemical_Data,22,FALSE)*((1-(Ts+273)/VLOOKUP(Chem,Chemical_Data,20,FALSE))/(1-VLOOKUP(Chem,Chemical_Data,18,FALSE)/VLOOKUP(Chem,Chemical_Data,20,FALSE)))^(IF(VLOOKUP(Chem,Chemical_Data,18,FALSE)/VLOOKUP(Chem,Chemical_Data,20,FALSE)&lt;0.57,0.3,IF(VLOOKUP(Chem,Chemical_Data,18,FALSE)/VLOOKUP(Chem,Chemical_Data,20,FALSE)&gt;0.71,0.41,0.74*(VLOOKUP(Chem,Chemical_Data,18,FALSE)/VLOOKUP(Chem,Chemical_Data,20,FALSE))-0.116)))/1.9872)*(1/(Ts_default+273)-1/298))*AG25/(0.000082057*(Ts+273)),AG26)</f>
        <v>2.7276832367220919E-3</v>
      </c>
      <c r="AH27" s="166"/>
      <c r="AI27" s="211"/>
      <c r="AJ27" s="42" t="str">
        <f>IFERROR(IF(EXP(-(VLOOKUP(Chem,Chemical_Data,22,FALSE)*((1-(Ts+273)/VLOOKUP(Chem,Chemical_Data,20,FALSE))/(1-VLOOKUP(Chem,Chemical_Data,18,FALSE)/VLOOKUP(Chem,Chemical_Data,20,FALSE)))^(IF(VLOOKUP(Chem,Chemical_Data,18,FALSE)/VLOOKUP(Chem,Chemical_Data,20,FALSE)&lt;0.57,0.3,IF(VLOOKUP(Chem,Chemical_Data,18,FALSE)/VLOOKUP(Chem,Chemical_Data,20,FALSE)&gt;0.71,0.41,0.74*(VLOOKUP(Chem,Chemical_Data,18,FALSE)/VLOOKUP(Chem,Chemical_Data,20,FALSE))-0.116)))/1.9872)*(1/(Ts+273)-1/298))*Hc/(0.000082057*(Ts+273))&gt;0,"",""),"WARNING")</f>
        <v/>
      </c>
      <c r="AK27" s="347" t="str">
        <f>IFERROR(IF(EXP(-(VLOOKUP(Chem,Chemical_Data,22,FALSE)*((1-(Ts+273)/VLOOKUP(Chem,Chemical_Data,20,FALSE))/(1-VLOOKUP(Chem,Chemical_Data,18,FALSE)/VLOOKUP(Chem,Chemical_Data,20,FALSE)))^(IF(VLOOKUP(Chem,Chemical_Data,18,FALSE)/VLOOKUP(Chem,Chemical_Data,20,FALSE)&lt;0.57,0.3,IF(VLOOKUP(Chem,Chemical_Data,18,FALSE)/VLOOKUP(Chem,Chemical_Data,20,FALSE)&gt;0.71,0.41,0.74*(VLOOKUP(Chem,Chemical_Data,18,FALSE)/VLOOKUP(Chem,Chemical_Data,20,FALSE))-0.116)))/1.9872)*(1/(Ts+273)-1/298))*Hc/(0.000082057*(Ts+273))&gt;0,"",""),"HLC conversion to system temperature not available for this compound.")</f>
        <v/>
      </c>
    </row>
    <row r="28" spans="1:37" ht="15">
      <c r="A28" s="54"/>
      <c r="B28" s="170" t="s">
        <v>117</v>
      </c>
      <c r="C28" s="170"/>
      <c r="D28" s="26" t="s">
        <v>304</v>
      </c>
      <c r="E28" s="26" t="s">
        <v>303</v>
      </c>
      <c r="F28" s="354">
        <f>INDEX(Diff_Air_List,MATCH(Chem,Chem_Search,0))</f>
        <v>0.1277026</v>
      </c>
      <c r="G28" s="46">
        <f>INDEX(Diff_Air_List,MATCH(Chem,Chem_Search,0))</f>
        <v>0.1277026</v>
      </c>
      <c r="H28" s="215" t="s">
        <v>707</v>
      </c>
      <c r="I28" s="212" t="s">
        <v>707</v>
      </c>
      <c r="J28" s="42" t="str">
        <f>IF(Dair&lt;&gt;G28,"WARNING","")</f>
        <v/>
      </c>
      <c r="K28" s="43" t="str">
        <f>IF(Dair&lt;&gt;G28,"Value is different from default value; please justify.","")</f>
        <v/>
      </c>
      <c r="AA28" s="54"/>
      <c r="AB28" s="170" t="s">
        <v>117</v>
      </c>
      <c r="AC28" s="170"/>
      <c r="AD28" s="26" t="s">
        <v>304</v>
      </c>
      <c r="AE28" s="26" t="s">
        <v>303</v>
      </c>
      <c r="AF28" s="354">
        <f>INDEX(Diff_Air_List,MATCH(Chem,Chem_Search,0))</f>
        <v>0.1277026</v>
      </c>
      <c r="AG28" s="46">
        <f>INDEX(Diff_Air_List,MATCH(Chem,Chem_Search,0))</f>
        <v>0.1277026</v>
      </c>
      <c r="AH28" s="215" t="s">
        <v>707</v>
      </c>
      <c r="AI28" s="212" t="e">
        <f>VLOOKUP(CAS,#REF!,9,FALSE)</f>
        <v>#REF!</v>
      </c>
      <c r="AJ28" s="42" t="str">
        <f>IF(Dair&lt;&gt;AG28,"WARNING","")</f>
        <v/>
      </c>
      <c r="AK28" s="43" t="str">
        <f>IF(Dair&lt;&gt;AG28,"Value is different from default value; please justify.","")</f>
        <v/>
      </c>
    </row>
    <row r="29" spans="1:37" ht="15">
      <c r="A29" s="61"/>
      <c r="B29" s="90" t="s">
        <v>118</v>
      </c>
      <c r="C29" s="90"/>
      <c r="D29" s="76" t="s">
        <v>304</v>
      </c>
      <c r="E29" s="76" t="s">
        <v>305</v>
      </c>
      <c r="F29" s="355">
        <f>INDEX(Diff_Water_List,MATCH(Chem,Chem_Search,0))</f>
        <v>1.3499999999999999E-5</v>
      </c>
      <c r="G29" s="152">
        <f>INDEX(Diff_Water_List,MATCH(Chem,Chem_Search,0))</f>
        <v>1.3499999999999999E-5</v>
      </c>
      <c r="H29" s="216" t="s">
        <v>707</v>
      </c>
      <c r="I29" s="213" t="s">
        <v>707</v>
      </c>
      <c r="J29" s="153" t="str">
        <f>IF(Dwater&lt;&gt;G29,"WARNING","")</f>
        <v/>
      </c>
      <c r="K29" s="62" t="str">
        <f>IF(Dwater&lt;&gt;G29,"Value is different from default value; please justify.","")</f>
        <v/>
      </c>
      <c r="AA29" s="61"/>
      <c r="AB29" s="90" t="s">
        <v>118</v>
      </c>
      <c r="AC29" s="90"/>
      <c r="AD29" s="76" t="s">
        <v>304</v>
      </c>
      <c r="AE29" s="76" t="s">
        <v>305</v>
      </c>
      <c r="AF29" s="355">
        <f>INDEX(Diff_Water_List,MATCH(Chem,Chem_Search,0))</f>
        <v>1.3499999999999999E-5</v>
      </c>
      <c r="AG29" s="152">
        <f>INDEX(Diff_Water_List,MATCH(Chem,Chem_Search,0))</f>
        <v>1.3499999999999999E-5</v>
      </c>
      <c r="AH29" s="216" t="s">
        <v>707</v>
      </c>
      <c r="AI29" s="213" t="e">
        <f>VLOOKUP(CAS,#REF!,10,FALSE)</f>
        <v>#REF!</v>
      </c>
      <c r="AJ29" s="153" t="str">
        <f>IF(Dwater&lt;&gt;AG29,"WARNING","")</f>
        <v/>
      </c>
      <c r="AK29" s="62" t="str">
        <f>IF(Dwater&lt;&gt;AG29,"Value is different from default value; please justify.","")</f>
        <v/>
      </c>
    </row>
    <row r="30" spans="1:37" ht="18.95" customHeight="1">
      <c r="A30" s="55" t="s">
        <v>132</v>
      </c>
      <c r="B30" s="72"/>
      <c r="C30" s="72"/>
      <c r="D30" s="139"/>
      <c r="E30" s="139"/>
      <c r="F30" s="139"/>
      <c r="G30" s="139"/>
      <c r="H30" s="150"/>
      <c r="I30" s="150"/>
      <c r="J30" s="139"/>
      <c r="K30" s="149"/>
      <c r="L30" s="38"/>
      <c r="AA30" s="55" t="s">
        <v>132</v>
      </c>
      <c r="AB30" s="72"/>
      <c r="AC30" s="72"/>
      <c r="AD30" s="139"/>
      <c r="AE30" s="139"/>
      <c r="AF30" s="139"/>
      <c r="AG30" s="139"/>
      <c r="AH30" s="150"/>
      <c r="AI30" s="150"/>
      <c r="AJ30" s="139"/>
      <c r="AK30" s="149"/>
    </row>
    <row r="31" spans="1:37" ht="18.95" customHeight="1">
      <c r="A31" s="55"/>
      <c r="B31" s="56"/>
      <c r="C31" s="56"/>
      <c r="D31" s="150"/>
      <c r="E31" s="150"/>
      <c r="F31" s="150"/>
      <c r="G31" s="574">
        <v>1</v>
      </c>
      <c r="H31" s="150"/>
      <c r="I31" s="150"/>
      <c r="J31" s="150"/>
      <c r="K31" s="151"/>
      <c r="L31" s="38"/>
      <c r="AA31" s="55"/>
      <c r="AB31" s="56"/>
      <c r="AC31" s="56"/>
      <c r="AD31" s="150"/>
      <c r="AE31" s="150"/>
      <c r="AF31" s="150"/>
      <c r="AG31" s="150"/>
      <c r="AH31" s="150"/>
      <c r="AI31" s="150"/>
      <c r="AJ31" s="150"/>
      <c r="AK31" s="151"/>
    </row>
    <row r="32" spans="1:37" ht="18.95" customHeight="1">
      <c r="A32" s="55"/>
      <c r="B32" s="56"/>
      <c r="C32" s="56"/>
      <c r="D32" s="150"/>
      <c r="E32" s="150"/>
      <c r="F32" s="150"/>
      <c r="G32" s="947" t="str">
        <f>IF(G31=2,"WARNING: DEFAULT RATIO FOR Qsoil/Qbuilding not used. Please enter site specific data for Qs and Qb.","")</f>
        <v/>
      </c>
      <c r="H32" s="947"/>
      <c r="I32" s="947"/>
      <c r="J32" s="947"/>
      <c r="K32" s="151"/>
      <c r="L32" s="38"/>
      <c r="AA32" s="55"/>
      <c r="AB32" s="56"/>
      <c r="AC32" s="56"/>
      <c r="AD32" s="150"/>
      <c r="AE32" s="150"/>
      <c r="AF32" s="150"/>
      <c r="AG32" s="150"/>
      <c r="AH32" s="150"/>
      <c r="AI32" s="150"/>
      <c r="AJ32" s="150"/>
      <c r="AK32" s="151">
        <f>VLOOKUP(AF37,BLDG_DATA!B10:J14,9,FALSE)</f>
        <v>3.0000000000000001E-3</v>
      </c>
    </row>
    <row r="33" spans="1:40" ht="18.95" customHeight="1">
      <c r="A33" s="55"/>
      <c r="B33" s="56"/>
      <c r="C33" s="56"/>
      <c r="D33" s="150"/>
      <c r="E33" s="150"/>
      <c r="F33" s="150"/>
      <c r="G33" s="947"/>
      <c r="H33" s="947"/>
      <c r="I33" s="947"/>
      <c r="J33" s="947"/>
      <c r="K33" s="151"/>
      <c r="L33" s="38"/>
      <c r="AA33" s="55"/>
      <c r="AB33" s="56"/>
      <c r="AC33" s="56"/>
      <c r="AD33" s="150"/>
      <c r="AE33" s="150"/>
      <c r="AF33" s="150"/>
      <c r="AG33" s="150"/>
      <c r="AH33" s="150"/>
      <c r="AI33" s="150"/>
      <c r="AJ33" s="150"/>
      <c r="AK33" s="151"/>
    </row>
    <row r="34" spans="1:40" ht="14.45" customHeight="1">
      <c r="A34" s="55"/>
      <c r="B34" s="56"/>
      <c r="C34" s="56"/>
      <c r="D34" s="150"/>
      <c r="E34" s="150"/>
      <c r="F34" s="150"/>
      <c r="G34" s="947"/>
      <c r="H34" s="947"/>
      <c r="I34" s="947"/>
      <c r="J34" s="947"/>
      <c r="K34" s="151"/>
      <c r="L34" s="38"/>
      <c r="AA34" s="55"/>
      <c r="AB34" s="56"/>
      <c r="AC34" s="56"/>
      <c r="AD34" s="150"/>
      <c r="AE34" s="150"/>
      <c r="AF34" s="150"/>
      <c r="AG34" s="150"/>
      <c r="AH34" s="150"/>
      <c r="AI34" s="150"/>
      <c r="AJ34" s="150"/>
      <c r="AK34" s="151"/>
    </row>
    <row r="35" spans="1:40" ht="32.450000000000003" customHeight="1">
      <c r="A35" s="556"/>
      <c r="B35" s="552"/>
      <c r="C35" s="552"/>
      <c r="D35" s="553" t="s">
        <v>136</v>
      </c>
      <c r="E35" s="553" t="s">
        <v>137</v>
      </c>
      <c r="F35" s="553" t="s">
        <v>267</v>
      </c>
      <c r="G35" s="553" t="s">
        <v>288</v>
      </c>
      <c r="H35" s="713" t="s">
        <v>2355</v>
      </c>
      <c r="I35" s="553" t="s">
        <v>338</v>
      </c>
      <c r="J35" s="553" t="s">
        <v>319</v>
      </c>
      <c r="K35" s="554" t="s">
        <v>320</v>
      </c>
      <c r="L35" s="38"/>
      <c r="AA35" s="55"/>
      <c r="AB35" s="56"/>
      <c r="AC35" s="56"/>
      <c r="AD35" s="555" t="s">
        <v>136</v>
      </c>
      <c r="AE35" s="324" t="s">
        <v>137</v>
      </c>
      <c r="AF35" s="324" t="s">
        <v>2204</v>
      </c>
      <c r="AG35" s="324" t="s">
        <v>2205</v>
      </c>
      <c r="AH35" s="324" t="s">
        <v>288</v>
      </c>
      <c r="AI35" s="324" t="s">
        <v>337</v>
      </c>
      <c r="AJ35" s="324" t="s">
        <v>338</v>
      </c>
      <c r="AK35" s="324" t="s">
        <v>319</v>
      </c>
      <c r="AL35" s="325" t="s">
        <v>320</v>
      </c>
    </row>
    <row r="36" spans="1:40" ht="18.95" customHeight="1" thickBot="1">
      <c r="A36" s="45"/>
      <c r="B36" s="98" t="s">
        <v>180</v>
      </c>
      <c r="C36" s="170"/>
      <c r="D36" s="26"/>
      <c r="E36" s="26" t="s">
        <v>206</v>
      </c>
      <c r="F36" s="597" t="s">
        <v>146</v>
      </c>
      <c r="G36" s="82" t="str">
        <f>Bldg_Setting</f>
        <v>Residential</v>
      </c>
      <c r="H36" s="173"/>
      <c r="I36" s="133"/>
      <c r="J36" s="42"/>
      <c r="K36" s="43"/>
      <c r="L36" s="38"/>
      <c r="AA36" s="45"/>
      <c r="AB36" s="98" t="s">
        <v>180</v>
      </c>
      <c r="AC36" s="170"/>
      <c r="AD36" s="26"/>
      <c r="AE36" s="26" t="s">
        <v>206</v>
      </c>
      <c r="AF36" s="159" t="s">
        <v>146</v>
      </c>
      <c r="AG36" s="159" t="s">
        <v>146</v>
      </c>
      <c r="AH36" s="82" t="str">
        <f>Bldg_Setting</f>
        <v>Residential</v>
      </c>
      <c r="AI36" s="173"/>
      <c r="AJ36" s="133"/>
      <c r="AK36" s="42"/>
      <c r="AL36" s="43"/>
    </row>
    <row r="37" spans="1:40" ht="38.450000000000003" customHeight="1" thickTop="1" thickBot="1">
      <c r="A37" s="45"/>
      <c r="B37" s="99" t="s">
        <v>133</v>
      </c>
      <c r="C37" s="36"/>
      <c r="D37" s="26"/>
      <c r="E37" s="26" t="s">
        <v>207</v>
      </c>
      <c r="F37" s="475" t="s">
        <v>182</v>
      </c>
      <c r="G37" s="82" t="str">
        <f>Found_Type</f>
        <v>Slab-on-grade</v>
      </c>
      <c r="H37" s="173"/>
      <c r="I37" s="133"/>
      <c r="J37" s="42"/>
      <c r="K37" s="43"/>
      <c r="L37" s="38"/>
      <c r="AA37" s="45"/>
      <c r="AB37" s="99" t="s">
        <v>133</v>
      </c>
      <c r="AC37" s="36"/>
      <c r="AD37" s="26"/>
      <c r="AE37" s="26" t="s">
        <v>207</v>
      </c>
      <c r="AF37" s="475" t="s">
        <v>316</v>
      </c>
      <c r="AG37" s="592" t="s">
        <v>316</v>
      </c>
      <c r="AH37" s="82" t="str">
        <f>Found_Type</f>
        <v>Slab-on-grade</v>
      </c>
      <c r="AI37" s="173"/>
      <c r="AJ37" s="133"/>
      <c r="AK37" s="42"/>
      <c r="AL37" s="43"/>
    </row>
    <row r="38" spans="1:40" ht="18.95" customHeight="1" thickTop="1">
      <c r="A38" s="45"/>
      <c r="B38" s="36"/>
      <c r="C38" s="36" t="s">
        <v>326</v>
      </c>
      <c r="D38" s="26" t="s">
        <v>185</v>
      </c>
      <c r="E38" s="26" t="s">
        <v>178</v>
      </c>
      <c r="F38" s="598">
        <f>IF(Bldg_Setting="Residential",VLOOKUP(Found_Type,BLDG_DATA!$B$10:$J$14,2,FALSE),VLOOKUP(Found_Type,BLDG_DATA!$B$5:$J$9,2,FALSE))</f>
        <v>0.1</v>
      </c>
      <c r="G38" s="559">
        <f>IF(Bldg_Setting="Residential",VLOOKUP(Found_Type,BLDG_DATA!$B$10:$J$14,2,FALSE),VLOOKUP(Found_Type,BLDG_DATA!$B$5:$J$9,2,FALSE))</f>
        <v>0.1</v>
      </c>
      <c r="H38" s="132" t="s">
        <v>1699</v>
      </c>
      <c r="I38" s="133" t="s">
        <v>707</v>
      </c>
      <c r="J38" s="50" t="str">
        <f>IF(Source="Sub-slab Soil Gas",IF(AND(Ls&gt;=Lb,Ls&lt;Lb+1)=TRUE,"","WARNING"), IF(OR(Lb&gt;2.44,Lb&lt;0.1)=TRUE,"WARNING",IF(Lb&lt;&gt;G38, "WARNING", "")))</f>
        <v/>
      </c>
      <c r="K38" s="43" t="str">
        <f>IF(Source="Sub-slab Soil Gas",IF(AND(Ls&gt;=Lb,Ls&lt;Lb+1)=TRUE,"","Value is outside of reasonable range [Lb =&lt;Ls &lt;(Lb+ 1m)]."),IF(OR(Lb&gt;2.44,Lb&lt;0.1)=TRUE,"Value is outside of reasonable range (0.1 - 2.44 m).",IF(Lb&lt;&gt;G38," Value is different from default value; please justify.","")))</f>
        <v/>
      </c>
      <c r="L38" s="38"/>
      <c r="AA38" s="45"/>
      <c r="AB38" s="36"/>
      <c r="AC38" s="36" t="s">
        <v>326</v>
      </c>
      <c r="AD38" s="26" t="s">
        <v>185</v>
      </c>
      <c r="AE38" s="26" t="s">
        <v>178</v>
      </c>
      <c r="AF38" s="488">
        <f>IF(Bldg_Setting="Residential",VLOOKUP(Found_Type,BLDG_DATA!$B$10:$J$14,2,FALSE),VLOOKUP(Found_Type,BLDG_DATA!$B$5:$J$9,2,FALSE))</f>
        <v>0.1</v>
      </c>
      <c r="AG38" s="489">
        <f>IF(Bldg_Setting="Residential",VLOOKUP(Found_Type,BLDG_DATA!$B$10:$J$14,2,FALSE),VLOOKUP(Found_Type,BLDG_DATA!$B$5:$J$9,2,FALSE))</f>
        <v>0.1</v>
      </c>
      <c r="AH38" s="67">
        <f>IF(Bldg_Setting="Residential",VLOOKUP(Found_Type,BLDG_DATA!$B$10:$J$14,2,FALSE),VLOOKUP(Found_Type,BLDG_DATA!$B$5:$J$9,2,FALSE))</f>
        <v>0.1</v>
      </c>
      <c r="AI38" s="132" t="s">
        <v>1699</v>
      </c>
      <c r="AJ38" s="133" t="s">
        <v>707</v>
      </c>
      <c r="AK38" s="50" t="str">
        <f>IF(Source="Sub-slab Soil Gas",IF(AND(Ls&gt;=Lb,Ls&lt;Lb+1)=TRUE,"","WARNING"), IF(OR(Lb&gt;2.44,Lb&lt;0.1)=TRUE,"WARNING",IF(Lb&lt;&gt;AH38, "WARNING", "")))</f>
        <v/>
      </c>
      <c r="AL38" s="43" t="str">
        <f>IF(Source="Sub-slab Soil Gas",IF(AND(Ls&gt;=Lb,Ls&lt;Lb+1)=TRUE,"","Value is outside of reasonable range [Lb =&lt;Ls &lt;(Lb+ 1m)]."),IF(OR(Lb&gt;2.44,Lb&lt;0.1)=TRUE,"Value is outside of reasonable range (0.1 - 2.44 m).",IF(Lb&lt;&gt;G38," Value is different from default value; please justify.","")))</f>
        <v/>
      </c>
    </row>
    <row r="39" spans="1:40" ht="18.95" customHeight="1">
      <c r="A39" s="45"/>
      <c r="B39" s="36"/>
      <c r="C39" s="36" t="s">
        <v>230</v>
      </c>
      <c r="D39" s="26" t="s">
        <v>185</v>
      </c>
      <c r="E39" s="26" t="s">
        <v>265</v>
      </c>
      <c r="F39" s="599">
        <f>IF(Bldg_Setting="Residential",VLOOKUP(Found_Type,BLDG_DATA!$B$10:$J$14,3,FALSE),VLOOKUP(Found_Type,BLDG_DATA!$B$5:$J$9,3,FALSE))</f>
        <v>0.1</v>
      </c>
      <c r="G39" s="559">
        <f>IF(Bldg_Setting="Residential",VLOOKUP(Found_Type,BLDG_DATA!$B$10:$J$14,3,FALSE),VLOOKUP(Found_Type,BLDG_DATA!$B$5:$J$9,3,FALSE))</f>
        <v>0.1</v>
      </c>
      <c r="H39" s="132" t="str">
        <f>IF(Found_Type="Basement w/ dirt floor","NA","0.1 - 0.25")</f>
        <v>0.1 - 0.25</v>
      </c>
      <c r="I39" s="133" t="s">
        <v>707</v>
      </c>
      <c r="J39" s="50" t="str">
        <f>IF(OR(Found_Type="Basement w/ dirt floor", Found_Type="Closed crawl space w/ dirt floor"),IF(Lf&lt;&gt;0,"ERROR",""),(IF(OR(Lf&gt;0.25,Lf&lt;0.1)=TRUE,"WARNING",IF(Lf&lt;&gt;G39, "WARNING", ""))))</f>
        <v/>
      </c>
      <c r="K39" s="43" t="str">
        <f>IF(OR(Found_Type="Basement w/ dirt floor", Found_Type="Closed crawl space w/ dirt floor"), IF(Lf&lt;&gt;0,"Lf should be 0.0 for dirt floors.",""),(IF(OR(Lf&gt;0.25,Lf&lt;0.1)=TRUE,"Value is outside of reasonable range (0.1 - 0.25 m).",IF(Lf&lt;&gt;G39, "Value is different from default value; please justify.", ""))))</f>
        <v/>
      </c>
      <c r="L39" s="38"/>
      <c r="AA39" s="45"/>
      <c r="AB39" s="36"/>
      <c r="AC39" s="36" t="s">
        <v>230</v>
      </c>
      <c r="AD39" s="26" t="s">
        <v>185</v>
      </c>
      <c r="AE39" s="26" t="s">
        <v>265</v>
      </c>
      <c r="AF39" s="489">
        <f>IF(Bldg_Setting="Residential",VLOOKUP(Found_Type,BLDG_DATA!$B$10:$J$14,3,FALSE),VLOOKUP(Found_Type,BLDG_DATA!$B$5:$J$9,3,FALSE))</f>
        <v>0.1</v>
      </c>
      <c r="AG39" s="489">
        <f>IF(Bldg_Setting="Residential",VLOOKUP(Found_Type,BLDG_DATA!$B$10:$J$14,3,FALSE),VLOOKUP(Found_Type,BLDG_DATA!$B$5:$J$9,3,FALSE))</f>
        <v>0.1</v>
      </c>
      <c r="AH39" s="67">
        <f>IF(Bldg_Setting="Residential",VLOOKUP(Found_Type,BLDG_DATA!$B$10:$J$14,3,FALSE),VLOOKUP(Found_Type,BLDG_DATA!$B$5:$J$9,3,FALSE))</f>
        <v>0.1</v>
      </c>
      <c r="AI39" s="132" t="str">
        <f>IF(Found_Type="Basement w/ dirt floor","NA","0.1 - 0.15")</f>
        <v>0.1 - 0.15</v>
      </c>
      <c r="AJ39" s="67" t="s">
        <v>707</v>
      </c>
      <c r="AK39" s="595" t="str">
        <f>IF(OR(Found_Type="Basement w/ dirt floor", Found_Type="Closed crawl space w/ dirt floor"),IF(Lf&lt;&gt;0,"ERROR",""),(IF(OR(Lf&gt;0.25,Lf&lt;0.1)=TRUE,"WARNING",IF(Lf&lt;&gt;AH39, "WARNING", ""))))</f>
        <v/>
      </c>
      <c r="AL39" s="43" t="str">
        <f>IF(OR(Found_Type="Basement w/ dirt floor", Found_Type="Closed crawl space w/ dirt floor"), IF(Lf&lt;&gt;0,"Lf should be 0.0 for dirt floors.",""),(IF(OR(Lf&gt;0.25,Lf&lt;0.1)=TRUE,"Value is outside of reasonable range (0.1 - 0.25 m).",IF(Lf&lt;&gt;AH39, "Value is different from default value; please justify.", ""))))</f>
        <v/>
      </c>
    </row>
    <row r="40" spans="1:40" ht="18.95" customHeight="1">
      <c r="A40" s="45"/>
      <c r="B40" s="36"/>
      <c r="C40" s="36" t="s">
        <v>232</v>
      </c>
      <c r="D40" s="26" t="s">
        <v>128</v>
      </c>
      <c r="E40" s="26" t="s">
        <v>233</v>
      </c>
      <c r="F40" s="359">
        <f>IF(Bldg_Setting="Residential",VLOOKUP(Found_Type,BLDG_DATA!$B$10:$J$14,4,FALSE),VLOOKUP(Found_Type,BLDG_DATA!$B$5:$J$9,4,FALSE))</f>
        <v>1E-3</v>
      </c>
      <c r="G40" s="594">
        <f>IF(Bldg_Setting="Residential",VLOOKUP(Found_Type,BLDG_DATA!$B$10:$J$14,4,FALSE),VLOOKUP(Found_Type,BLDG_DATA!$B$5:$J$9,4,FALSE))</f>
        <v>1E-3</v>
      </c>
      <c r="H40" s="81" t="str">
        <f>INDEX(BLDG_DATA!$L$10:$L$14,MATCH(Found_Type,BLDG_DATA!$B$10:$B$14,))</f>
        <v>0.00019-0.0019</v>
      </c>
      <c r="I40" s="67">
        <v>1</v>
      </c>
      <c r="J40" s="595" t="str">
        <f>IF(AND(OR(eta&gt;0.001, eta&lt;0.0001),Found_Type="Basement w/ slab"),"WARNING",IF(AND(OR(eta&gt;0.0019,eta&lt;0.00019),Found_Type="Slab-on-grade"),"WARNING",IF(eta&lt;&gt;$G$40,"WARNING","")))</f>
        <v/>
      </c>
      <c r="K40" s="43" t="str">
        <f>IF(AND(OR(eta&gt;0.001, eta&lt;0.0001),Found_Type="Basement w/ slab"),"Value is outside of reasonable range (0.01 - 0.0001).",IF(AND(OR(eta&gt;0.0019,eta&lt;0.00019),Found_Type="Slab-on-grade"),"Value is outside of reasonable range (0.0019-0.00019).",IF(eta&lt;&gt;$G$40," Value is different from default value; please justify.","")))</f>
        <v/>
      </c>
      <c r="L40" s="38"/>
      <c r="AA40" s="45"/>
      <c r="AB40" s="36"/>
      <c r="AC40" s="36" t="s">
        <v>232</v>
      </c>
      <c r="AD40" s="26" t="s">
        <v>128</v>
      </c>
      <c r="AE40" s="26" t="s">
        <v>233</v>
      </c>
      <c r="AF40" s="476">
        <f>IF(Bldg_Setting="Residential",VLOOKUP(Found_Type,BLDG_DATA!$B$10:$J$14,4,FALSE),VLOOKUP(Found_Type,BLDG_DATA!$B$5:$J$9,4,FALSE))</f>
        <v>1E-3</v>
      </c>
      <c r="AG40" s="476">
        <f>IF(Bldg_Setting="Residential",VLOOKUP(Found_Type,BLDG_DATA!$B$10:$J$14,4,FALSE),VLOOKUP(Found_Type,BLDG_DATA!$B$5:$J$9,4,FALSE))</f>
        <v>1E-3</v>
      </c>
      <c r="AH40" s="594">
        <f>IF(Bldg_Setting="Residential",VLOOKUP(Found_Type,BLDG_DATA!$B$10:$J$14,4,FALSE),VLOOKUP(Found_Type,BLDG_DATA!$B$5:$J$9,4,FALSE))</f>
        <v>1E-3</v>
      </c>
      <c r="AI40" s="221" t="str">
        <f>INDEX(BLDG_DATA!$L$10:$L$14,MATCH(Found_Type,BLDG_DATA!$B$10:$B$14,))</f>
        <v>0.00019-0.0019</v>
      </c>
      <c r="AJ40" s="133">
        <v>1</v>
      </c>
      <c r="AK40" s="50" t="str">
        <f>IF(AND(OR(eta&gt;0.001, eta&lt;0.0001),Found_Type="Basement w/ slab"),"WARNING",IF(AND(OR(eta&gt;0.0019,eta&lt;0.00019),Found_Type="Slab-on-grade"),"WARNING",IF(eta&lt;&gt;$G$40,"WARNING","")))</f>
        <v/>
      </c>
      <c r="AL40" s="43" t="str">
        <f>IF(AND(OR(eta&gt;0.001, eta&lt;0.0001),Found_Type="Basement w/ slab"),"Value is outside of reasonable range (0.01 - 0.0001).",IF(AND(OR(eta&gt;0.0019,eta&lt;0.00019),Found_Type="Slab-on-grade"),"Value is outside of reasonable range (0.0019-0.00019).",IF(eta&lt;&gt;$G$40," Value is different from default value; please justify.","")))</f>
        <v/>
      </c>
    </row>
    <row r="41" spans="1:40" ht="18.95" customHeight="1">
      <c r="A41" s="45"/>
      <c r="B41" s="36"/>
      <c r="C41" s="36" t="s">
        <v>142</v>
      </c>
      <c r="D41" s="26" t="s">
        <v>197</v>
      </c>
      <c r="E41" s="593" t="s">
        <v>2145</v>
      </c>
      <c r="F41" s="599">
        <f>IF(Bldg_Setting="Residential",VLOOKUP(Found_Type,BLDG_DATA!$B$10:$J$14,5,FALSE),VLOOKUP(Found_Type,BLDG_DATA!$B$5:$J$9,5,FALSE))</f>
        <v>150</v>
      </c>
      <c r="G41" s="559">
        <f>IF(Bldg_Setting="Residential",VLOOKUP(Found_Type,BLDG_DATA!$B$10:$J$14,5,FALSE),VLOOKUP(Found_Type,BLDG_DATA!$B$5:$J$9,5,FALSE))</f>
        <v>150</v>
      </c>
      <c r="H41" s="130" t="str">
        <f>IF(Bldg_Setting="Residential",INDEX(BLDG_DATA!$M$10:$M$14,MATCH(Found_Type,BLDG_DATA!$B$10:$B$14,)),INDEX(BLDG_DATA!$M$5:$M$9,MATCH(Found_Type,BLDG_DATA!$B$10:$B$14,)))</f>
        <v>80 - 200</v>
      </c>
      <c r="I41" s="133" t="s">
        <v>707</v>
      </c>
      <c r="J41" s="50" t="str">
        <f>IF(Bldg_Setting="Residential",IF(OR(Abf&gt;200,Abf&lt;80)=TRUE,"WARNING",IF(Abf&lt;&gt;G41,"WARNING","")),IF(OR(Abf&gt;1500,Abf&lt;80)=TRUE,"WARNING",IF(Abf&lt;&gt;G41,"WARNING","")))</f>
        <v/>
      </c>
      <c r="K41" s="43" t="str">
        <f>IF(Bldg_Setting="Residential",IF(OR(Abf&gt;200,Abf&lt;80)=TRUE,"Value is outside of reasonable range (80 - 200 m2).",IF(Abf&lt;&gt;G41,"Value is different from default value; please justify.","")),IF(OR(Abf&gt;1500,Abf&lt;80)=TRUE,"Value is outside of reasonable range (80 - 200 m2).",IF(Abf&lt;&gt;G41,"Value is different from default value; please justify.","")))</f>
        <v/>
      </c>
      <c r="L41" s="38"/>
      <c r="AA41" s="45"/>
      <c r="AB41" s="36"/>
      <c r="AC41" s="36" t="s">
        <v>142</v>
      </c>
      <c r="AD41" s="26" t="s">
        <v>197</v>
      </c>
      <c r="AE41" s="26" t="s">
        <v>2145</v>
      </c>
      <c r="AF41" s="489">
        <f>IF(Bldg_Setting="Residential",VLOOKUP(Found_Type,BLDG_DATA!$B$10:$J$14,5,FALSE),VLOOKUP(Found_Type,BLDG_DATA!$B$5:$J$9,5,FALSE))</f>
        <v>150</v>
      </c>
      <c r="AG41" s="489">
        <f>IF(Bldg_Setting="Residential",VLOOKUP(Found_Type,BLDG_DATA!$B$10:$J$14,5,FALSE),VLOOKUP(Found_Type,BLDG_DATA!$B$5:$J$9,5,FALSE))</f>
        <v>150</v>
      </c>
      <c r="AH41" s="559">
        <f>IF(Bldg_Setting="Residential",VLOOKUP(Found_Type,BLDG_DATA!$B$10:$J$14,5,FALSE),VLOOKUP(Found_Type,BLDG_DATA!$B$5:$J$9,5,FALSE))</f>
        <v>150</v>
      </c>
      <c r="AI41" s="130" t="str">
        <f>IF(Bldg_Setting="Residential",INDEX(BLDG_DATA!$M$10:$M$14,MATCH(Found_Type,BLDG_DATA!$B$10:$B$14,)),INDEX(BLDG_DATA!$M$5:$M$9,MATCH(Found_Type,BLDG_DATA!$B$10:$B$14,)))</f>
        <v>80 - 200</v>
      </c>
      <c r="AJ41" s="133" t="s">
        <v>707</v>
      </c>
      <c r="AK41" s="50" t="str">
        <f>IF(Bldg_Setting="Residential",IF(OR(Abf&gt;200,Abf&lt;80)=TRUE,"WARNING",IF(Abf&lt;&gt;AH41,"WARNING","")),IF(OR(Abf&gt;1000,Abf&lt;80)=TRUE,"WARNING",IF(Abf&lt;&gt;AH41,"WARNING","")))</f>
        <v/>
      </c>
      <c r="AL41" s="43" t="str">
        <f>IF(Bldg_Setting="Residential",IF(OR(Abf&gt;200,Abf&lt;80)=TRUE,"Value is outside of reasonable range (80 - 200 m2).",IF(Abf&lt;&gt;AH41,"Value is different from default value; please justify.","")),IF(OR(Abf&gt;1000,Abf&lt;80)=TRUE,"Value is outside of reasonable range (80 - 200 m2).",IF(Abf&lt;&gt;AH41,"Value is different from default value; please justify.","")))</f>
        <v/>
      </c>
    </row>
    <row r="42" spans="1:40" ht="18.95" customHeight="1">
      <c r="A42" s="45"/>
      <c r="B42" s="36"/>
      <c r="C42" s="36" t="s">
        <v>335</v>
      </c>
      <c r="D42" s="26" t="s">
        <v>185</v>
      </c>
      <c r="E42" s="26" t="s">
        <v>141</v>
      </c>
      <c r="F42" s="599">
        <f>IF(Bldg_Setting="Residential",VLOOKUP(Found_Type,BLDG_DATA!$B$10:$J$14,6,FALSE),VLOOKUP(Found_Type,BLDG_DATA!$B$5:$J$9,6,FALSE))</f>
        <v>2.44</v>
      </c>
      <c r="G42" s="67">
        <f>IF(Bldg_Setting="Residential",VLOOKUP(Found_Type,BLDG_DATA!$B$10:$J$14,6,FALSE),VLOOKUP(Found_Type,BLDG_DATA!$B$5:$J$9,6,FALSE))</f>
        <v>2.44</v>
      </c>
      <c r="H42" s="132" t="str">
        <f>INDEX(BLDG_DATA!$N$10:$N$14,MATCH(Found_Type,BLDG_DATA!$B$10:$B$14,))</f>
        <v>2.13 - 3.05</v>
      </c>
      <c r="I42" s="133" t="s">
        <v>707</v>
      </c>
      <c r="J42" s="50" t="str">
        <f>IF(AND(OR(Found_Type="Closed crawl space w/dirt floor", Found_Type="Closed crawl space w/ slab"), OR(Hb&gt;1.3, Hb&lt;0.5)), "WARNING", IF(AND(OR(Hb&gt;3.05,Hb&lt;2.13),Found_Type="Slab-on-grade"),"WARNING", IF(AND(OR(Found_Type="Basement w/ dirt floor", Found_Type="basement w/ slab"),OR(Hb&gt;4.88,Hb&lt;2.44)=TRUE),"WARNING",IF(Hb&lt;&gt;G42,"WARNING", ""))))</f>
        <v/>
      </c>
      <c r="K42" s="43" t="str">
        <f>IF(AND(OR(Found_Type="Closed crawl space w/dirt floor", Found_Type="Closed crawl space w/ slab"), OR(Hb&gt;1.3, Hb&lt;0.5)), "Value is outside of reasonable range (0.5 to 1.30 m).", IF(AND(OR(Hb&gt;3.05,Hb&lt;2.13),Found_Type="Slab-on-grade"),"Value is outside of reasonable range (2.13 – 3.05 m).", IF(AND(OR(Found_Type="Basement w/ dirt floor", Found_Type="basement w/ slab"),OR(Hb&gt;4.88,Hb&lt;2.44)=TRUE),"Value is outside of reasonable range (2.44 - 4.88 m).",IF(Hb&lt;&gt;G42,"Value is different from default value; please justify.", ""))))</f>
        <v/>
      </c>
      <c r="L42" s="38"/>
      <c r="AA42" s="45"/>
      <c r="AB42" s="36"/>
      <c r="AC42" s="36" t="s">
        <v>335</v>
      </c>
      <c r="AD42" s="26" t="s">
        <v>185</v>
      </c>
      <c r="AE42" s="26" t="s">
        <v>141</v>
      </c>
      <c r="AF42" s="489">
        <f>IF(Bldg_Setting="Residential",VLOOKUP(Found_Type,BLDG_DATA!$B$10:$J$14,6,FALSE),VLOOKUP(Found_Type,BLDG_DATA!$B$5:$J$9,6,FALSE))</f>
        <v>2.44</v>
      </c>
      <c r="AG42" s="489">
        <f>IF(Bldg_Setting="Residential",VLOOKUP(Found_Type,BLDG_DATA!$B$10:$J$14,6,FALSE),VLOOKUP(Found_Type,BLDG_DATA!$B$5:$J$9,6,FALSE))</f>
        <v>2.44</v>
      </c>
      <c r="AH42" s="559">
        <f>IF(Bldg_Setting="Residential",VLOOKUP(Found_Type,BLDG_DATA!$B$10:$J$14,6,FALSE),VLOOKUP(Found_Type,BLDG_DATA!$B$5:$J$9,6,FALSE))</f>
        <v>2.44</v>
      </c>
      <c r="AI42" s="132" t="str">
        <f>INDEX(BLDG_DATA!$N$10:$N$14,MATCH(Found_Type,BLDG_DATA!$B$10:$B$14,))</f>
        <v>2.13 - 3.05</v>
      </c>
      <c r="AJ42" s="133" t="s">
        <v>707</v>
      </c>
      <c r="AK42" s="50" t="str">
        <f>IF(AND(OR(Found_Type="Closed crawl space w/dirt floor", Found_Type="Closed crawl space w/ slab"), OR(Hb&gt;1.3, Hb&lt;0.5)), "WARNING", IF(AND(OR(Hb&gt;3.05,Hb&lt;2.13),Found_Type="Slab-on-grade"),"WARNING", IF(AND(OR(Found_Type="Basement w/ dirt floor", Found_Type="basement w/ slab"),OR(Hb&gt;4.88,Hb&lt;2.44)=TRUE),"WARNING",IF(Hb&lt;&gt;AH42,"WARNING", ""))))</f>
        <v/>
      </c>
      <c r="AL42" s="43" t="str">
        <f>IF(AND(OR(Found_Type="Closed crawl space w/dirt floor", Found_Type="Closed crawl space w/ slab"), OR(Hb&gt;1.3, Hb&lt;0.5)), "Value is outside of reasonable range (0.5 to 1.30 m).", IF(AND(OR(Hb&gt;3.05,Hb&lt;2.13),Found_Type="Slab-on-grade"),"Value is outside of reasonable range (2.13 – 3.05 m).", IF(AND(OR(Found_Type="Basement w/ dirt floor", Found_Type="basement w/ slab"),OR(Hb&gt;4.88,Hb&lt;2.44)=TRUE),"Value is outside of reasonable range (2.44 - 4.88 m).",IF(Hb&lt;&gt;AH42,"Value is different from default value; please justify.", ""))))</f>
        <v/>
      </c>
    </row>
    <row r="43" spans="1:40" ht="18.95" customHeight="1">
      <c r="A43" s="45"/>
      <c r="B43" s="36"/>
      <c r="C43" s="36" t="s">
        <v>134</v>
      </c>
      <c r="D43" s="26" t="s">
        <v>2289</v>
      </c>
      <c r="E43" s="26" t="s">
        <v>135</v>
      </c>
      <c r="F43" s="600">
        <f>IF(Bldg_Setting="Residential",VLOOKUP(Found_Type,BLDG_DATA!$B$10:$J$14,7,FALSE),VLOOKUP(Found_Type,BLDG_DATA!$B$5:$J$9,7,FALSE))</f>
        <v>0.45</v>
      </c>
      <c r="G43" s="67">
        <f>IF(Bldg_Setting="Residential",VLOOKUP(Found_Type,BLDG_DATA!$B$10:$J$14,7,FALSE),VLOOKUP(Found_Type,BLDG_DATA!$B$5:$J$9,7,FALSE))</f>
        <v>0.45</v>
      </c>
      <c r="H43" s="175" t="str">
        <f>IF(Bldg_Setting="Residential",".15-1.26",".3-4.1")</f>
        <v>.15-1.26</v>
      </c>
      <c r="I43" s="133" t="s">
        <v>707</v>
      </c>
      <c r="J43" s="50" t="str">
        <f>IF(Bldg_Setting="Residential",IF(OR(ach&gt;1.26,ach&lt;0.15,ach&lt;&gt;G43)=TRUE,"WARNING",""),IF(OR(ach&gt;4.1,ach&lt;0.3,ach&lt;&gt;G43)=TRUE,"WARNING",""))</f>
        <v/>
      </c>
      <c r="K43" s="43" t="str">
        <f>IF(Bldg_Setting="Residential",IF(OR(ach&gt;1.26,ach&lt;0.15)=TRUE,"Value is outside of reasonable range (0.15 - 1.26).",IF(ach&lt;&gt;G43,"Value is different from default value; please justify.","")),IF(OR(ach&gt;4.1,ach&lt;0.3)=TRUE,"Value is outside of reasonable range (0.3 - 4.1).",IF(ach&lt;&gt;G43,"Value is different from default value; please justify.","")))</f>
        <v/>
      </c>
      <c r="L43" s="38"/>
      <c r="AA43" s="45"/>
      <c r="AB43" s="36"/>
      <c r="AC43" s="36" t="s">
        <v>134</v>
      </c>
      <c r="AD43" s="26" t="s">
        <v>201</v>
      </c>
      <c r="AE43" s="26" t="s">
        <v>135</v>
      </c>
      <c r="AF43" s="489">
        <f>IF(Bldg_Setting="Residential",VLOOKUP(Found_Type,BLDG_DATA!$B$10:$J$14,7,FALSE),VLOOKUP(Found_Type,BLDG_DATA!$B$5:$J$9,7,FALSE))</f>
        <v>0.45</v>
      </c>
      <c r="AG43" s="489">
        <f>IF(Bldg_Setting="Residential",VLOOKUP(Found_Type,BLDG_DATA!$B$10:$J$14,7,FALSE),VLOOKUP(Found_Type,BLDG_DATA!$B$5:$J$9,7,FALSE))</f>
        <v>0.45</v>
      </c>
      <c r="AH43" s="559">
        <f>IF(Bldg_Setting="Residential",VLOOKUP(Found_Type,BLDG_DATA!$B$10:$J$14,7,FALSE),VLOOKUP(Found_Type,BLDG_DATA!$B$5:$J$9,7,FALSE))</f>
        <v>0.45</v>
      </c>
      <c r="AI43" s="175" t="s">
        <v>1670</v>
      </c>
      <c r="AJ43" s="133">
        <v>1</v>
      </c>
      <c r="AK43" s="50" t="str">
        <f>IF(Bldg_Setting="Residential",IF(OR(ach&gt;1.26,ach&lt;0.15,ach&lt;&gt;AH43)=TRUE,"WARNING",""),IF(OR(ach&gt;4.1,ach&lt;0.3,ach&lt;&gt;AH43)=TRUE,"WARNING",""))</f>
        <v/>
      </c>
      <c r="AL43" s="43" t="str">
        <f>IF(Bldg_Setting="Residential",IF(OR(ach&gt;1.26,ach&lt;0.15)=TRUE,"Value is outside of reasonable range (0.15 - 1.26).",IF(ach&lt;&gt;AH43,"Value is different from default value; please justify.","")),IF(OR(ach&gt;4.1,ach&lt;0.3)=TRUE,"Value is outside of reasonable range (0.3 - 4.1).",IF(ach&lt;&gt;AH43,"Value is different from default value; please justify.","")))</f>
        <v/>
      </c>
    </row>
    <row r="44" spans="1:40" ht="18.95" customHeight="1">
      <c r="A44" s="45"/>
      <c r="B44" s="36"/>
      <c r="C44" s="36" t="s">
        <v>205</v>
      </c>
      <c r="D44" s="75" t="s">
        <v>128</v>
      </c>
      <c r="E44" s="26" t="s">
        <v>314</v>
      </c>
      <c r="F44" s="490">
        <f>IF(AF36="Residential",VLOOKUP(AF37,BLDG_DATA!B10:J14,9,FALSE),VLOOKUP(BLDG_DATA!B5:J9,10,FALSE))</f>
        <v>3.0000000000000001E-3</v>
      </c>
      <c r="G44" s="558">
        <f>IF(AF36="Residential",VLOOKUP(AF37,BLDG_DATA!B10:J14,9,FALSE),VLOOKUP(BLDG_DATA!B5:J9,10,FALSE))</f>
        <v>3.0000000000000001E-3</v>
      </c>
      <c r="H44" s="180" t="s">
        <v>1723</v>
      </c>
      <c r="I44" s="133">
        <v>1.24</v>
      </c>
      <c r="J44" s="50" t="str">
        <f>IF(OR(Found_Type="Basement w/ dirt floor", Found_Type="Closed crawl space w/ dirt floor")=TRUE, "",IF(OR(Qsoil_Qb&gt;0.05,Qsoil_Qb&lt;0.0001, Qsoil_Qb&lt;&gt;G44)=TRUE,"WARNING",""))</f>
        <v/>
      </c>
      <c r="K44" s="43" t="str">
        <f>IF(OR(Found_Type="Basement w/ dirt floor", Found_Type="Closed crawl space w/ dirt floor")=TRUE, "",IF(OR(Qsoil_Qb&gt;0.05,Qsoil_Qb&lt;0.0001)=TRUE,"Value is outside of reasonable range (0.0001 - 0.05).",IF(AND(Qsoil_Qb&lt;&gt;G44,ach&lt;&gt;G43),"Value is different from default value; please justify.","")))</f>
        <v/>
      </c>
      <c r="L44" s="38"/>
      <c r="AA44" s="45"/>
      <c r="AB44" s="36"/>
      <c r="AC44" s="36" t="s">
        <v>205</v>
      </c>
      <c r="AD44" s="75" t="s">
        <v>128</v>
      </c>
      <c r="AE44" s="26" t="s">
        <v>314</v>
      </c>
      <c r="AF44" s="490">
        <f>IF(ach=G43, IF(Bldg_Setting="Residential",VLOOKUP(Found_Type,BLDG_DATA!B10:J14,9,FALSE),VLOOKUP(BLDG_DATA!B5:J9,10,FALSE)),( IF(Bldg_Setting="Residential",VLOOKUP(Found_Type,BLDG_DATA!B10:J14,9,FALSE),VLOOKUP(BLDG_DATA!B5:J9,10,FALSE)))*(0.45/ach))</f>
        <v>3.0000000000000001E-3</v>
      </c>
      <c r="AG44" s="557">
        <f>AG46/AG45</f>
        <v>3.0000000000000001E-3</v>
      </c>
      <c r="AH44" s="718">
        <f>IF(ach=G43, IF(Bldg_Setting="Residential",VLOOKUP(Found_Type,BLDG_DATA!B10:J14,9,FALSE),VLOOKUP(BLDG_DATA!B5:J9,10,FALSE)),( IF(Bldg_Setting="Residential",VLOOKUP(Found_Type,BLDG_DATA!B10:J14,9,FALSE),VLOOKUP(BLDG_DATA!B5:J9,10,FALSE)))*(0.45/ach))</f>
        <v>3.0000000000000001E-3</v>
      </c>
      <c r="AI44" s="180" t="s">
        <v>1723</v>
      </c>
      <c r="AJ44" s="133">
        <v>1.24</v>
      </c>
      <c r="AK44" s="50" t="str">
        <f>IF(OR(Found_Type="Basement w/ dirt floor", Found_Type="Closed crawl space w/ dirt floor")=TRUE, "",IF(OR(Qsoil_Qb&gt;0.05,Qsoil_Qb&lt;0.0001, Qsoil_Qb&lt;&gt;AH44)=TRUE,"WARNING",""))</f>
        <v/>
      </c>
      <c r="AL44" s="43" t="str">
        <f>IF(OR(Found_Type="Basement w/ dirt floor", Found_Type="Closed crawl space w/ dirt floor")=TRUE, "",IF(OR(Qsoil_Qb&gt;0.05,Qsoil_Qb&lt;0.0001)=TRUE,"Value is outside of reasonable range (0.0001 - 0.05).",IF(Qsoil_Qb&lt;&gt;AH44,"Value is different from default value; please justify.","")))</f>
        <v/>
      </c>
      <c r="AN44" s="28" t="s">
        <v>1750</v>
      </c>
    </row>
    <row r="45" spans="1:40" ht="18.95" customHeight="1">
      <c r="A45" s="45"/>
      <c r="B45" s="48"/>
      <c r="C45" s="36" t="s">
        <v>315</v>
      </c>
      <c r="D45" s="26" t="s">
        <v>202</v>
      </c>
      <c r="E45" s="26" t="s">
        <v>264</v>
      </c>
      <c r="F45" s="157">
        <f>Abf*Hb*ach</f>
        <v>164.70000000000002</v>
      </c>
      <c r="G45" s="67">
        <f>G41*G42*G43</f>
        <v>164.70000000000002</v>
      </c>
      <c r="H45" s="132" t="s">
        <v>707</v>
      </c>
      <c r="I45" s="133">
        <v>0.3</v>
      </c>
      <c r="J45" s="50"/>
      <c r="K45" s="43"/>
      <c r="L45" s="38"/>
      <c r="AA45" s="45"/>
      <c r="AB45" s="48"/>
      <c r="AC45" s="36" t="s">
        <v>315</v>
      </c>
      <c r="AD45" s="26" t="s">
        <v>202</v>
      </c>
      <c r="AE45" s="26" t="s">
        <v>264</v>
      </c>
      <c r="AF45" s="573">
        <f>Abf*Hb*ach</f>
        <v>164.70000000000002</v>
      </c>
      <c r="AG45" s="572">
        <f>IF(AG36="Residential",VLOOKUP(AG37,BLDG_DATA!B23:O27,8,FALSE),VLOOKUP(AG37,BLDG_DATA!B18:K22,8,FALSE))</f>
        <v>247.05</v>
      </c>
      <c r="AH45" s="67">
        <f>AH41*AH42*AH43</f>
        <v>164.70000000000002</v>
      </c>
      <c r="AI45" s="132" t="s">
        <v>707</v>
      </c>
      <c r="AJ45" s="133">
        <v>0.3</v>
      </c>
      <c r="AK45" s="50"/>
      <c r="AL45" s="43"/>
    </row>
    <row r="46" spans="1:40" s="335" customFormat="1" ht="32.450000000000003" customHeight="1">
      <c r="A46" s="74"/>
      <c r="B46" s="79"/>
      <c r="C46" s="161" t="s">
        <v>2208</v>
      </c>
      <c r="D46" s="76" t="s">
        <v>202</v>
      </c>
      <c r="E46" s="76" t="s">
        <v>138</v>
      </c>
      <c r="F46" s="719">
        <f>IF(OR(Found_Type="Basement w/ dirt floor", Found_Type="Closed crawl space w/ dirt floor"), "NA",Qsoil_Qb*Qb)</f>
        <v>0.49410000000000004</v>
      </c>
      <c r="G46" s="80">
        <f>IF(OR(Found_Type="Basement w/ dirt floor",Found_Type="Closed crawl space w/ dirt floor"),"NA",G44*G45)</f>
        <v>0.49410000000000004</v>
      </c>
      <c r="H46" s="222" t="s">
        <v>707</v>
      </c>
      <c r="I46" s="178" t="s">
        <v>707</v>
      </c>
      <c r="J46" s="71"/>
      <c r="K46" s="62"/>
      <c r="L46" s="570"/>
      <c r="AA46" s="73"/>
      <c r="AB46" s="79"/>
      <c r="AC46" s="161" t="s">
        <v>2208</v>
      </c>
      <c r="AD46" s="76" t="s">
        <v>202</v>
      </c>
      <c r="AE46" s="76" t="s">
        <v>138</v>
      </c>
      <c r="AF46" s="80">
        <f>IF(OR(Found_Type="Basement w/ dirt floor", Found_Type="Closed crawl space w/ dirt floor"), "NA",Qsoil_Qb*Qb)</f>
        <v>0.49410000000000004</v>
      </c>
      <c r="AG46" s="571">
        <f>IF(AG36="Residential",VLOOKUP(AG37,BLDG_DATA!B23:K27,10,FALSE),VLOOKUP(AG37,BLDG_DATA!B18:K22,10,FALSE))</f>
        <v>0.74115000000000009</v>
      </c>
      <c r="AH46" s="80">
        <f>IF(OR(Found_Type="Basement w/ dirt floor",Found_Type="Closed crawl space w/ dirt floor"),"NA",AH44*AH45)</f>
        <v>0.49410000000000004</v>
      </c>
      <c r="AI46" s="222" t="s">
        <v>707</v>
      </c>
      <c r="AJ46" s="80" t="s">
        <v>707</v>
      </c>
      <c r="AK46" s="596"/>
      <c r="AL46" s="71"/>
      <c r="AM46" s="605"/>
    </row>
    <row r="47" spans="1:40" ht="18" customHeight="1">
      <c r="A47" s="36"/>
      <c r="B47" s="147"/>
      <c r="G47" s="710">
        <f>IF(0.0001&lt;Qsoil_Qb,0.0001,Qsoil_Qb)</f>
        <v>1E-4</v>
      </c>
      <c r="H47" s="720">
        <f>0.0001*Qb</f>
        <v>1.6470000000000002E-2</v>
      </c>
      <c r="I47" s="714"/>
      <c r="J47" s="715"/>
      <c r="K47" s="50"/>
      <c r="L47" s="38"/>
      <c r="AA47" s="36"/>
      <c r="AB47" s="147"/>
      <c r="AC47" s="326"/>
      <c r="AD47" s="26"/>
      <c r="AE47" s="26"/>
      <c r="AF47" s="423"/>
      <c r="AG47" s="67"/>
      <c r="AH47" s="67"/>
      <c r="AI47" s="67"/>
      <c r="AJ47" s="50"/>
      <c r="AK47" s="50"/>
    </row>
    <row r="48" spans="1:40" ht="19.899999999999999" customHeight="1">
      <c r="A48" s="21" t="str">
        <f>$A$5</f>
        <v xml:space="preserve"> </v>
      </c>
      <c r="B48" s="22"/>
      <c r="G48" s="711">
        <f>IF(0.05&gt;Qsoil_Qb,0.05,Qsoil_Qb)</f>
        <v>0.05</v>
      </c>
      <c r="H48" s="721">
        <f>0.05*Qb</f>
        <v>8.2350000000000012</v>
      </c>
      <c r="I48" s="716"/>
      <c r="J48" s="716"/>
      <c r="L48" s="95"/>
      <c r="M48" s="96"/>
      <c r="N48" s="34"/>
      <c r="O48" s="34"/>
      <c r="P48" s="97"/>
      <c r="Q48" s="97"/>
      <c r="R48" s="34"/>
      <c r="S48" s="96"/>
      <c r="AA48" s="21" t="s">
        <v>1651</v>
      </c>
      <c r="AB48" s="22"/>
      <c r="AH48" s="28"/>
      <c r="AI48" s="94"/>
    </row>
    <row r="49" spans="1:37" ht="15" customHeight="1" thickBot="1">
      <c r="A49" s="102"/>
      <c r="B49" s="322"/>
      <c r="F49" s="146"/>
      <c r="H49" s="717"/>
      <c r="I49" s="716"/>
      <c r="J49" s="716"/>
      <c r="AA49" s="102"/>
      <c r="AB49" s="322"/>
      <c r="AH49" s="28"/>
      <c r="AI49" s="94"/>
    </row>
    <row r="50" spans="1:37" ht="15" customHeight="1" thickBot="1">
      <c r="A50" s="21" t="s">
        <v>1778</v>
      </c>
      <c r="B50" s="35"/>
      <c r="D50" s="724" t="s">
        <v>1777</v>
      </c>
      <c r="F50" s="898" t="str">
        <f>Name_and_run</f>
        <v>Example, Run 1</v>
      </c>
      <c r="G50" s="163"/>
      <c r="H50" s="716"/>
      <c r="I50" s="716"/>
      <c r="J50" s="716"/>
      <c r="AA50" s="21" t="s">
        <v>1778</v>
      </c>
      <c r="AB50" s="35"/>
      <c r="AD50" s="94" t="s">
        <v>1777</v>
      </c>
      <c r="AF50" s="94"/>
      <c r="AG50" s="94"/>
      <c r="AI50" s="94"/>
    </row>
    <row r="51" spans="1:37" ht="15" customHeight="1">
      <c r="A51" s="21"/>
      <c r="B51" s="98" t="str">
        <f>"Chemical Name:"&amp;"   "&amp;$F$17&amp;"     CAS No. "&amp;CAS</f>
        <v>Chemical Name:   Acetaldehyde     CAS No. 75-07-0</v>
      </c>
      <c r="C51" s="169"/>
      <c r="D51" s="168"/>
      <c r="E51" s="100"/>
      <c r="G51" s="94"/>
      <c r="H51" s="716"/>
      <c r="I51" s="716"/>
      <c r="J51" s="716"/>
      <c r="AA51" s="21"/>
      <c r="AB51" s="100" t="s">
        <v>1974</v>
      </c>
      <c r="AC51" s="169"/>
      <c r="AD51" s="168"/>
      <c r="AE51" s="100"/>
      <c r="AG51" s="94"/>
      <c r="AI51" s="94"/>
    </row>
    <row r="52" spans="1:37" ht="15" customHeight="1">
      <c r="A52" s="21"/>
      <c r="B52" s="98" t="str">
        <f>IF(Source="Groundwater","Depth below grade to water table:","Depth below grade to soil gas sample:")&amp;"   "&amp;TEXT(Ls,"0.00")&amp;"  meters"</f>
        <v>Depth below grade to water table:   2.00  meters</v>
      </c>
      <c r="C52" s="169"/>
      <c r="D52" s="168"/>
      <c r="E52" s="100"/>
      <c r="G52" s="94"/>
      <c r="H52" s="716"/>
      <c r="I52" s="716"/>
      <c r="J52" s="716"/>
      <c r="AA52" s="21"/>
      <c r="AB52" s="100" t="s">
        <v>1975</v>
      </c>
      <c r="AC52" s="169"/>
      <c r="AD52" s="168"/>
      <c r="AE52" s="100"/>
      <c r="AG52" s="94"/>
      <c r="AI52" s="94"/>
    </row>
    <row r="53" spans="1:37" ht="35.450000000000003" customHeight="1">
      <c r="A53" s="701" t="s">
        <v>125</v>
      </c>
      <c r="B53" s="702"/>
      <c r="C53" s="702"/>
      <c r="D53" s="324" t="s">
        <v>136</v>
      </c>
      <c r="E53" s="324" t="s">
        <v>137</v>
      </c>
      <c r="F53" s="324" t="s">
        <v>267</v>
      </c>
      <c r="G53" s="324" t="s">
        <v>288</v>
      </c>
      <c r="H53" s="712" t="s">
        <v>2355</v>
      </c>
      <c r="I53" s="324" t="s">
        <v>338</v>
      </c>
      <c r="J53" s="324" t="s">
        <v>319</v>
      </c>
      <c r="K53" s="325" t="s">
        <v>320</v>
      </c>
      <c r="L53" s="38"/>
      <c r="AA53" s="148" t="s">
        <v>125</v>
      </c>
      <c r="AB53" s="72"/>
      <c r="AC53" s="72"/>
      <c r="AD53" s="139" t="s">
        <v>136</v>
      </c>
      <c r="AE53" s="139" t="s">
        <v>137</v>
      </c>
      <c r="AF53" s="324" t="s">
        <v>267</v>
      </c>
      <c r="AG53" s="139" t="s">
        <v>288</v>
      </c>
      <c r="AH53" s="139" t="s">
        <v>337</v>
      </c>
      <c r="AI53" s="139" t="s">
        <v>338</v>
      </c>
      <c r="AJ53" s="139" t="s">
        <v>319</v>
      </c>
      <c r="AK53" s="325" t="s">
        <v>320</v>
      </c>
    </row>
    <row r="54" spans="1:37" ht="16.149999999999999" customHeight="1" thickBot="1">
      <c r="A54" s="41" t="s">
        <v>308</v>
      </c>
      <c r="B54" s="100"/>
      <c r="C54" s="170"/>
      <c r="D54" s="26"/>
      <c r="E54" s="26"/>
      <c r="F54" s="26"/>
      <c r="G54" s="26"/>
      <c r="H54" s="84"/>
      <c r="I54" s="206"/>
      <c r="J54" s="42"/>
      <c r="K54" s="43"/>
      <c r="L54" s="38"/>
      <c r="AA54" s="41" t="s">
        <v>308</v>
      </c>
      <c r="AB54" s="100"/>
      <c r="AC54" s="170"/>
      <c r="AD54" s="26"/>
      <c r="AE54" s="26"/>
      <c r="AF54" s="26"/>
      <c r="AG54" s="26"/>
      <c r="AH54" s="84"/>
      <c r="AI54" s="206"/>
      <c r="AJ54" s="42"/>
      <c r="AK54" s="43"/>
    </row>
    <row r="55" spans="1:37" ht="18.95" customHeight="1" thickTop="1" thickBot="1">
      <c r="A55" s="101"/>
      <c r="B55" s="98" t="s">
        <v>310</v>
      </c>
      <c r="C55" s="170"/>
      <c r="D55" s="26"/>
      <c r="E55" s="26" t="s">
        <v>127</v>
      </c>
      <c r="F55" s="349" t="s">
        <v>29</v>
      </c>
      <c r="G55" s="82"/>
      <c r="H55" s="134"/>
      <c r="I55" s="133"/>
      <c r="J55" s="42"/>
      <c r="K55" s="43"/>
      <c r="L55" s="38"/>
      <c r="AA55" s="101"/>
      <c r="AB55" s="98" t="s">
        <v>310</v>
      </c>
      <c r="AC55" s="170"/>
      <c r="AD55" s="26"/>
      <c r="AE55" s="26" t="s">
        <v>127</v>
      </c>
      <c r="AF55" s="349" t="s">
        <v>29</v>
      </c>
      <c r="AG55" s="82"/>
      <c r="AH55" s="134"/>
      <c r="AI55" s="133"/>
      <c r="AJ55" s="42"/>
      <c r="AK55" s="43"/>
    </row>
    <row r="56" spans="1:37" ht="18.95" customHeight="1" thickTop="1">
      <c r="A56" s="101"/>
      <c r="B56" s="98" t="s">
        <v>309</v>
      </c>
      <c r="C56" s="170"/>
      <c r="D56" s="26" t="s">
        <v>185</v>
      </c>
      <c r="E56" s="26" t="s">
        <v>211</v>
      </c>
      <c r="F56" s="357">
        <v>2</v>
      </c>
      <c r="G56" s="67"/>
      <c r="H56" s="132"/>
      <c r="I56" s="133"/>
      <c r="J56" s="50" t="str">
        <f>IF(AND(Source="Groundwater",src_soil="Stratum A")=TRUE,IF(hSA&lt;Lb+hcz,"ERROR",""),IF(hSA&lt;Lb,"ERROR",""))</f>
        <v/>
      </c>
      <c r="K56" s="43" t="str">
        <f>IF(AND(Source="Groundwater",src_soil="Stratum A")=TRUE,IF(hSA&lt;Lb+hcz,"hSA must be &gt;= Lb + hcz.",""),IF(hSA&lt;Lb,"hSA must be  &gt;= Lb",""))</f>
        <v/>
      </c>
      <c r="L56" s="34"/>
      <c r="AA56" s="101"/>
      <c r="AB56" s="98" t="s">
        <v>309</v>
      </c>
      <c r="AC56" s="170"/>
      <c r="AD56" s="26" t="s">
        <v>185</v>
      </c>
      <c r="AE56" s="26" t="s">
        <v>211</v>
      </c>
      <c r="AF56" s="357">
        <v>5</v>
      </c>
      <c r="AG56" s="67"/>
      <c r="AH56" s="132"/>
      <c r="AI56" s="133"/>
      <c r="AJ56" s="50" t="str">
        <f>IF(AND(Source="Groundwater",src_soil="Stratum A")=TRUE,IF(hSA&lt;Lb+hcz,"ERROR",""),IF(hSA&lt;Lb,"ERROR",""))</f>
        <v/>
      </c>
      <c r="AK56" s="43" t="str">
        <f>IF(AND(Source="Groundwater",src_soil="Stratum A")=TRUE,IF(hSA&lt;Lb+hcz,"hSA must be &gt;= Lb + hcz.",""),IF(hSA&lt;Lb,"hSA must be  &gt;= Lb",""))</f>
        <v/>
      </c>
    </row>
    <row r="57" spans="1:37" ht="18.95" customHeight="1">
      <c r="A57" s="101"/>
      <c r="B57" s="100"/>
      <c r="C57" s="170" t="s">
        <v>186</v>
      </c>
      <c r="D57" s="26" t="s">
        <v>128</v>
      </c>
      <c r="E57" s="26" t="s">
        <v>212</v>
      </c>
      <c r="F57" s="358">
        <f>IF(INDEX(Total_Porosity,MATCH(SCS_A,Soil_Type2,0))=0,"",(INDEX(Total_Porosity,MATCH(SCS_A,Soil_Type2,0))))</f>
        <v>0.375</v>
      </c>
      <c r="G57" s="82">
        <f>IF(INDEX(Total_Porosity,MATCH(SCS_A,Soil_Type2,0))=0,"",(INDEX(Total_Porosity,MATCH(SCS_A,Soil_Type2,0))))</f>
        <v>0.375</v>
      </c>
      <c r="H57" s="134" t="s">
        <v>707</v>
      </c>
      <c r="I57" s="133">
        <f>INDEX(SOIL_CV_DATA!$C:$C,MATCH(SCS_A,SOIL_CV_DATA!$A:$A,0))</f>
        <v>0.2</v>
      </c>
      <c r="J57" s="50" t="str">
        <f>IF(nSA&lt;&gt;G57,"WARNING","")</f>
        <v/>
      </c>
      <c r="K57" s="43" t="str">
        <f>IF(nSA&lt;&gt;G57,"Value is different from default value; please justify.","")</f>
        <v/>
      </c>
      <c r="L57" s="38"/>
      <c r="AA57" s="101"/>
      <c r="AB57" s="100"/>
      <c r="AC57" s="170" t="s">
        <v>186</v>
      </c>
      <c r="AD57" s="26" t="s">
        <v>128</v>
      </c>
      <c r="AE57" s="26" t="s">
        <v>212</v>
      </c>
      <c r="AF57" s="358">
        <f>IF(INDEX(Total_Porosity,MATCH(SCS_A,Soil_Type2,0))=0,"",(INDEX(Total_Porosity,MATCH(SCS_A,Soil_Type2,0))))</f>
        <v>0.375</v>
      </c>
      <c r="AG57" s="82">
        <f>IF(INDEX(Total_Porosity,MATCH(SCS_A,Soil_Type2,0))=0,"",(INDEX(Total_Porosity,MATCH(SCS_A,Soil_Type2,0))))</f>
        <v>0.375</v>
      </c>
      <c r="AH57" s="134" t="s">
        <v>707</v>
      </c>
      <c r="AI57" s="133">
        <f>INDEX(SOIL_CV_DATA!$C:$C,MATCH(SCS_A,SOIL_CV_DATA!$A:$A,0))</f>
        <v>0.2</v>
      </c>
      <c r="AJ57" s="50" t="str">
        <f>IF(nSA&lt;&gt;AG57,"WARNING","")</f>
        <v/>
      </c>
      <c r="AK57" s="43" t="str">
        <f>IF(nSA&lt;&gt;AG57,"Value is different from default value; please justify.","")</f>
        <v/>
      </c>
    </row>
    <row r="58" spans="1:37" ht="18.95" customHeight="1">
      <c r="A58" s="101"/>
      <c r="B58" s="100"/>
      <c r="C58" s="170" t="s">
        <v>187</v>
      </c>
      <c r="D58" s="26" t="s">
        <v>128</v>
      </c>
      <c r="E58" s="26" t="s">
        <v>213</v>
      </c>
      <c r="F58" s="359">
        <f>IF(INDEX(Water_Porosity,MATCH(SCS_A,Soil_Type2,0))=0,"",(INDEX(Water_Porosity,MATCH(SCS_A,Soil_Type2,0))))</f>
        <v>5.3999999999999999E-2</v>
      </c>
      <c r="G58" s="82">
        <f>IF(INDEX(Water_Porosity,MATCH(SCS_A,Soil_Type2,0))=0,"",(INDEX(Water_Porosity,MATCH(SCS_A,Soil_Type2,0))))</f>
        <v>5.3999999999999999E-2</v>
      </c>
      <c r="H58" s="134" t="str">
        <f>INDEX(SOIL_DATA!$N:$N,MATCH(SCS_A,SOIL_DATA!$A:$A,0))</f>
        <v>0.053 - 0.055</v>
      </c>
      <c r="I58" s="133">
        <f>INDEX(SOIL_CV_DATA!$D:$D,MATCH(SCS_A,SOIL_CV_DATA!$A:$A,0))</f>
        <v>0.25</v>
      </c>
      <c r="J58" s="50" t="str">
        <f>IF(nwSA&lt;&gt;G58,"WARNING","")</f>
        <v/>
      </c>
      <c r="K58" s="43" t="str">
        <f>IF(nwSA&lt;&gt;G58,"Value is different from default value; please justify.","")</f>
        <v/>
      </c>
      <c r="L58" s="38"/>
      <c r="AA58" s="101"/>
      <c r="AB58" s="100"/>
      <c r="AC58" s="170" t="s">
        <v>187</v>
      </c>
      <c r="AD58" s="26" t="s">
        <v>128</v>
      </c>
      <c r="AE58" s="26" t="s">
        <v>213</v>
      </c>
      <c r="AF58" s="359">
        <f>IF(INDEX(Water_Porosity,MATCH(SCS_A,Soil_Type2,0))=0,"",(INDEX(Water_Porosity,MATCH(SCS_A,Soil_Type2,0))))</f>
        <v>5.3999999999999999E-2</v>
      </c>
      <c r="AG58" s="82">
        <f>IF(INDEX(Water_Porosity,MATCH(SCS_A,Soil_Type2,0))=0,"",(INDEX(Water_Porosity,MATCH(SCS_A,Soil_Type2,0))))</f>
        <v>5.3999999999999999E-2</v>
      </c>
      <c r="AH58" s="134" t="str">
        <f>INDEX(SOIL_DATA!$N:$N,MATCH(SCS_A,SOIL_DATA!$A:$A,0))</f>
        <v>0.053 - 0.055</v>
      </c>
      <c r="AI58" s="133">
        <f>INDEX(SOIL_CV_DATA!$D:$D,MATCH(SCS_A,SOIL_CV_DATA!$A:$A,0))</f>
        <v>0.25</v>
      </c>
      <c r="AJ58" s="50" t="str">
        <f>IF(nwSA&lt;&gt;AG58,"WARNING","")</f>
        <v/>
      </c>
      <c r="AK58" s="43" t="str">
        <f>IF(nwSA&lt;&gt;AG58,"Value is different from default value; please justify.","")</f>
        <v/>
      </c>
    </row>
    <row r="59" spans="1:37" ht="18.95" customHeight="1">
      <c r="A59" s="101"/>
      <c r="B59" s="100"/>
      <c r="C59" s="170" t="s">
        <v>188</v>
      </c>
      <c r="D59" s="86" t="s">
        <v>332</v>
      </c>
      <c r="E59" s="26" t="s">
        <v>214</v>
      </c>
      <c r="F59" s="359">
        <f>IF(INDEX(Bulk_Density,MATCH(SCS_A,Soil_Type2,0))=0,"",(INDEX(Bulk_Density,MATCH(SCS_A,Soil_Type2,0))))</f>
        <v>1.66</v>
      </c>
      <c r="G59" s="82">
        <f>IF(INDEX(Bulk_Density,MATCH(SCS_A,Soil_Type2,0))=0,"",(INDEX(Bulk_Density,MATCH(SCS_A,Soil_Type2,0))))</f>
        <v>1.66</v>
      </c>
      <c r="H59" s="134" t="s">
        <v>707</v>
      </c>
      <c r="I59" s="133">
        <f>INDEX(SOIL_CV_DATA!$E:$E,MATCH(SCS_A,SOIL_CV_DATA!$A:$A,0))</f>
        <v>0.05</v>
      </c>
      <c r="J59" s="50" t="str">
        <f>IF(rhoSA&lt;&gt;G59,"WARNING","")</f>
        <v/>
      </c>
      <c r="K59" s="43" t="str">
        <f>IF(rhoSA&lt;&gt;G59,"Value is different from default value; please justify.","")</f>
        <v/>
      </c>
      <c r="L59" s="38"/>
      <c r="AA59" s="101"/>
      <c r="AB59" s="100"/>
      <c r="AC59" s="170" t="s">
        <v>188</v>
      </c>
      <c r="AD59" s="86" t="s">
        <v>1976</v>
      </c>
      <c r="AE59" s="26" t="s">
        <v>214</v>
      </c>
      <c r="AF59" s="359">
        <f>IF(INDEX(Bulk_Density,MATCH(SCS_A,Soil_Type2,0))=0,"",(INDEX(Bulk_Density,MATCH(SCS_A,Soil_Type2,0))))</f>
        <v>1.66</v>
      </c>
      <c r="AG59" s="82">
        <f>IF(INDEX(Bulk_Density,MATCH(SCS_A,Soil_Type2,0))=0,"",(INDEX(Bulk_Density,MATCH(SCS_A,Soil_Type2,0))))</f>
        <v>1.66</v>
      </c>
      <c r="AH59" s="134" t="s">
        <v>707</v>
      </c>
      <c r="AI59" s="133">
        <f>INDEX(SOIL_CV_DATA!$E:$E,MATCH(SCS_A,SOIL_CV_DATA!$A:$A,0))</f>
        <v>0.05</v>
      </c>
      <c r="AJ59" s="50" t="str">
        <f>IF(rhoSA&lt;&gt;AG59,"WARNING","")</f>
        <v/>
      </c>
      <c r="AK59" s="43" t="str">
        <f>IF(rhoSA&lt;&gt;AG59,"Value is different from default value; please justify.","")</f>
        <v/>
      </c>
    </row>
    <row r="60" spans="1:37" ht="16.149999999999999" customHeight="1" thickBot="1">
      <c r="A60" s="41" t="s">
        <v>311</v>
      </c>
      <c r="B60" s="100"/>
      <c r="C60" s="170"/>
      <c r="D60" s="26"/>
      <c r="E60" s="26"/>
      <c r="F60" s="26"/>
      <c r="G60" s="26"/>
      <c r="H60" s="176"/>
      <c r="I60" s="206"/>
      <c r="J60" s="50"/>
      <c r="K60" s="43"/>
      <c r="L60" s="38"/>
      <c r="AA60" s="41" t="s">
        <v>311</v>
      </c>
      <c r="AB60" s="100"/>
      <c r="AC60" s="170"/>
      <c r="AD60" s="26"/>
      <c r="AE60" s="26"/>
      <c r="AF60" s="26"/>
      <c r="AG60" s="26"/>
      <c r="AH60" s="176"/>
      <c r="AI60" s="206"/>
      <c r="AJ60" s="50"/>
      <c r="AK60" s="43"/>
    </row>
    <row r="61" spans="1:37" ht="18.95" customHeight="1" thickTop="1" thickBot="1">
      <c r="A61" s="101"/>
      <c r="B61" s="98" t="s">
        <v>312</v>
      </c>
      <c r="C61" s="170"/>
      <c r="D61" s="26"/>
      <c r="E61" s="26" t="s">
        <v>130</v>
      </c>
      <c r="F61" s="360" t="s">
        <v>208</v>
      </c>
      <c r="G61" s="82"/>
      <c r="H61" s="173"/>
      <c r="I61" s="133"/>
      <c r="J61" s="50"/>
      <c r="K61" s="43"/>
      <c r="L61" s="38"/>
      <c r="AA61" s="101"/>
      <c r="AB61" s="98" t="s">
        <v>312</v>
      </c>
      <c r="AC61" s="170"/>
      <c r="AD61" s="26"/>
      <c r="AE61" s="26" t="s">
        <v>130</v>
      </c>
      <c r="AF61" s="360" t="s">
        <v>208</v>
      </c>
      <c r="AG61" s="82"/>
      <c r="AH61" s="173"/>
      <c r="AI61" s="133"/>
      <c r="AJ61" s="50"/>
      <c r="AK61" s="43"/>
    </row>
    <row r="62" spans="1:37" ht="18.95" customHeight="1" thickTop="1">
      <c r="A62" s="101"/>
      <c r="B62" s="98" t="s">
        <v>189</v>
      </c>
      <c r="C62" s="170"/>
      <c r="D62" s="26" t="s">
        <v>185</v>
      </c>
      <c r="E62" s="26" t="s">
        <v>215</v>
      </c>
      <c r="F62" s="357">
        <v>0</v>
      </c>
      <c r="G62" s="67"/>
      <c r="H62" s="174"/>
      <c r="I62" s="133"/>
      <c r="J62" s="50" t="str">
        <f>IF(AND(SCS_B="Not Present",hSB&lt;&gt;"")=TRUE,"ERROR",(IF(hSA+hSB&gt;Ls,"ERROR",(IF(AND(Source="Groundwater",src_soil="Stratum B")=TRUE,IF((hSB+hSA)&lt;hcz,"ERROR",IF(AND(Source="Groundwater",src_soil="Stratum B",hSB&lt;hcz),"WARNING","")),"")))))</f>
        <v/>
      </c>
      <c r="K62" s="43" t="str">
        <f>IF(AND(SCS_B="Not Present",hSB&lt;&gt;"")=TRUE,"Stratum thickness must be BLANK if not present.",(IF(hSA+hSB&gt;Ls,"hSB must be &lt;= Ls - hSA.",(IF(AND(Source="Groundwater",src_soil="Stratum B")=TRUE,IF((hSB+hSA)&lt;hcz,"hSB+hSA must be &gt;= hcz.",IF(AND(Source="Groundwater",src_soil="Stratum B",hSB&lt;hcz),"hSB &lt; hcz; hcz may be overestimated.","")),"")))))</f>
        <v/>
      </c>
      <c r="L62" s="38"/>
      <c r="AA62" s="101"/>
      <c r="AB62" s="98" t="s">
        <v>189</v>
      </c>
      <c r="AC62" s="170"/>
      <c r="AD62" s="26" t="s">
        <v>185</v>
      </c>
      <c r="AE62" s="26" t="s">
        <v>215</v>
      </c>
      <c r="AF62" s="357">
        <v>0</v>
      </c>
      <c r="AG62" s="67"/>
      <c r="AH62" s="174"/>
      <c r="AI62" s="133"/>
      <c r="AJ62" s="50" t="str">
        <f>IF(AND(SCS_B="Not Present",hSB&lt;&gt;"")=TRUE,"ERROR",(IF(hSA+hSB&gt;Ls,"ERROR",(IF(AND(Source="Groundwater",src_soil="Stratum B")=TRUE,IF((hSB+hSA)&lt;hcz,"ERROR",IF(AND(Source="Groundwater",src_soil="Stratum B",hSB&lt;hcz),"WARNING","")),"")))))</f>
        <v/>
      </c>
      <c r="AK62" s="43" t="str">
        <f>IF(AND(SCS_B="Not Present",hSB&lt;&gt;"")=TRUE,"Stratum thickness must be BLANK if not present.",(IF(hSA+hSB&gt;Ls,"hSB must be &lt;= Ls - hSA.",(IF(AND(Source="Groundwater",src_soil="Stratum B")=TRUE,IF((hSB+hSA)&lt;hcz,"hSB+hSA must be &gt;= hcz.",IF(AND(Source="Groundwater",src_soil="Stratum B",hSB&lt;hcz),"hSB &lt; hcz; hcz may be overestimated.","")),"")))))</f>
        <v/>
      </c>
    </row>
    <row r="63" spans="1:37" ht="18.95" customHeight="1">
      <c r="A63" s="101"/>
      <c r="B63" s="100"/>
      <c r="C63" s="170" t="s">
        <v>190</v>
      </c>
      <c r="D63" s="26" t="s">
        <v>128</v>
      </c>
      <c r="E63" s="26" t="s">
        <v>216</v>
      </c>
      <c r="F63" s="485" t="str">
        <f>IF(INDEX(Total_Porosity,MATCH(SCS_B,Soil_Type2,0))=0,"",(INDEX(Total_Porosity,MATCH(SCS_B,Soil_Type2,0))))</f>
        <v/>
      </c>
      <c r="G63" s="82" t="str">
        <f>IF(INDEX(Total_Porosity,MATCH(SCS_B,Soil_Type2,0))=0,"",(INDEX(Total_Porosity,MATCH(SCS_B,Soil_Type2,0))))</f>
        <v/>
      </c>
      <c r="H63" s="134" t="s">
        <v>707</v>
      </c>
      <c r="I63" s="133" t="str">
        <f>IF(SCS_B="Not Present","NA",INDEX(SOIL_CV_DATA!$C:$C,MATCH(SCS_B,SOIL_CV_DATA!$A:$A,0)))</f>
        <v>NA</v>
      </c>
      <c r="J63" s="50" t="str">
        <f>IF(nSB&lt;&gt;G63,"WARNING","")</f>
        <v/>
      </c>
      <c r="K63" s="43" t="str">
        <f>IF(nSB&lt;&gt;G63,"Value is different from default value; please justify.","")</f>
        <v/>
      </c>
      <c r="L63" s="38"/>
      <c r="AA63" s="101"/>
      <c r="AB63" s="100"/>
      <c r="AC63" s="170" t="s">
        <v>190</v>
      </c>
      <c r="AD63" s="26" t="s">
        <v>128</v>
      </c>
      <c r="AE63" s="26" t="s">
        <v>216</v>
      </c>
      <c r="AF63" s="485" t="str">
        <f>IF(INDEX(Total_Porosity,MATCH(SCS_B,Soil_Type2,0))=0,"",(INDEX(Total_Porosity,MATCH(SCS_B,Soil_Type2,0))))</f>
        <v/>
      </c>
      <c r="AG63" s="82" t="str">
        <f>IF(INDEX(Total_Porosity,MATCH(SCS_B,Soil_Type2,0))=0,"",(INDEX(Total_Porosity,MATCH(SCS_B,Soil_Type2,0))))</f>
        <v/>
      </c>
      <c r="AH63" s="134" t="s">
        <v>707</v>
      </c>
      <c r="AI63" s="133" t="str">
        <f>IF(SCS_B="Not Present","NA",INDEX(SOIL_CV_DATA!$C:$C,MATCH(SCS_B,SOIL_CV_DATA!$A:$A,0)))</f>
        <v>NA</v>
      </c>
      <c r="AJ63" s="50" t="str">
        <f>IF(nSB&lt;&gt;AG63,"WARNING","")</f>
        <v/>
      </c>
      <c r="AK63" s="43" t="str">
        <f>IF(nSB&lt;&gt;AG63,"Value is different from default value; please justify.","")</f>
        <v/>
      </c>
    </row>
    <row r="64" spans="1:37" ht="18.95" customHeight="1">
      <c r="A64" s="101"/>
      <c r="B64" s="100"/>
      <c r="C64" s="170" t="s">
        <v>191</v>
      </c>
      <c r="D64" s="26" t="s">
        <v>128</v>
      </c>
      <c r="E64" s="26" t="s">
        <v>217</v>
      </c>
      <c r="F64" s="476" t="str">
        <f>IF(INDEX(Water_Porosity,MATCH(SCS_B,Soil_Type2,0))=0,"",(INDEX(Water_Porosity,MATCH(SCS_B,Soil_Type2,0))))</f>
        <v/>
      </c>
      <c r="G64" s="82" t="str">
        <f>IF(INDEX(Water_Porosity,MATCH(SCS_B,Soil_Type2,0))=0,"",(INDEX(Water_Porosity,MATCH(SCS_B,Soil_Type2,0))))</f>
        <v/>
      </c>
      <c r="H64" s="134" t="str">
        <f>IF(SCS_B="Not Present","NA",INDEX(SOIL_DATA!$N:$N,MATCH(SCS_B,SOIL_DATA!$A:$A,0)))</f>
        <v>NA</v>
      </c>
      <c r="I64" s="133" t="str">
        <f>IF(SCS_B="Not Present","NA",INDEX(SOIL_CV_DATA!$D:$D,MATCH(SCS_B,SOIL_CV_DATA!$A:$A,0)))</f>
        <v>NA</v>
      </c>
      <c r="J64" s="50" t="str">
        <f>IF(nwSB&lt;&gt;G64,"WARNING","")</f>
        <v/>
      </c>
      <c r="K64" s="43" t="str">
        <f>IF(nwSB&lt;&gt;G64,"Value is different from default value; please justify.","")</f>
        <v/>
      </c>
      <c r="L64" s="38"/>
      <c r="AA64" s="101"/>
      <c r="AB64" s="100"/>
      <c r="AC64" s="170" t="s">
        <v>191</v>
      </c>
      <c r="AD64" s="26" t="s">
        <v>128</v>
      </c>
      <c r="AE64" s="26" t="s">
        <v>217</v>
      </c>
      <c r="AF64" s="476" t="str">
        <f>IF(INDEX(Water_Porosity,MATCH(SCS_B,Soil_Type2,0))=0,"",(INDEX(Water_Porosity,MATCH(SCS_B,Soil_Type2,0))))</f>
        <v/>
      </c>
      <c r="AG64" s="82" t="str">
        <f>IF(INDEX(Water_Porosity,MATCH(SCS_B,Soil_Type2,0))=0,"",(INDEX(Water_Porosity,MATCH(SCS_B,Soil_Type2,0))))</f>
        <v/>
      </c>
      <c r="AH64" s="134" t="str">
        <f>IF(SCS_B="Not Present","NA",INDEX(SOIL_DATA!$N:$N,MATCH(SCS_B,SOIL_DATA!$A:$A,0)))</f>
        <v>NA</v>
      </c>
      <c r="AI64" s="133" t="str">
        <f>IF(SCS_B="Not Present","NA",INDEX(SOIL_CV_DATA!$D:$D,MATCH(SCS_B,SOIL_CV_DATA!$A:$A,0)))</f>
        <v>NA</v>
      </c>
      <c r="AJ64" s="50" t="str">
        <f>IF(nwSB&lt;&gt;AG64,"WARNING","")</f>
        <v/>
      </c>
      <c r="AK64" s="43" t="str">
        <f>IF(nwSB&lt;&gt;AG64,"Value is different from default value; please justify.","")</f>
        <v/>
      </c>
    </row>
    <row r="65" spans="1:37" ht="18.95" customHeight="1">
      <c r="A65" s="101"/>
      <c r="B65" s="100"/>
      <c r="C65" s="170" t="s">
        <v>192</v>
      </c>
      <c r="D65" s="86" t="s">
        <v>332</v>
      </c>
      <c r="E65" s="26" t="s">
        <v>218</v>
      </c>
      <c r="F65" s="359" t="str">
        <f>IF(INDEX(Bulk_Density,MATCH(SCS_B,Soil_Type2,0))=0,"",(INDEX(Bulk_Density,MATCH(SCS_B,Soil_Type2,0))))</f>
        <v/>
      </c>
      <c r="G65" s="82" t="str">
        <f>IF(INDEX(Bulk_Density,MATCH(SCS_B,Soil_Type2,0))=0,"",(INDEX(Bulk_Density,MATCH(SCS_B,Soil_Type2,0))))</f>
        <v/>
      </c>
      <c r="H65" s="134" t="s">
        <v>707</v>
      </c>
      <c r="I65" s="133" t="str">
        <f>IF(SCS_B="Not Present","NA",INDEX(SOIL_CV_DATA!$E:$E,MATCH(SCS_B,SOIL_CV_DATA!$A:$A,0)))</f>
        <v>NA</v>
      </c>
      <c r="J65" s="50" t="str">
        <f>IF(rhoSB&lt;&gt;G65,"WARNING","")</f>
        <v/>
      </c>
      <c r="K65" s="43" t="str">
        <f>IF(rhoSB&lt;&gt;G65,"Value is different from default value; please justify.","")</f>
        <v/>
      </c>
      <c r="L65" s="38"/>
      <c r="AA65" s="101"/>
      <c r="AB65" s="100"/>
      <c r="AC65" s="170" t="s">
        <v>192</v>
      </c>
      <c r="AD65" s="86" t="s">
        <v>1976</v>
      </c>
      <c r="AE65" s="26" t="s">
        <v>218</v>
      </c>
      <c r="AF65" s="359" t="str">
        <f>IF(INDEX(Bulk_Density,MATCH(SCS_B,Soil_Type2,0))=0,"",(INDEX(Bulk_Density,MATCH(SCS_B,Soil_Type2,0))))</f>
        <v/>
      </c>
      <c r="AG65" s="82" t="str">
        <f>IF(INDEX(Bulk_Density,MATCH(SCS_B,Soil_Type2,0))=0,"",(INDEX(Bulk_Density,MATCH(SCS_B,Soil_Type2,0))))</f>
        <v/>
      </c>
      <c r="AH65" s="134" t="s">
        <v>707</v>
      </c>
      <c r="AI65" s="133" t="str">
        <f>IF(SCS_B="Not Present","NA",INDEX(SOIL_CV_DATA!$E:$E,MATCH(SCS_B,SOIL_CV_DATA!$A:$A,0)))</f>
        <v>NA</v>
      </c>
      <c r="AJ65" s="50" t="str">
        <f>IF(rhoSB&lt;&gt;AG65,"WARNING","")</f>
        <v/>
      </c>
      <c r="AK65" s="43" t="str">
        <f>IF(rhoSB&lt;&gt;AG65,"Value is different from default value; please justify.","")</f>
        <v/>
      </c>
    </row>
    <row r="66" spans="1:37" ht="16.149999999999999" customHeight="1" thickBot="1">
      <c r="A66" s="41" t="s">
        <v>1698</v>
      </c>
      <c r="B66" s="102"/>
      <c r="C66" s="36"/>
      <c r="D66" s="49"/>
      <c r="E66" s="26"/>
      <c r="F66" s="26"/>
      <c r="G66" s="26"/>
      <c r="H66" s="176"/>
      <c r="I66" s="206"/>
      <c r="J66" s="50"/>
      <c r="K66" s="43"/>
      <c r="L66" s="38"/>
      <c r="AA66" s="41" t="s">
        <v>1698</v>
      </c>
      <c r="AB66" s="102"/>
      <c r="AC66" s="36"/>
      <c r="AD66" s="49"/>
      <c r="AE66" s="26"/>
      <c r="AF66" s="26"/>
      <c r="AG66" s="26"/>
      <c r="AH66" s="176"/>
      <c r="AI66" s="206"/>
      <c r="AJ66" s="50"/>
      <c r="AK66" s="43"/>
    </row>
    <row r="67" spans="1:37" ht="18.95" customHeight="1" thickTop="1" thickBot="1">
      <c r="A67" s="103"/>
      <c r="B67" s="98" t="s">
        <v>313</v>
      </c>
      <c r="C67" s="170"/>
      <c r="D67" s="26"/>
      <c r="E67" s="26" t="s">
        <v>129</v>
      </c>
      <c r="F67" s="360" t="s">
        <v>208</v>
      </c>
      <c r="G67" s="82"/>
      <c r="H67" s="173"/>
      <c r="I67" s="133"/>
      <c r="J67" s="50" t="str">
        <f>IF(AND(SCS_B="Not Present",SCS_C&lt;&gt;"Not Present")=TRUE,"ERROR","")</f>
        <v/>
      </c>
      <c r="K67" s="43" t="str">
        <f>IF(AND(SCS_B="Not Present",SCS_C&lt;&gt;"Not Present")=TRUE,"Select a soil type for Stratum B.","")</f>
        <v/>
      </c>
      <c r="L67" s="38"/>
      <c r="AA67" s="103"/>
      <c r="AB67" s="98" t="s">
        <v>313</v>
      </c>
      <c r="AC67" s="170"/>
      <c r="AD67" s="26"/>
      <c r="AE67" s="26" t="s">
        <v>129</v>
      </c>
      <c r="AF67" s="360" t="s">
        <v>208</v>
      </c>
      <c r="AG67" s="82"/>
      <c r="AH67" s="173"/>
      <c r="AI67" s="133"/>
      <c r="AJ67" s="50" t="str">
        <f>IF(AND(SCS_B="Not Present",SCS_C&lt;&gt;"Not Present")=TRUE,"ERROR","")</f>
        <v/>
      </c>
      <c r="AK67" s="43" t="str">
        <f>IF(AND(SCS_B="Not Present",SCS_C&lt;&gt;"Not Present")=TRUE,"Select a soil type for Stratum B.","")</f>
        <v/>
      </c>
    </row>
    <row r="68" spans="1:37" ht="18.95" customHeight="1" thickTop="1">
      <c r="A68" s="101"/>
      <c r="B68" s="98" t="s">
        <v>193</v>
      </c>
      <c r="C68" s="170"/>
      <c r="D68" s="26" t="s">
        <v>185</v>
      </c>
      <c r="E68" s="26" t="s">
        <v>219</v>
      </c>
      <c r="F68" s="357">
        <v>0</v>
      </c>
      <c r="G68" s="67"/>
      <c r="H68" s="174"/>
      <c r="I68" s="133"/>
      <c r="J68" s="50" t="str">
        <f>IF(AND(SCS_C="Not Present",hSC&lt;&gt;"")=TRUE,"ERROR",(IF(hSA+hSB+hSC&gt;Ls,"ERROR",(IF(AND(Source="Groundwater",src_soil="Stratum C")=TRUE,IF(hSC&lt;hcz,"ERROR",""),"")))))</f>
        <v/>
      </c>
      <c r="K68" s="43" t="str">
        <f>IF(AND(SCS_C="Not Present",hSC&lt;&gt;"")=TRUE,"Stratum thickness must be BLANK if not present.",(IF(hSA+hSB+hSC&gt;Ls,"hSC must be &lt;= Ls - hSA - hSB.",(IF(AND(Source="Groundwater",src_soil="Stratum C")=TRUE,IF(hSC&lt;hcz,"hSC must be &gt;= hcz.",""),"")))))</f>
        <v/>
      </c>
      <c r="L68" s="38"/>
      <c r="AA68" s="101"/>
      <c r="AB68" s="98" t="s">
        <v>193</v>
      </c>
      <c r="AC68" s="170"/>
      <c r="AD68" s="26" t="s">
        <v>185</v>
      </c>
      <c r="AE68" s="26" t="s">
        <v>219</v>
      </c>
      <c r="AF68" s="357">
        <v>0</v>
      </c>
      <c r="AG68" s="67"/>
      <c r="AH68" s="174"/>
      <c r="AI68" s="133"/>
      <c r="AJ68" s="50" t="str">
        <f>IF(AND(SCS_C="Not Present",hSC&lt;&gt;"")=TRUE,"ERROR",(IF(hSA+hSB+hSC&gt;Ls,"ERROR",(IF(AND(Source="Groundwater",src_soil="Stratum C")=TRUE,IF(hSC&lt;hcz,"ERROR",""),"")))))</f>
        <v/>
      </c>
      <c r="AK68" s="43" t="str">
        <f>IF(AND(SCS_C="Not Present",hSC&lt;&gt;"")=TRUE,"Stratum thickness must be BLANK if not present.",(IF(hSA+hSB+hSC&gt;Ls,"hSC must be &lt;= Ls - hSA - hSB.",(IF(AND(Source="Groundwater",src_soil="Stratum C")=TRUE,IF(hSC&lt;hcz,"hSC must be &gt;= hcz.",""),"")))))</f>
        <v/>
      </c>
    </row>
    <row r="69" spans="1:37" ht="18.95" customHeight="1">
      <c r="A69" s="54"/>
      <c r="B69" s="100"/>
      <c r="C69" s="170" t="s">
        <v>194</v>
      </c>
      <c r="D69" s="26" t="s">
        <v>128</v>
      </c>
      <c r="E69" s="26" t="s">
        <v>220</v>
      </c>
      <c r="F69" s="610" t="str">
        <f>IF(INDEX(Total_Porosity,MATCH(SCS_C,Soil_Type2,0))=0,"",(INDEX(Total_Porosity,MATCH(SCS_C,Soil_Type2,0))))</f>
        <v/>
      </c>
      <c r="G69" s="82" t="str">
        <f>IF(INDEX(Total_Porosity,MATCH(SCS_C,Soil_Type2,0))=0,"",(INDEX(Total_Porosity,MATCH(SCS_C,Soil_Type2,0))))</f>
        <v/>
      </c>
      <c r="H69" s="134" t="s">
        <v>707</v>
      </c>
      <c r="I69" s="133" t="str">
        <f>IF(SCS_C="Not Present","NA",INDEX(SOIL_CV_DATA!$C:$C,MATCH(SCS_C,SOIL_CV_DATA!$A:$A,0)))</f>
        <v>NA</v>
      </c>
      <c r="J69" s="50" t="str">
        <f>IF(nSC&lt;&gt;G69,"WARNING","")</f>
        <v/>
      </c>
      <c r="K69" s="43" t="str">
        <f>IF(nSC&lt;&gt;G69,"Value is different from default value; please justify.","")</f>
        <v/>
      </c>
      <c r="L69" s="38"/>
      <c r="AA69" s="54"/>
      <c r="AB69" s="100"/>
      <c r="AC69" s="170" t="s">
        <v>194</v>
      </c>
      <c r="AD69" s="26" t="s">
        <v>128</v>
      </c>
      <c r="AE69" s="26" t="s">
        <v>220</v>
      </c>
      <c r="AF69" s="485" t="str">
        <f>IF(INDEX(Total_Porosity,MATCH(SCS_C,Soil_Type2,0))=0,"",(INDEX(Total_Porosity,MATCH(SCS_C,Soil_Type2,0))))</f>
        <v/>
      </c>
      <c r="AG69" s="82" t="str">
        <f>IF(INDEX(Total_Porosity,MATCH(SCS_C,Soil_Type2,0))=0,"",(INDEX(Total_Porosity,MATCH(SCS_C,Soil_Type2,0))))</f>
        <v/>
      </c>
      <c r="AH69" s="134" t="s">
        <v>707</v>
      </c>
      <c r="AI69" s="133" t="str">
        <f>IF(SCS_C="Not Present","NA",INDEX(SOIL_CV_DATA!$C:$C,MATCH(SCS_C,SOIL_CV_DATA!$A:$A,0)))</f>
        <v>NA</v>
      </c>
      <c r="AJ69" s="50" t="str">
        <f>IF(nSC&lt;&gt;AG69,"WARNING","")</f>
        <v/>
      </c>
      <c r="AK69" s="43" t="str">
        <f>IF(nSC&lt;&gt;AG69,"Value is different from default value; please justify.","")</f>
        <v/>
      </c>
    </row>
    <row r="70" spans="1:37" ht="18.95" customHeight="1">
      <c r="A70" s="101"/>
      <c r="B70" s="100"/>
      <c r="C70" s="170" t="s">
        <v>195</v>
      </c>
      <c r="D70" s="26" t="s">
        <v>128</v>
      </c>
      <c r="E70" s="26" t="s">
        <v>221</v>
      </c>
      <c r="F70" s="359" t="str">
        <f>IF(INDEX(Water_Porosity,MATCH(SCS_C,Soil_Type2,0))=0,"",(INDEX(Water_Porosity,MATCH(SCS_C,Soil_Type2,0))))</f>
        <v/>
      </c>
      <c r="G70" s="82" t="str">
        <f>IF(INDEX(Water_Porosity,MATCH(SCS_C,Soil_Type2,0))=0,"",(INDEX(Water_Porosity,MATCH(SCS_C,Soil_Type2,0))))</f>
        <v/>
      </c>
      <c r="H70" s="134" t="str">
        <f>IF(SCS_C="Not Present","NA",INDEX(SOIL_DATA!$N:$N,MATCH(SCS_C,SOIL_DATA!$A:$A,0)))</f>
        <v>NA</v>
      </c>
      <c r="I70" s="133" t="str">
        <f>IF(SCS_C="Not Present","NA",INDEX(SOIL_CV_DATA!$D:$D,MATCH(SCS_C,SOIL_CV_DATA!$A:$A,0)))</f>
        <v>NA</v>
      </c>
      <c r="J70" s="50" t="str">
        <f>IF(nwSC&lt;&gt;G70,"WARNING","")</f>
        <v/>
      </c>
      <c r="K70" s="43" t="str">
        <f>IF(nwSC&lt;&gt;G70,"Value is different from default value; please justify.","")</f>
        <v/>
      </c>
      <c r="L70" s="38"/>
      <c r="AA70" s="101"/>
      <c r="AB70" s="100"/>
      <c r="AC70" s="170" t="s">
        <v>195</v>
      </c>
      <c r="AD70" s="26" t="s">
        <v>128</v>
      </c>
      <c r="AE70" s="26" t="s">
        <v>221</v>
      </c>
      <c r="AF70" s="476" t="str">
        <f>IF(INDEX(Water_Porosity,MATCH(SCS_C,Soil_Type2,0))=0,"",(INDEX(Water_Porosity,MATCH(SCS_C,Soil_Type2,0))))</f>
        <v/>
      </c>
      <c r="AG70" s="82" t="str">
        <f>IF(INDEX(Water_Porosity,MATCH(SCS_C,Soil_Type2,0))=0,"",(INDEX(Water_Porosity,MATCH(SCS_C,Soil_Type2,0))))</f>
        <v/>
      </c>
      <c r="AH70" s="134" t="str">
        <f>IF(SCS_C="Not Present","NA",INDEX(SOIL_DATA!$N:$N,MATCH(SCS_C,SOIL_DATA!$A:$A,0)))</f>
        <v>NA</v>
      </c>
      <c r="AI70" s="133" t="str">
        <f>IF(SCS_C="Not Present","NA",INDEX(SOIL_CV_DATA!$D:$D,MATCH(SCS_C,SOIL_CV_DATA!$A:$A,0)))</f>
        <v>NA</v>
      </c>
      <c r="AJ70" s="50" t="str">
        <f>IF(nwSC&lt;&gt;AG70,"WARNING","")</f>
        <v/>
      </c>
      <c r="AK70" s="43" t="str">
        <f>IF(nwSC&lt;&gt;AG70,"Value is different from default value; please justify.","")</f>
        <v/>
      </c>
    </row>
    <row r="71" spans="1:37" ht="18.95" customHeight="1">
      <c r="A71" s="101"/>
      <c r="B71" s="100"/>
      <c r="C71" s="170" t="s">
        <v>196</v>
      </c>
      <c r="D71" s="86" t="s">
        <v>332</v>
      </c>
      <c r="E71" s="26" t="s">
        <v>222</v>
      </c>
      <c r="F71" s="359" t="str">
        <f>IF(INDEX(Bulk_Density,MATCH(SCS_C,Soil_Type2,0))=0,"",(INDEX(Bulk_Density,MATCH(SCS_C,Soil_Type2,0))))</f>
        <v/>
      </c>
      <c r="G71" s="82" t="str">
        <f>IF(INDEX(Bulk_Density,MATCH(SCS_C,Soil_Type2,0))=0,"",(INDEX(Bulk_Density,MATCH(SCS_C,Soil_Type2,0))))</f>
        <v/>
      </c>
      <c r="H71" s="134" t="s">
        <v>707</v>
      </c>
      <c r="I71" s="133" t="str">
        <f>IF(SCS_C="Not Present","NA",INDEX(SOIL_CV_DATA!$E:$E,MATCH(SCS_C,SOIL_CV_DATA!$A:$A,0)))</f>
        <v>NA</v>
      </c>
      <c r="J71" s="50" t="str">
        <f>IF(rhoSC&lt;&gt;G71,"WARNING","")</f>
        <v/>
      </c>
      <c r="K71" s="43" t="str">
        <f>IF(rhoSC&lt;&gt;G71,"Value is different from default value; please justify.","")</f>
        <v/>
      </c>
      <c r="L71" s="38"/>
      <c r="AA71" s="101"/>
      <c r="AB71" s="100"/>
      <c r="AC71" s="170" t="s">
        <v>196</v>
      </c>
      <c r="AD71" s="86" t="s">
        <v>1976</v>
      </c>
      <c r="AE71" s="26" t="s">
        <v>222</v>
      </c>
      <c r="AF71" s="359" t="str">
        <f>IF(INDEX(Bulk_Density,MATCH(SCS_C,Soil_Type2,0))=0,"",(INDEX(Bulk_Density,MATCH(SCS_C,Soil_Type2,0))))</f>
        <v/>
      </c>
      <c r="AG71" s="82" t="str">
        <f>IF(INDEX(Bulk_Density,MATCH(SCS_C,Soil_Type2,0))=0,"",(INDEX(Bulk_Density,MATCH(SCS_C,Soil_Type2,0))))</f>
        <v/>
      </c>
      <c r="AH71" s="134" t="s">
        <v>707</v>
      </c>
      <c r="AI71" s="133" t="str">
        <f>IF(SCS_C="Not Present","NA",INDEX(SOIL_CV_DATA!$E:$E,MATCH(SCS_C,SOIL_CV_DATA!$A:$A,0)))</f>
        <v>NA</v>
      </c>
      <c r="AJ71" s="50" t="str">
        <f>IF(rhoSC&lt;&gt;AG71,"WARNING","")</f>
        <v/>
      </c>
      <c r="AK71" s="43" t="str">
        <f>IF(rhoSC&lt;&gt;AG71,"Value is different from default value; please justify.","")</f>
        <v/>
      </c>
    </row>
    <row r="72" spans="1:37" ht="16.149999999999999" customHeight="1">
      <c r="A72" s="41" t="str">
        <f>IF(Source="Groundwater","Stratum directly above the water table","Stratum containing soil gas sample")</f>
        <v>Stratum directly above the water table</v>
      </c>
      <c r="B72" s="102"/>
      <c r="C72" s="170"/>
      <c r="D72" s="36"/>
      <c r="E72" s="36"/>
      <c r="F72" s="36"/>
      <c r="G72" s="36"/>
      <c r="H72" s="176"/>
      <c r="I72" s="206"/>
      <c r="J72" s="50" t="str">
        <f>IF(hSA+hSB+hSC&lt;Ls,"ERROR","")</f>
        <v/>
      </c>
      <c r="K72" s="943" t="str">
        <f>IF(hSA+hSB+hSC&lt;Ls,CONCATENATE("Sum of strata thicknesses must equal Ls (",IF(Source="Groundwater","Depth below grade to water table","Depth below grade to soil gas sample"),")"),"")</f>
        <v/>
      </c>
      <c r="L72" s="38"/>
      <c r="AA72" s="41" t="s">
        <v>1977</v>
      </c>
      <c r="AB72" s="102"/>
      <c r="AC72" s="170"/>
      <c r="AD72" s="36"/>
      <c r="AE72" s="36"/>
      <c r="AF72" s="36"/>
      <c r="AG72" s="36"/>
      <c r="AH72" s="176"/>
      <c r="AI72" s="206"/>
      <c r="AJ72" s="50" t="str">
        <f>IF(hSA+hSB+hSC&lt;Ls,"ERROR","")</f>
        <v/>
      </c>
      <c r="AK72" s="43" t="str">
        <f>IF(hSA+hSB+hSC&lt;Ls,CONCATENATE("Sum of strata thicknesses must equal Ls (",IF(Source="Groundwater","Depth below grade to water table","Depth below grade to soil gas sample"),")"),"")</f>
        <v/>
      </c>
    </row>
    <row r="73" spans="1:37" ht="18.95" customHeight="1">
      <c r="A73" s="41"/>
      <c r="B73" s="100"/>
      <c r="C73" s="170" t="s">
        <v>321</v>
      </c>
      <c r="D73" s="26"/>
      <c r="E73" s="26" t="s">
        <v>297</v>
      </c>
      <c r="F73" s="82" t="str">
        <f>IF(AND(SCS_B="Not Present",SCS_C="Not Present")=TRUE,"Stratum A",IF(AND(SCS_B&lt;&gt;"Not Present",SCS_C="Not Present")=TRUE,"Stratum B","Stratum C"))</f>
        <v>Stratum A</v>
      </c>
      <c r="G73" s="82"/>
      <c r="H73" s="173"/>
      <c r="I73" s="133"/>
      <c r="J73" s="50"/>
      <c r="K73" s="943"/>
      <c r="L73" s="38"/>
      <c r="AA73" s="41"/>
      <c r="AB73" s="100"/>
      <c r="AC73" s="170" t="s">
        <v>321</v>
      </c>
      <c r="AD73" s="26"/>
      <c r="AE73" s="26" t="s">
        <v>297</v>
      </c>
      <c r="AF73" s="82" t="str">
        <f>IF(AND(SCS_B="Not Present",SCS_C="Not Present")=TRUE,"Stratum A",IF(AND(SCS_B&lt;&gt;"Not Present",SCS_C="Not Present")=TRUE,"Stratum B","Stratum C"))</f>
        <v>Stratum A</v>
      </c>
      <c r="AG73" s="82"/>
      <c r="AH73" s="173"/>
      <c r="AI73" s="133"/>
      <c r="AJ73" s="50"/>
      <c r="AK73" s="43"/>
    </row>
    <row r="74" spans="1:37" ht="18.95" customHeight="1">
      <c r="A74" s="45"/>
      <c r="B74" s="580"/>
      <c r="C74" s="170" t="str">
        <f>IF(Source="Groundwater","Height of capillary fringe","")</f>
        <v>Height of capillary fringe</v>
      </c>
      <c r="D74" s="26" t="str">
        <f>IF(Source="Groundwater","(m)","")</f>
        <v>(m)</v>
      </c>
      <c r="E74" s="26" t="str">
        <f>IF(Source="Groundwater","hcz","")</f>
        <v>hcz</v>
      </c>
      <c r="F74" s="82">
        <f>IF(Source="Groundwater",((IF(src_soil="Stratum A",IF(INDEX(Capillary_height,MATCH(SCS_A,Soil_Type2,0))=0,"",(INDEX(Capillary_height,MATCH(SCS_A,Soil_Type2,0)))),IF(src_soil="Stratum B",IF(INDEX(Capillary_height,MATCH(SCS_B,Soil_Type2,0))=0,"",(INDEX(Capillary_height,MATCH(SCS_B,Soil_Type2,0)))),IF(INDEX(Capillary_height,MATCH(SCS_C,Soil_Type2,0))=0,"",(INDEX(Capillary_height,MATCH(SCS_C,Soil_Type2,0)))))))/100),"")</f>
        <v>0.17045454545454544</v>
      </c>
      <c r="G74" s="82">
        <f>IF(Source="Groundwater",((IF(src_soil="Stratum A",IF(INDEX(Capillary_height,MATCH(SCS_A,Soil_Type2,0))=0,"",(INDEX(Capillary_height,MATCH(SCS_A,Soil_Type2,0)))),IF(src_soil="Stratum B",IF(INDEX(Capillary_height,MATCH(SCS_B,Soil_Type2,0))=0,"",(INDEX(Capillary_height,MATCH(SCS_B,Soil_Type2,0)))),IF(INDEX(Capillary_height,MATCH(SCS_C,Soil_Type2,0))=0,"",(INDEX(Capillary_height,MATCH(SCS_C,Soil_Type2,0)))))))/100),"")</f>
        <v>0.17045454545454544</v>
      </c>
      <c r="H74" s="132" t="s">
        <v>707</v>
      </c>
      <c r="I74" s="133" t="s">
        <v>707</v>
      </c>
      <c r="J74" s="50" t="str">
        <f>IF(hcz&lt;&gt;G74,"WARNING","")</f>
        <v/>
      </c>
      <c r="K74" s="43" t="str">
        <f>IF(hcz&lt;&gt;G74,"Value is different from default value; please justify.","")</f>
        <v/>
      </c>
      <c r="L74" s="38"/>
      <c r="AA74" s="45"/>
      <c r="AB74" s="580"/>
      <c r="AC74" s="170" t="s">
        <v>43</v>
      </c>
      <c r="AD74" s="26" t="s">
        <v>43</v>
      </c>
      <c r="AE74" s="26" t="s">
        <v>43</v>
      </c>
      <c r="AF74" s="82">
        <f>IF(Source="Groundwater",((IF(src_soil="Stratum A",IF(INDEX(Capillary_height,MATCH(SCS_A,Soil_Type2,0))=0,"",(INDEX(Capillary_height,MATCH(SCS_A,Soil_Type2,0)))),IF(src_soil="Stratum B",IF(INDEX(Capillary_height,MATCH(SCS_B,Soil_Type2,0))=0,"",(INDEX(Capillary_height,MATCH(SCS_B,Soil_Type2,0)))),IF(INDEX(Capillary_height,MATCH(SCS_C,Soil_Type2,0))=0,"",(INDEX(Capillary_height,MATCH(SCS_C,Soil_Type2,0)))))))/100),"")</f>
        <v>0.17045454545454544</v>
      </c>
      <c r="AG74" s="82">
        <f>IF(Source="Groundwater",((IF(src_soil="Stratum A",IF(INDEX(Capillary_height,MATCH(SCS_A,Soil_Type2,0))=0,"",(INDEX(Capillary_height,MATCH(SCS_A,Soil_Type2,0)))),IF(src_soil="Stratum B",IF(INDEX(Capillary_height,MATCH(SCS_B,Soil_Type2,0))=0,"",(INDEX(Capillary_height,MATCH(SCS_B,Soil_Type2,0)))),IF(INDEX(Capillary_height,MATCH(SCS_C,Soil_Type2,0))=0,"",(INDEX(Capillary_height,MATCH(SCS_C,Soil_Type2,0)))))))/100),"")</f>
        <v>0.17045454545454544</v>
      </c>
      <c r="AH74" s="132" t="s">
        <v>707</v>
      </c>
      <c r="AI74" s="133" t="s">
        <v>707</v>
      </c>
      <c r="AJ74" s="50" t="str">
        <f>IF(hcz&lt;&gt;AG74,"WARNING","")</f>
        <v/>
      </c>
      <c r="AK74" s="43" t="str">
        <f>IF(hcz&lt;&gt;AG74,"Value is different from default value; please justify.","")</f>
        <v/>
      </c>
    </row>
    <row r="75" spans="1:37" ht="18.95" customHeight="1">
      <c r="A75" s="45"/>
      <c r="B75" s="580"/>
      <c r="C75" s="170" t="str">
        <f>IF(Source="Groundwater","Capillary zone total porosity","")</f>
        <v>Capillary zone total porosity</v>
      </c>
      <c r="D75" s="26" t="str">
        <f>IF(Source="Groundwater","(-)","")</f>
        <v>(-)</v>
      </c>
      <c r="E75" s="26" t="str">
        <f>IF(Source="Groundwater","ncz","")</f>
        <v>ncz</v>
      </c>
      <c r="F75" s="82">
        <f>IF(Source="Groundwater",(IF(src_soil="Stratum A",IF(INDEX(Total_Porosity,MATCH(SCS_A,Soil_Type2,0))=0,"",(INDEX(Total_Porosity,MATCH(SCS_A,Soil_Type2,0)))),IF(src_soil="Stratum B",IF(INDEX(Total_Porosity,MATCH(SCS_B,Soil_Type2,0))=0,"",(INDEX(Total_Porosity,MATCH(SCS_B,Soil_Type2,0)))),IF(INDEX(Total_Porosity,MATCH(SCS_C,Soil_Type2,0))=0,"",(INDEX(Total_Porosity,MATCH(SCS_C,Soil_Type2,0))))))),"")</f>
        <v>0.375</v>
      </c>
      <c r="G75" s="82">
        <f>IF(Source="Groundwater",(IF(src_soil="Stratum A",IF(INDEX(Total_Porosity,MATCH(SCS_A,Soil_Type2,0))=0,"",(INDEX(Total_Porosity,MATCH(SCS_A,Soil_Type2,0)))),IF(src_soil="Stratum B",IF(INDEX(Total_Porosity,MATCH(SCS_B,Soil_Type2,0))=0,"",(INDEX(Total_Porosity,MATCH(SCS_B,Soil_Type2,0)))),IF(INDEX(Total_Porosity,MATCH(SCS_C,Soil_Type2,0))=0,"",(INDEX(Total_Porosity,MATCH(SCS_C,Soil_Type2,0))))))),"")</f>
        <v>0.375</v>
      </c>
      <c r="H75" s="134" t="s">
        <v>707</v>
      </c>
      <c r="I75" s="133">
        <f>IF(Source="Groundwater",IF(src_soil="Stratum A",I57,IF(src_soil="Stratum B",I63,I69)),"")</f>
        <v>0.2</v>
      </c>
      <c r="J75" s="50" t="str">
        <f>IF(ncz&lt;&gt;G75,"WARNING","")</f>
        <v/>
      </c>
      <c r="K75" s="43" t="str">
        <f>IF(ncz&lt;&gt;G75,"Value is different from default value; please justify.","")</f>
        <v/>
      </c>
      <c r="L75" s="38"/>
      <c r="AA75" s="45"/>
      <c r="AB75" s="580"/>
      <c r="AC75" s="170" t="s">
        <v>43</v>
      </c>
      <c r="AD75" s="26" t="s">
        <v>43</v>
      </c>
      <c r="AE75" s="26" t="s">
        <v>43</v>
      </c>
      <c r="AF75" s="82">
        <f>IF(Source="Groundwater",(IF(src_soil="Stratum A",IF(INDEX(Total_Porosity,MATCH(SCS_A,Soil_Type2,0))=0,"",(INDEX(Total_Porosity,MATCH(SCS_A,Soil_Type2,0)))),IF(src_soil="Stratum B",IF(INDEX(Total_Porosity,MATCH(SCS_B,Soil_Type2,0))=0,"",(INDEX(Total_Porosity,MATCH(SCS_B,Soil_Type2,0)))),IF(INDEX(Total_Porosity,MATCH(SCS_C,Soil_Type2,0))=0,"",(INDEX(Total_Porosity,MATCH(SCS_C,Soil_Type2,0))))))),"")</f>
        <v>0.375</v>
      </c>
      <c r="AG75" s="82">
        <f>IF(Source="Groundwater",(IF(src_soil="Stratum A",IF(INDEX(Total_Porosity,MATCH(SCS_A,Soil_Type2,0))=0,"",(INDEX(Total_Porosity,MATCH(SCS_A,Soil_Type2,0)))),IF(src_soil="Stratum B",IF(INDEX(Total_Porosity,MATCH(SCS_B,Soil_Type2,0))=0,"",(INDEX(Total_Porosity,MATCH(SCS_B,Soil_Type2,0)))),IF(INDEX(Total_Porosity,MATCH(SCS_C,Soil_Type2,0))=0,"",(INDEX(Total_Porosity,MATCH(SCS_C,Soil_Type2,0))))))),"")</f>
        <v>0.375</v>
      </c>
      <c r="AH75" s="134" t="s">
        <v>707</v>
      </c>
      <c r="AI75" s="133">
        <f>IF(Source="Groundwater",IF(src_soil="Stratum A",AI57,IF(src_soil="Stratum B",AI63,AI69)),"")</f>
        <v>0.2</v>
      </c>
      <c r="AJ75" s="50" t="str">
        <f>IF(ncz&lt;&gt;AG75,"WARNING","")</f>
        <v/>
      </c>
      <c r="AK75" s="43" t="str">
        <f>IF(ncz&lt;&gt;AG75,"Value is different from default value; please justify.","")</f>
        <v/>
      </c>
    </row>
    <row r="76" spans="1:37" ht="18.95" customHeight="1">
      <c r="A76" s="73"/>
      <c r="B76" s="89"/>
      <c r="C76" s="90" t="str">
        <f>IF(Source="Groundwater","Capillary zone water filled porosity","")</f>
        <v>Capillary zone water filled porosity</v>
      </c>
      <c r="D76" s="76" t="str">
        <f>IF(Source="Groundwater","(-)","")</f>
        <v>(-)</v>
      </c>
      <c r="E76" s="76" t="str">
        <f>IF(Source="Groundwater","nwcz","")</f>
        <v>nwcz</v>
      </c>
      <c r="F76" s="91">
        <f>IF(Source="Groundwater",(IF(src_soil="Stratum A",IF(INDEX(Capillary_Water_Porosity_List,MATCH(SCS_A,Soil_Type2,0))=0,"",(INDEX(Capillary_Water_Porosity_List,MATCH(SCS_A,Soil_Type2,0)))),IF(src_soil="Stratum B",IF(INDEX(Capillary_Water_Porosity_List,MATCH(SCS_B,Soil_Type2,0))=0,"",(INDEX(Capillary_Water_Porosity_List,MATCH(SCS_B,Soil_Type2,0)))),IF(INDEX(Capillary_Water_Porosity_List,MATCH(SCS_C,Soil_Type2,0))=0,"",(INDEX(Capillary_Water_Porosity_List,MATCH(SCS_C,Soil_Type2,0))))))),"")</f>
        <v>0.25325811258744746</v>
      </c>
      <c r="G76" s="91">
        <f>IF(Source="Groundwater",(IF(src_soil="Stratum A",IF(INDEX(Capillary_Water_Porosity_List,MATCH(SCS_A,Soil_Type2,0))=0,"",(INDEX(Capillary_Water_Porosity_List,MATCH(SCS_A,Soil_Type2,0)))),IF(src_soil="Stratum B",IF(INDEX(Capillary_Water_Porosity_List,MATCH(SCS_B,Soil_Type2,0))=0,"",(INDEX(Capillary_Water_Porosity_List,MATCH(SCS_B,Soil_Type2,0)))),IF(INDEX(Capillary_Water_Porosity_List,MATCH(SCS_C,Soil_Type2,0))=0,"",(INDEX(Capillary_Water_Porosity_List,MATCH(SCS_C,Soil_Type2,0))))))),"")</f>
        <v>0.25325811258744746</v>
      </c>
      <c r="H76" s="217" t="s">
        <v>707</v>
      </c>
      <c r="I76" s="425">
        <f>IF(Source="Groundwater",IF(src_soil="Stratum A",INDEX(Soil_CV_Cap_WF_Porosity,MATCH(SCS_A,Soil_CV_Name,0)),IF(src_soil="Stratum B",INDEX(Soil_CV_Cap_WF_Porosity,MATCH(SCS_B,Soil_CV_Name,0)),INDEX(Soil_CV_Cap_WF_Porosity,MATCH(SCS_C,Soil_CV_Name,0)))),"")</f>
        <v>0.13953488372093023</v>
      </c>
      <c r="J76" s="71" t="str">
        <f>IF(nwcz&lt;&gt;G76,"WARNING","")</f>
        <v/>
      </c>
      <c r="K76" s="62" t="str">
        <f>IF(nwcz&lt;&gt;G76,"Value is different from default value; please justify.","")</f>
        <v/>
      </c>
      <c r="L76" s="38"/>
      <c r="AA76" s="73"/>
      <c r="AB76" s="89"/>
      <c r="AC76" s="90" t="s">
        <v>43</v>
      </c>
      <c r="AD76" s="76" t="s">
        <v>43</v>
      </c>
      <c r="AE76" s="76" t="s">
        <v>43</v>
      </c>
      <c r="AF76" s="91">
        <f>IF(Source="Groundwater",(IF(src_soil="Stratum A",IF(INDEX(Capillary_Water_Porosity_List,MATCH(SCS_A,Soil_Type2,0))=0,"",(INDEX(Capillary_Water_Porosity_List,MATCH(SCS_A,Soil_Type2,0)))),IF(src_soil="Stratum B",IF(INDEX(Capillary_Water_Porosity_List,MATCH(SCS_B,Soil_Type2,0))=0,"",(INDEX(Capillary_Water_Porosity_List,MATCH(SCS_B,Soil_Type2,0)))),IF(INDEX(Capillary_Water_Porosity_List,MATCH(SCS_C,Soil_Type2,0))=0,"",(INDEX(Capillary_Water_Porosity_List,MATCH(SCS_C,Soil_Type2,0))))))),"")</f>
        <v>0.25325811258744746</v>
      </c>
      <c r="AG76" s="91">
        <f>IF(Source="Groundwater",(IF(src_soil="Stratum A",IF(INDEX(Capillary_Water_Porosity_List,MATCH(SCS_A,Soil_Type2,0))=0,"",(INDEX(Capillary_Water_Porosity_List,MATCH(SCS_A,Soil_Type2,0)))),IF(src_soil="Stratum B",IF(INDEX(Capillary_Water_Porosity_List,MATCH(SCS_B,Soil_Type2,0))=0,"",(INDEX(Capillary_Water_Porosity_List,MATCH(SCS_B,Soil_Type2,0)))),IF(INDEX(Capillary_Water_Porosity_List,MATCH(SCS_C,Soil_Type2,0))=0,"",(INDEX(Capillary_Water_Porosity_List,MATCH(SCS_C,Soil_Type2,0))))))),"")</f>
        <v>0.25325811258744746</v>
      </c>
      <c r="AH76" s="217" t="s">
        <v>707</v>
      </c>
      <c r="AI76" s="425">
        <f>IF(Source="Groundwater",IF(src_soil="Stratum A",INDEX(Soil_CV_Cap_WF_Porosity,MATCH(SCS_A,Soil_CV_Name,0)),IF(src_soil="Stratum B",INDEX(Soil_CV_Cap_WF_Porosity,MATCH(SCS_B,Soil_CV_Name,0)),INDEX(Soil_CV_Cap_WF_Porosity,MATCH(SCS_C,Soil_CV_Name,0)))),"")</f>
        <v>0.13953488372093023</v>
      </c>
      <c r="AJ76" s="71" t="str">
        <f>IF(nwcz&lt;&gt;AG76,"WARNING","")</f>
        <v/>
      </c>
      <c r="AK76" s="62" t="str">
        <f>IF(nwcz&lt;&gt;AG76,"Value is different from default value; please justify.","")</f>
        <v/>
      </c>
    </row>
    <row r="77" spans="1:37" ht="36.6" customHeight="1">
      <c r="A77" s="701" t="s">
        <v>209</v>
      </c>
      <c r="B77" s="88"/>
      <c r="C77" s="88"/>
      <c r="D77" s="324" t="s">
        <v>136</v>
      </c>
      <c r="E77" s="324" t="s">
        <v>137</v>
      </c>
      <c r="F77" s="139" t="s">
        <v>267</v>
      </c>
      <c r="G77" s="324" t="s">
        <v>288</v>
      </c>
      <c r="H77" s="712" t="s">
        <v>2355</v>
      </c>
      <c r="I77" s="324" t="s">
        <v>338</v>
      </c>
      <c r="J77" s="324" t="s">
        <v>319</v>
      </c>
      <c r="K77" s="325" t="s">
        <v>320</v>
      </c>
      <c r="L77" s="38"/>
      <c r="AA77" s="148" t="s">
        <v>209</v>
      </c>
      <c r="AB77" s="40"/>
      <c r="AC77" s="40"/>
      <c r="AD77" s="139" t="s">
        <v>136</v>
      </c>
      <c r="AE77" s="139" t="s">
        <v>137</v>
      </c>
      <c r="AF77" s="139" t="s">
        <v>267</v>
      </c>
      <c r="AG77" s="139" t="s">
        <v>288</v>
      </c>
      <c r="AH77" s="150" t="s">
        <v>337</v>
      </c>
      <c r="AI77" s="150" t="s">
        <v>338</v>
      </c>
      <c r="AJ77" s="139" t="s">
        <v>319</v>
      </c>
      <c r="AK77" s="325" t="s">
        <v>320</v>
      </c>
    </row>
    <row r="78" spans="1:37" ht="18.600000000000001" customHeight="1">
      <c r="A78" s="45"/>
      <c r="B78" s="51" t="s">
        <v>148</v>
      </c>
      <c r="C78" s="36"/>
      <c r="D78" s="26" t="s">
        <v>128</v>
      </c>
      <c r="E78" s="26" t="s">
        <v>275</v>
      </c>
      <c r="F78" s="361">
        <v>9.9999999999999995E-7</v>
      </c>
      <c r="G78" s="46">
        <v>9.9999999999999995E-7</v>
      </c>
      <c r="H78" s="129" t="s">
        <v>707</v>
      </c>
      <c r="I78" s="207" t="s">
        <v>707</v>
      </c>
      <c r="J78" s="50" t="str">
        <f>IF(Target_CR&lt;&gt;G78,"WARNING","")</f>
        <v/>
      </c>
      <c r="K78" s="43" t="str">
        <f>IF(Target_CR&lt;&gt;G78,"Value is different from default value; please justify.","")</f>
        <v/>
      </c>
      <c r="L78" s="38"/>
      <c r="AA78" s="45"/>
      <c r="AB78" s="51" t="s">
        <v>148</v>
      </c>
      <c r="AC78" s="36"/>
      <c r="AD78" s="26" t="s">
        <v>128</v>
      </c>
      <c r="AE78" s="26" t="s">
        <v>275</v>
      </c>
      <c r="AF78" s="361">
        <v>9.9999999999999995E-7</v>
      </c>
      <c r="AG78" s="46">
        <v>9.9999999999999995E-7</v>
      </c>
      <c r="AH78" s="129" t="s">
        <v>707</v>
      </c>
      <c r="AI78" s="207" t="s">
        <v>707</v>
      </c>
      <c r="AJ78" s="50" t="str">
        <f>IF(Target_CR&lt;&gt;AG78,"WARNING","")</f>
        <v/>
      </c>
      <c r="AK78" s="43" t="str">
        <f>IF(Target_CR&lt;&gt;AG78,"Value is different from default value; please justify.","")</f>
        <v/>
      </c>
    </row>
    <row r="79" spans="1:37" ht="18.600000000000001" customHeight="1">
      <c r="A79" s="45"/>
      <c r="B79" s="926" t="s">
        <v>334</v>
      </c>
      <c r="C79" s="926"/>
      <c r="D79" s="26" t="s">
        <v>128</v>
      </c>
      <c r="E79" s="26" t="s">
        <v>276</v>
      </c>
      <c r="F79" s="352">
        <v>1</v>
      </c>
      <c r="G79" s="137">
        <v>1</v>
      </c>
      <c r="H79" s="218" t="s">
        <v>707</v>
      </c>
      <c r="I79" s="207" t="s">
        <v>707</v>
      </c>
      <c r="J79" s="50" t="str">
        <f>IF(Target_HQ&lt;&gt;G79,"WARNING","")</f>
        <v/>
      </c>
      <c r="K79" s="43" t="str">
        <f>IF(Target_HQ&lt;&gt;G79,"Value is different from default value; please justify.","")</f>
        <v/>
      </c>
      <c r="L79" s="38"/>
      <c r="AA79" s="45"/>
      <c r="AB79" s="926" t="s">
        <v>334</v>
      </c>
      <c r="AC79" s="926"/>
      <c r="AD79" s="26" t="s">
        <v>128</v>
      </c>
      <c r="AE79" s="26" t="s">
        <v>276</v>
      </c>
      <c r="AF79" s="352">
        <v>1</v>
      </c>
      <c r="AG79" s="137">
        <v>1</v>
      </c>
      <c r="AH79" s="218" t="s">
        <v>707</v>
      </c>
      <c r="AI79" s="207" t="s">
        <v>707</v>
      </c>
      <c r="AJ79" s="50" t="str">
        <f>IF(Target_HQ&lt;&gt;AG79,"WARNING","")</f>
        <v/>
      </c>
      <c r="AK79" s="43" t="str">
        <f>IF(Target_HQ&lt;&gt;AG79,"Value is different from default value; please justify.","")</f>
        <v/>
      </c>
    </row>
    <row r="80" spans="1:37" ht="18.95" customHeight="1">
      <c r="A80" s="45"/>
      <c r="B80" s="36" t="s">
        <v>149</v>
      </c>
      <c r="C80" s="36"/>
      <c r="D80" s="26"/>
      <c r="E80" s="26" t="s">
        <v>224</v>
      </c>
      <c r="F80" s="26" t="str">
        <f>Bldg_Setting</f>
        <v>Residential</v>
      </c>
      <c r="G80" s="138" t="str">
        <f>Scenario</f>
        <v>Residential</v>
      </c>
      <c r="H80" s="219"/>
      <c r="I80" s="207"/>
      <c r="J80" s="42"/>
      <c r="K80" s="43"/>
      <c r="L80" s="38"/>
      <c r="AA80" s="45"/>
      <c r="AB80" s="36" t="s">
        <v>149</v>
      </c>
      <c r="AC80" s="36"/>
      <c r="AD80" s="26"/>
      <c r="AE80" s="26" t="s">
        <v>224</v>
      </c>
      <c r="AF80" s="26" t="str">
        <f>Bldg_Setting</f>
        <v>Residential</v>
      </c>
      <c r="AG80" s="138" t="str">
        <f>Scenario</f>
        <v>Residential</v>
      </c>
      <c r="AH80" s="219"/>
      <c r="AI80" s="207"/>
      <c r="AJ80" s="42"/>
      <c r="AK80" s="43"/>
    </row>
    <row r="81" spans="1:38" ht="18.95" customHeight="1">
      <c r="A81" s="45"/>
      <c r="B81" s="36" t="s">
        <v>143</v>
      </c>
      <c r="C81" s="36"/>
      <c r="D81" s="93" t="s">
        <v>11</v>
      </c>
      <c r="E81" s="93" t="s">
        <v>228</v>
      </c>
      <c r="F81" s="137">
        <f>IF(Scenario="Residential",VLOOKUP($E$81,EXPOSURE_DATA!$C$2:$E$6,2,FALSE),VLOOKUP($E$81,EXPOSURE_DATA!$C$2:$E$6,3,FALSE))</f>
        <v>70</v>
      </c>
      <c r="G81" s="137">
        <f>IF(Scenario="Residential",VLOOKUP($E$81,EXPOSURE_DATA!$C$2:$E$6,2,FALSE),VLOOKUP($E$81,EXPOSURE_DATA!$C$2:$E$6,3,FALSE))</f>
        <v>70</v>
      </c>
      <c r="H81" s="218" t="s">
        <v>707</v>
      </c>
      <c r="I81" s="207" t="s">
        <v>707</v>
      </c>
      <c r="J81" s="50" t="str">
        <f>IF(ATc&lt;&gt;G81,"WARNING","")</f>
        <v/>
      </c>
      <c r="K81" s="43" t="str">
        <f>IF(ATc&lt;&gt;G81,"Value is different from default value; please justify.","")</f>
        <v/>
      </c>
      <c r="L81" s="38"/>
      <c r="AA81" s="45"/>
      <c r="AB81" s="36" t="s">
        <v>143</v>
      </c>
      <c r="AC81" s="36"/>
      <c r="AD81" s="93" t="s">
        <v>11</v>
      </c>
      <c r="AE81" s="93" t="s">
        <v>228</v>
      </c>
      <c r="AF81" s="137">
        <f>IF(Scenario="Residential",VLOOKUP($E$81,EXPOSURE_DATA!$C$2:$E$6,2,FALSE),VLOOKUP($E$81,EXPOSURE_DATA!$C$2:$E$6,3,FALSE))</f>
        <v>70</v>
      </c>
      <c r="AG81" s="137">
        <f>IF(Scenario="Residential",VLOOKUP($E$81,EXPOSURE_DATA!$C$2:$E$6,2,FALSE),VLOOKUP($E$81,EXPOSURE_DATA!$C$2:$E$6,3,FALSE))</f>
        <v>70</v>
      </c>
      <c r="AH81" s="218" t="s">
        <v>707</v>
      </c>
      <c r="AI81" s="207" t="s">
        <v>707</v>
      </c>
      <c r="AJ81" s="50" t="str">
        <f>IF(ATc&lt;&gt;AG81,"WARNING","")</f>
        <v/>
      </c>
      <c r="AK81" s="43" t="str">
        <f>IF(ATc&lt;&gt;AG81,"Value is different from default value; please justify.","")</f>
        <v/>
      </c>
    </row>
    <row r="82" spans="1:38" ht="18.95" customHeight="1">
      <c r="A82" s="44"/>
      <c r="B82" s="170" t="s">
        <v>144</v>
      </c>
      <c r="C82" s="170"/>
      <c r="D82" s="93" t="s">
        <v>11</v>
      </c>
      <c r="E82" s="93" t="s">
        <v>229</v>
      </c>
      <c r="F82" s="137">
        <f>IF(Scenario="Residential",VLOOKUP($E$82,EXPOSURE_DATA!$C$2:$E$6,2,FALSE),VLOOKUP($E$82,EXPOSURE_DATA!$C$2:$E$6,3,FALSE))</f>
        <v>26</v>
      </c>
      <c r="G82" s="137">
        <f>IF(Scenario="Residential",VLOOKUP($E$82,EXPOSURE_DATA!$C$2:$E$6,2,FALSE),VLOOKUP($E$82,EXPOSURE_DATA!$C$2:$E$6,3,FALSE))</f>
        <v>26</v>
      </c>
      <c r="H82" s="218" t="s">
        <v>707</v>
      </c>
      <c r="I82" s="207" t="s">
        <v>707</v>
      </c>
      <c r="J82" s="50" t="str">
        <f>IF(ATnc&lt;&gt;G82,"WARNING","")</f>
        <v/>
      </c>
      <c r="K82" s="43" t="str">
        <f>IF(ATnc&lt;&gt;G82,"Value is different from default value; please justify.","")</f>
        <v/>
      </c>
      <c r="L82" s="38"/>
      <c r="AA82" s="44"/>
      <c r="AB82" s="170" t="s">
        <v>144</v>
      </c>
      <c r="AC82" s="170"/>
      <c r="AD82" s="93" t="s">
        <v>11</v>
      </c>
      <c r="AE82" s="93" t="s">
        <v>229</v>
      </c>
      <c r="AF82" s="137">
        <f>IF(Scenario="Residential",VLOOKUP($E$82,EXPOSURE_DATA!$C$2:$E$6,2,FALSE),VLOOKUP($E$82,EXPOSURE_DATA!$C$2:$E$6,3,FALSE))</f>
        <v>26</v>
      </c>
      <c r="AG82" s="137">
        <f>IF(Scenario="Residential",VLOOKUP($E$82,EXPOSURE_DATA!$C$2:$E$6,2,FALSE),VLOOKUP($E$82,EXPOSURE_DATA!$C$2:$E$6,3,FALSE))</f>
        <v>26</v>
      </c>
      <c r="AH82" s="218" t="s">
        <v>707</v>
      </c>
      <c r="AI82" s="207" t="s">
        <v>707</v>
      </c>
      <c r="AJ82" s="50" t="str">
        <f>IF(ATnc&lt;&gt;AG82,"WARNING","")</f>
        <v/>
      </c>
      <c r="AK82" s="43" t="str">
        <f>IF(ATnc&lt;&gt;AG82,"Value is different from default value; please justify.","")</f>
        <v/>
      </c>
    </row>
    <row r="83" spans="1:38" ht="18.95" customHeight="1">
      <c r="A83" s="47"/>
      <c r="B83" s="36" t="s">
        <v>145</v>
      </c>
      <c r="C83" s="36"/>
      <c r="D83" s="26" t="s">
        <v>11</v>
      </c>
      <c r="E83" s="26" t="s">
        <v>9</v>
      </c>
      <c r="F83" s="607">
        <f>IF(Scenario="Residential",VLOOKUP($E$83,EXPOSURE_DATA!$C$2:$E$6,2,FALSE),VLOOKUP($E$83,EXPOSURE_DATA!$C$2:$E$6,3,FALSE))</f>
        <v>26</v>
      </c>
      <c r="G83" s="137">
        <f>IF(Scenario="Residential",VLOOKUP($E$83,EXPOSURE_DATA!$C$2:$E$6,2,FALSE),VLOOKUP($E$83,EXPOSURE_DATA!$C$2:$E$6,3,FALSE))</f>
        <v>26</v>
      </c>
      <c r="H83" s="218" t="s">
        <v>707</v>
      </c>
      <c r="I83" s="207" t="s">
        <v>707</v>
      </c>
      <c r="J83" s="50" t="str">
        <f>IF(ED&lt;&gt;G83,"WARNING","")</f>
        <v/>
      </c>
      <c r="K83" s="43" t="str">
        <f>IF(ED&lt;&gt;G83,"Value is different from default value; please justify.","")</f>
        <v/>
      </c>
      <c r="L83" s="38"/>
      <c r="AA83" s="47"/>
      <c r="AB83" s="36" t="s">
        <v>145</v>
      </c>
      <c r="AC83" s="36"/>
      <c r="AD83" s="26" t="s">
        <v>11</v>
      </c>
      <c r="AE83" s="26" t="s">
        <v>9</v>
      </c>
      <c r="AF83" s="137">
        <f>IF(Scenario="Residential",VLOOKUP($E$83,EXPOSURE_DATA!$C$2:$E$6,2,FALSE),VLOOKUP($E$83,EXPOSURE_DATA!$C$2:$E$6,3,FALSE))</f>
        <v>26</v>
      </c>
      <c r="AG83" s="137">
        <f>IF(Scenario="Residential",VLOOKUP($E$83,EXPOSURE_DATA!$C$2:$E$6,2,FALSE),VLOOKUP($E$83,EXPOSURE_DATA!$C$2:$E$6,3,FALSE))</f>
        <v>26</v>
      </c>
      <c r="AH83" s="218" t="s">
        <v>707</v>
      </c>
      <c r="AI83" s="207" t="s">
        <v>707</v>
      </c>
      <c r="AJ83" s="50" t="str">
        <f>IF(ED&lt;&gt;AG83,"WARNING","")</f>
        <v/>
      </c>
      <c r="AK83" s="43" t="str">
        <f>IF(ED&lt;&gt;AG83,"Value is different from default value; please justify.","")</f>
        <v/>
      </c>
    </row>
    <row r="84" spans="1:38" ht="18.95" customHeight="1">
      <c r="A84" s="45"/>
      <c r="B84" s="36" t="s">
        <v>147</v>
      </c>
      <c r="C84" s="36"/>
      <c r="D84" s="26" t="s">
        <v>12</v>
      </c>
      <c r="E84" s="26" t="s">
        <v>10</v>
      </c>
      <c r="F84" s="607">
        <f>IF(Scenario="Residential",VLOOKUP($E$84,EXPOSURE_DATA!$C$2:$E$6,2,FALSE),VLOOKUP($E$84,EXPOSURE_DATA!$C$2:$E$6,3,FALSE))</f>
        <v>350</v>
      </c>
      <c r="G84" s="137">
        <f>IF(Scenario="Residential",VLOOKUP($E$84,EXPOSURE_DATA!$C$2:$E$6,2,FALSE),VLOOKUP($E$84,EXPOSURE_DATA!$C$2:$E$6,3,FALSE))</f>
        <v>350</v>
      </c>
      <c r="H84" s="218" t="s">
        <v>707</v>
      </c>
      <c r="I84" s="207" t="s">
        <v>707</v>
      </c>
      <c r="J84" s="50" t="str">
        <f>IF(EF&lt;&gt;G84,"WARNING","")</f>
        <v/>
      </c>
      <c r="K84" s="43" t="str">
        <f>IF(EF&lt;&gt;G84,"Value is different from default value; please justify.","")</f>
        <v/>
      </c>
      <c r="L84" s="38"/>
      <c r="AA84" s="45"/>
      <c r="AB84" s="36" t="s">
        <v>147</v>
      </c>
      <c r="AC84" s="36"/>
      <c r="AD84" s="26" t="s">
        <v>12</v>
      </c>
      <c r="AE84" s="26" t="s">
        <v>10</v>
      </c>
      <c r="AF84" s="137">
        <f>IF(Scenario="Residential",VLOOKUP($E$84,EXPOSURE_DATA!$C$2:$E$6,2,FALSE),VLOOKUP($E$84,EXPOSURE_DATA!$C$2:$E$6,3,FALSE))</f>
        <v>350</v>
      </c>
      <c r="AG84" s="137">
        <f>IF(Scenario="Residential",VLOOKUP($E$84,EXPOSURE_DATA!$C$2:$E$6,2,FALSE),VLOOKUP($E$84,EXPOSURE_DATA!$C$2:$E$6,3,FALSE))</f>
        <v>350</v>
      </c>
      <c r="AH84" s="218" t="s">
        <v>707</v>
      </c>
      <c r="AI84" s="207" t="s">
        <v>707</v>
      </c>
      <c r="AJ84" s="50" t="str">
        <f>IF(EF&lt;&gt;AG84,"WARNING","")</f>
        <v/>
      </c>
      <c r="AK84" s="43" t="str">
        <f>IF(EF&lt;&gt;AG84,"Value is different from default value; please justify.","")</f>
        <v/>
      </c>
    </row>
    <row r="85" spans="1:38" ht="18.95" customHeight="1">
      <c r="A85" s="45"/>
      <c r="B85" s="36" t="s">
        <v>225</v>
      </c>
      <c r="C85" s="36"/>
      <c r="D85" s="26" t="s">
        <v>226</v>
      </c>
      <c r="E85" s="26" t="s">
        <v>227</v>
      </c>
      <c r="F85" s="607">
        <f>IF(Scenario="Residential",VLOOKUP($E$85,EXPOSURE_DATA!$C$2:$E$6,2,FALSE),VLOOKUP($E$85,EXPOSURE_DATA!$C$2:$E$6,3,FALSE))</f>
        <v>24</v>
      </c>
      <c r="G85" s="137">
        <f>IF(Scenario="Residential",VLOOKUP($E$85,EXPOSURE_DATA!$C$2:$E$6,2,FALSE),VLOOKUP($E$85,EXPOSURE_DATA!$C$2:$E$6,3,FALSE))</f>
        <v>24</v>
      </c>
      <c r="H85" s="218" t="s">
        <v>707</v>
      </c>
      <c r="I85" s="207" t="s">
        <v>707</v>
      </c>
      <c r="J85" s="50" t="str">
        <f>IF(ET&lt;&gt;G85,"WARNING","")</f>
        <v/>
      </c>
      <c r="K85" s="43" t="str">
        <f>IF(ET&lt;&gt;G85,"Value is different from default value; please justify.","")</f>
        <v/>
      </c>
      <c r="L85" s="38"/>
      <c r="AA85" s="45"/>
      <c r="AB85" s="36" t="s">
        <v>225</v>
      </c>
      <c r="AC85" s="36"/>
      <c r="AD85" s="26" t="s">
        <v>226</v>
      </c>
      <c r="AE85" s="26" t="s">
        <v>227</v>
      </c>
      <c r="AF85" s="137">
        <f>IF(Scenario="Residential",VLOOKUP($E$85,EXPOSURE_DATA!$C$2:$E$6,2,FALSE),VLOOKUP($E$85,EXPOSURE_DATA!$C$2:$E$6,3,FALSE))</f>
        <v>24</v>
      </c>
      <c r="AG85" s="137">
        <f>IF(Scenario="Residential",VLOOKUP($E$85,EXPOSURE_DATA!$C$2:$E$6,2,FALSE),VLOOKUP($E$85,EXPOSURE_DATA!$C$2:$E$6,3,FALSE))</f>
        <v>24</v>
      </c>
      <c r="AH85" s="218" t="s">
        <v>707</v>
      </c>
      <c r="AI85" s="207" t="s">
        <v>707</v>
      </c>
      <c r="AJ85" s="50" t="str">
        <f>IF(ET&lt;&gt;AG85,"WARNING","")</f>
        <v/>
      </c>
      <c r="AK85" s="43" t="str">
        <f>IF(ET&lt;&gt;AG85,"Value is different from default value; please justify.","")</f>
        <v/>
      </c>
    </row>
    <row r="86" spans="1:38" ht="18.95" customHeight="1">
      <c r="A86" s="73"/>
      <c r="B86" s="74" t="s">
        <v>1786</v>
      </c>
      <c r="C86" s="74"/>
      <c r="D86" s="76" t="s">
        <v>11</v>
      </c>
      <c r="E86" s="76" t="s">
        <v>1784</v>
      </c>
      <c r="F86" s="609">
        <f>EXPOSURE_DATA!$D$7</f>
        <v>72</v>
      </c>
      <c r="G86" s="608">
        <f>EXPOSURE_DATA!$D$7</f>
        <v>72</v>
      </c>
      <c r="H86" s="220" t="s">
        <v>707</v>
      </c>
      <c r="I86" s="209" t="s">
        <v>707</v>
      </c>
      <c r="J86" s="71" t="str">
        <f>IF(MUT="No", "NOTE", "")</f>
        <v>NOTE</v>
      </c>
      <c r="K86" s="62" t="str">
        <f>IF(MUT="No", "MMOAF not relevant for non-mutagenic compounds", "MMOAF used in place of ED in risk calculations")</f>
        <v>MMOAF not relevant for non-mutagenic compounds</v>
      </c>
      <c r="L86" s="38"/>
      <c r="AA86" s="73"/>
      <c r="AB86" s="74" t="s">
        <v>1786</v>
      </c>
      <c r="AC86" s="74"/>
      <c r="AD86" s="76" t="s">
        <v>11</v>
      </c>
      <c r="AE86" s="76" t="s">
        <v>1784</v>
      </c>
      <c r="AF86" s="404">
        <f>EXPOSURE_DATA!$D$7</f>
        <v>72</v>
      </c>
      <c r="AG86" s="404">
        <f>EXPOSURE_DATA!$D$7</f>
        <v>72</v>
      </c>
      <c r="AH86" s="220" t="s">
        <v>707</v>
      </c>
      <c r="AI86" s="209" t="s">
        <v>707</v>
      </c>
      <c r="AJ86" s="71" t="str">
        <f>IF(MUT="No", "NOTE", "")</f>
        <v>NOTE</v>
      </c>
      <c r="AK86" s="62" t="str">
        <f>IF(MUT="No", "MMOAF not relevant for non-mutagenic compounds", "MMOAF used in place of ED in risk calculations")</f>
        <v>MMOAF not relevant for non-mutagenic compounds</v>
      </c>
    </row>
    <row r="87" spans="1:38" ht="13.9" customHeight="1">
      <c r="A87" s="36"/>
      <c r="B87" s="36"/>
      <c r="C87" s="36"/>
      <c r="D87" s="26"/>
      <c r="E87" s="26"/>
      <c r="F87" s="137"/>
      <c r="G87" s="946"/>
      <c r="H87" s="946"/>
      <c r="I87" s="687"/>
      <c r="J87" s="50"/>
      <c r="K87" s="50"/>
      <c r="L87" s="38"/>
      <c r="AA87" s="36"/>
      <c r="AB87" s="36"/>
      <c r="AC87" s="36"/>
      <c r="AD87" s="26"/>
      <c r="AE87" s="26"/>
      <c r="AF87" s="137"/>
      <c r="AG87" s="925" t="s">
        <v>1691</v>
      </c>
      <c r="AH87" s="925"/>
      <c r="AI87" s="403" t="e">
        <f>SQRT(SUMSQ(AI10:AI14,AI17:AI22,AI24:AI29,AJ36:AJ46,AI54:AI76,AI78:AI86))</f>
        <v>#REF!</v>
      </c>
      <c r="AJ87" s="50" t="e">
        <f>IF(OR(AI24,AI25,AI28,AI29)="NA","WARNING", "")</f>
        <v>#REF!</v>
      </c>
      <c r="AK87" s="50" t="e">
        <f>IF(OR(AI24,AI25,AI28,AI29)="NA","Chemical property CV values not available for this chemical.", "")</f>
        <v>#REF!</v>
      </c>
    </row>
    <row r="88" spans="1:38" ht="15" customHeight="1">
      <c r="A88" s="21" t="str">
        <f>$A$5</f>
        <v xml:space="preserve"> </v>
      </c>
      <c r="B88" s="22"/>
      <c r="G88" s="146"/>
      <c r="H88" s="163"/>
      <c r="I88" s="146"/>
      <c r="L88" s="95"/>
      <c r="M88" s="96"/>
      <c r="N88" s="34"/>
      <c r="O88" s="34"/>
      <c r="P88" s="97"/>
      <c r="Q88" s="97"/>
      <c r="R88" s="34"/>
      <c r="S88" s="96"/>
      <c r="AA88" s="21" t="str">
        <f>$A$5</f>
        <v xml:space="preserve"> </v>
      </c>
      <c r="AB88" s="22"/>
    </row>
    <row r="89" spans="1:38" ht="19.899999999999999" customHeight="1">
      <c r="A89" s="102"/>
      <c r="B89" s="322"/>
      <c r="I89" s="422"/>
      <c r="J89" s="941" t="s">
        <v>2354</v>
      </c>
      <c r="K89" s="941"/>
      <c r="L89" s="709"/>
      <c r="M89" s="709"/>
      <c r="N89" s="709"/>
      <c r="O89" s="709"/>
      <c r="P89" s="709"/>
      <c r="Q89" s="709"/>
      <c r="R89" s="709"/>
      <c r="AA89" s="102"/>
      <c r="AB89" s="322"/>
      <c r="AI89" s="422"/>
    </row>
    <row r="90" spans="1:38" ht="15" customHeight="1">
      <c r="A90" s="21" t="s">
        <v>1779</v>
      </c>
      <c r="B90" s="35"/>
      <c r="D90" s="724" t="s">
        <v>1777</v>
      </c>
      <c r="F90" s="725" t="str">
        <f>Name_and_run</f>
        <v>Example, Run 1</v>
      </c>
      <c r="G90" s="94"/>
      <c r="I90" s="94"/>
      <c r="J90" s="941"/>
      <c r="K90" s="941"/>
      <c r="L90" s="709"/>
      <c r="M90" s="709"/>
      <c r="N90" s="709"/>
      <c r="O90" s="709"/>
      <c r="P90" s="726" t="s">
        <v>2357</v>
      </c>
      <c r="Q90" s="726" t="s">
        <v>2358</v>
      </c>
      <c r="R90" s="726" t="s">
        <v>2359</v>
      </c>
      <c r="S90" s="727" t="s">
        <v>2360</v>
      </c>
      <c r="AA90" s="21" t="s">
        <v>1779</v>
      </c>
      <c r="AB90" s="35"/>
      <c r="AD90" s="394" t="s">
        <v>1777</v>
      </c>
      <c r="AF90" s="94"/>
      <c r="AG90" s="94"/>
      <c r="AI90" s="94"/>
    </row>
    <row r="91" spans="1:38" ht="15" customHeight="1">
      <c r="A91" s="21"/>
      <c r="B91" s="98" t="str">
        <f>"Chemical Name:"&amp;"   "&amp;$F$17&amp;"     CAS No. "&amp;CAS</f>
        <v>Chemical Name:   Acetaldehyde     CAS No. 75-07-0</v>
      </c>
      <c r="D91" s="94"/>
      <c r="F91" s="611"/>
      <c r="G91" s="94"/>
      <c r="I91" s="94"/>
      <c r="J91" s="942"/>
      <c r="K91" s="942"/>
      <c r="L91" s="709"/>
      <c r="M91" s="709"/>
      <c r="N91" s="709"/>
      <c r="O91" s="709"/>
      <c r="P91" s="709"/>
      <c r="Q91" s="709"/>
      <c r="R91" s="709"/>
      <c r="AA91" s="21"/>
      <c r="AB91" s="98" t="str">
        <f>"Chemical Name:"&amp;"   "&amp;$F$17&amp;"     CAS No. "&amp;CAS</f>
        <v>Chemical Name:   Acetaldehyde     CAS No. 75-07-0</v>
      </c>
      <c r="AD91" s="94"/>
      <c r="AF91" s="94"/>
      <c r="AG91" s="94"/>
      <c r="AI91" s="94"/>
    </row>
    <row r="92" spans="1:38" ht="18">
      <c r="A92" s="708" t="s">
        <v>298</v>
      </c>
      <c r="B92" s="88"/>
      <c r="C92" s="88"/>
      <c r="D92" s="88"/>
      <c r="E92" s="735" t="s">
        <v>136</v>
      </c>
      <c r="F92" s="735" t="s">
        <v>137</v>
      </c>
      <c r="G92" s="735" t="s">
        <v>267</v>
      </c>
      <c r="H92" s="735" t="s">
        <v>337</v>
      </c>
      <c r="I92" s="735" t="s">
        <v>288</v>
      </c>
      <c r="J92" s="735" t="s">
        <v>2363</v>
      </c>
      <c r="K92" s="735" t="s">
        <v>319</v>
      </c>
      <c r="L92" s="736" t="s">
        <v>320</v>
      </c>
      <c r="M92" s="157"/>
      <c r="AB92" s="39" t="s">
        <v>298</v>
      </c>
      <c r="AC92" s="40"/>
      <c r="AD92" s="40"/>
      <c r="AE92" s="40"/>
      <c r="AF92" s="139" t="s">
        <v>136</v>
      </c>
      <c r="AG92" s="139" t="s">
        <v>137</v>
      </c>
      <c r="AH92" s="139" t="s">
        <v>267</v>
      </c>
      <c r="AI92" s="139" t="s">
        <v>288</v>
      </c>
      <c r="AJ92" s="139"/>
      <c r="AK92" s="139" t="s">
        <v>319</v>
      </c>
      <c r="AL92" s="149" t="s">
        <v>320</v>
      </c>
    </row>
    <row r="93" spans="1:38" ht="15">
      <c r="A93" s="378"/>
      <c r="B93" s="368" t="str">
        <f>IF(Source="Groundwater", "Groundwater to indoor air attenuation coefficient","Soil gas to indoor air attenuation coefficient")</f>
        <v>Groundwater to indoor air attenuation coefficient</v>
      </c>
      <c r="C93" s="366"/>
      <c r="D93" s="366"/>
      <c r="E93" s="367" t="s">
        <v>128</v>
      </c>
      <c r="F93" s="367" t="s">
        <v>272</v>
      </c>
      <c r="G93" s="370">
        <f>IF(Source="Sub-slab Soil Gas",Qsoil_Qb,(IF(OR(Found_Type="Basement w/ dirt floor",Found_Type="Closed crawl space w/ dirt floor")=TRUE,A_Param/(1+A_Param),A_Param/(1+A_Param*EXP(-B_Param)+(A_Param/C_Param)*(1-EXP(-B_Param))))))</f>
        <v>9.9307422105413467E-4</v>
      </c>
      <c r="H93" s="728" t="str">
        <f>IF(P93&lt;Q93,CONCATENATE(TEXT(P93,"0.0E+00")," - ",TEXT(Q93,"0.0E+00")),CONCATENATE(TEXT(Q93,"0.0E+00")," - ",TEXT(P93,"0.0E+00")))</f>
        <v>1.2E-04 - 1.4E-03</v>
      </c>
      <c r="I93" s="370">
        <f>IF(Source="Sub-slab Soil Gas", Qsoil_Qb, IF(OR(Found_Type="Basement w/ dirt floor", Found_Type="Closed crawl space w/ dirt floor")=TRUE,A_Param_default/(1+A_Param_default),A_Param_default/(1+A_Param_default*EXP(-B_Param_Default)+(A_Param_default/C_Param_Default)*(1-EXP(-B_Param_Default)))))</f>
        <v>9.9307422105413467E-4</v>
      </c>
      <c r="J93" s="730" t="str">
        <f>IF(R93&lt;S93,CONCATENATE(TEXT(R93,"0.0E+00")," - ",TEXT(S93,"0.0E+00")),CONCATENATE(TEXT(S93,"0.0E+00")," - ",TEXT(R93,"0.0E+00")))</f>
        <v>1.2E-04 - 1.4E-03</v>
      </c>
      <c r="K93" s="373" t="str">
        <f>IF(COUNTIF($J$11:$J$85,"ERROR")&gt;0,"ERROR","")</f>
        <v/>
      </c>
      <c r="L93" s="376" t="str">
        <f>IF(COUNTIF($J$10:$J$85,"ERROR")&gt;0,"Invalid result. Please correct errors.","")</f>
        <v/>
      </c>
      <c r="M93" s="156"/>
      <c r="P93" s="28">
        <f>IF(Source="Sub-slab Soil Gas",Qsoil_Qb_min,(IF(OR(Found_Type="Basement w/ dirt floor",Found_Type="Closed crawl space w/ dirt floor")=TRUE,A_Param/(1+A_Param),A_Param/(1+A_Param*EXP(-B_param_min)+(A_Param/C_param_min)*(1-EXP(-B_param_min))))))</f>
        <v>1.2074268290627813E-4</v>
      </c>
      <c r="Q93" s="28">
        <f>IF(Source="Sub-slab Soil Gas",Qsoil_Qb_max,(IF(OR(Found_Type="Basement w/ dirt floor",Found_Type="Closed crawl space w/ dirt floor")=TRUE,A_Param/(1+A_Param),A_Param/(1+A_Param*EXP(-B_param_max)+(A_Param/C_param_max)*(1-EXP(-B_param_max))))))</f>
        <v>1.4416684789301021E-3</v>
      </c>
      <c r="R93" s="28">
        <f>IF(Source="Sub-slab Soil Gas",Qsoil_Qb_min,(IF(OR(Found_Type="Basement w/ dirt floor",Found_Type="Closed crawl space w/ dirt floor")=TRUE,A_Param_default/(1+A_Param_default),A_Param_default/(1+A_Param_default*EXP(-B_param_min_default)+(A_Param_default/C_param_min_default)*(1-EXP(-B_param_min_default))))))</f>
        <v>1.2074268290627813E-4</v>
      </c>
      <c r="S93" s="28">
        <f>IF(Source="Sub-slab Soil Gas",Qsoil_Qb_max,(IF(OR(Found_Type="Basement w/ dirt floor",Found_Type="Closed crawl space w/ dirt floor")=TRUE,A_Param_default/(1+A_Param_default),A_Param_default/(1+A_Param_default*EXP(-B_param_max_default)+(A_Param_default/C_param_max_default)*(1-EXP(-B_param_max_default))))))</f>
        <v>1.4416684789301021E-3</v>
      </c>
      <c r="AB93" s="378"/>
      <c r="AC93" s="368" t="str">
        <f>IF(Source="Groundwater", "Groundwater to indoor air attenuation coefficient","Soil gas to indoor air attenuation coefficient")</f>
        <v>Groundwater to indoor air attenuation coefficient</v>
      </c>
      <c r="AD93" s="366"/>
      <c r="AE93" s="366"/>
      <c r="AF93" s="367" t="s">
        <v>128</v>
      </c>
      <c r="AG93" s="367" t="s">
        <v>272</v>
      </c>
      <c r="AH93" s="370">
        <f>IF(Source="Sub-slab Soil Gas",Qsoil_Qb,(IF(OR(Found_Type="Basement w/ dirt floor",Found_Type="Closed crawl space w/ dirt floor")=TRUE,A_Param/(1+A_Param),A_Param/(1+A_Param*EXP(-B_Param)+(A_Param/C_Param)*(1-EXP(-B_Param))))))</f>
        <v>9.9307422105413467E-4</v>
      </c>
      <c r="AI93" s="370">
        <f>IF(Source="Sub-slab Soil Gas", Qsoil_Qb, IF(OR(Found_Type="Basement w/ dirt floor", Found_Type="Closed crawl space w/ dirt floor")=TRUE,AH111/(1+AH111),AH111/(1+AH111*EXP(-AH112)+(AH111/AH113)*(1-EXP(-AH112)))))</f>
        <v>9.9307422105413467E-4</v>
      </c>
      <c r="AJ93" s="372"/>
      <c r="AK93" s="373" t="str">
        <f>IF(COUNTIF($J$11:$J$85,"ERROR")&gt;0,"ERROR","")</f>
        <v/>
      </c>
      <c r="AL93" s="376" t="str">
        <f>IF(COUNTIF($J$10:$J$85,"ERROR")&gt;0,"Invalid result. Please correct errors.","")</f>
        <v/>
      </c>
    </row>
    <row r="94" spans="1:38" ht="13.15" customHeight="1">
      <c r="A94" s="371"/>
      <c r="B94" s="366"/>
      <c r="C94" s="366"/>
      <c r="D94" s="366"/>
      <c r="E94" s="379"/>
      <c r="F94" s="366"/>
      <c r="G94" s="366"/>
      <c r="H94" s="366"/>
      <c r="I94" s="366"/>
      <c r="J94" s="731"/>
      <c r="K94" s="375" t="str">
        <f>IF(COUNTIF($J$10:$J$85,"WARNING")&gt;0,"WARNING","")</f>
        <v/>
      </c>
      <c r="L94" s="376" t="str">
        <f>IF(COUNTIF($J$11:$J$85,"WARNING")&gt;0,"Please review warning messages","")</f>
        <v/>
      </c>
      <c r="AB94" s="371"/>
      <c r="AC94" s="366"/>
      <c r="AD94" s="366"/>
      <c r="AE94" s="366"/>
      <c r="AF94" s="379"/>
      <c r="AG94" s="366"/>
      <c r="AH94" s="366"/>
      <c r="AI94" s="366"/>
      <c r="AJ94" s="374"/>
      <c r="AK94" s="375" t="str">
        <f>IF(COUNTIF($J$10:$J$85,"WARNING")&gt;0,"WARNING","")</f>
        <v/>
      </c>
      <c r="AL94" s="376" t="str">
        <f>IF(COUNTIF($J$11:$J$85,"WARNING")&gt;0,"Please review warning messages","")</f>
        <v/>
      </c>
    </row>
    <row r="95" spans="1:38" ht="18">
      <c r="A95" s="708" t="s">
        <v>299</v>
      </c>
      <c r="B95" s="88"/>
      <c r="C95" s="88"/>
      <c r="D95" s="88"/>
      <c r="E95" s="735" t="s">
        <v>136</v>
      </c>
      <c r="F95" s="735" t="s">
        <v>137</v>
      </c>
      <c r="G95" s="735" t="s">
        <v>267</v>
      </c>
      <c r="H95" s="735" t="s">
        <v>337</v>
      </c>
      <c r="I95" s="735" t="s">
        <v>288</v>
      </c>
      <c r="J95" s="735" t="s">
        <v>2363</v>
      </c>
      <c r="K95" s="735" t="s">
        <v>319</v>
      </c>
      <c r="L95" s="736" t="s">
        <v>320</v>
      </c>
      <c r="AB95" s="63" t="s">
        <v>299</v>
      </c>
      <c r="AC95" s="64"/>
      <c r="AD95" s="64"/>
      <c r="AE95" s="64"/>
      <c r="AF95" s="65"/>
      <c r="AG95" s="64"/>
      <c r="AH95" s="64"/>
      <c r="AI95" s="64"/>
      <c r="AJ95" s="64"/>
      <c r="AK95" s="64"/>
      <c r="AL95" s="59"/>
    </row>
    <row r="96" spans="1:38" ht="108">
      <c r="A96" s="371"/>
      <c r="B96" s="368" t="s">
        <v>284</v>
      </c>
      <c r="C96" s="366"/>
      <c r="D96" s="366"/>
      <c r="E96" s="379" t="s">
        <v>251</v>
      </c>
      <c r="F96" s="369" t="s">
        <v>274</v>
      </c>
      <c r="G96" s="370">
        <f>Cs*alpha</f>
        <v>1.3543959527951062</v>
      </c>
      <c r="H96" s="728" t="str">
        <f>IF(P96&lt;Q96,CONCATENATE(TEXT(P96,"0.0E+00")," - ",TEXT(Q96,"0.0E+00")),CONCATENATE(TEXT(Q96,"0.0E+00")," - ",TEXT(P96,"0.0E+00")))</f>
        <v>1.6E-01 - 2.0E+00</v>
      </c>
      <c r="I96" s="370">
        <f>Cs*alpha_default</f>
        <v>1.3543959527951062</v>
      </c>
      <c r="J96" s="730" t="str">
        <f>IF(R96&lt;S96,CONCATENATE(TEXT(R96,"0.0E+00")," - ",TEXT(S96,"0.0E+00")),CONCATENATE(TEXT(S96,"0.0E+00")," - ",TEXT(R96,"0.0E+00")))</f>
        <v>1.6E-01 - 2.0E+00</v>
      </c>
      <c r="K96" s="373" t="str">
        <f>IF(COUNTIF($J$10:$J$85,"ERROR")&gt;0,"ERROR",IF(INDEX(CHEM_DATA!$AE:$AE, MATCH(Chem, Chem_Search,0))="Yes","WARNING",""))</f>
        <v>WARNING</v>
      </c>
      <c r="L96" s="393" t="str">
        <f>IF(COUNTIF($J$10:$J$85,"ERROR")&gt;0,"Invalid result. Please correct errors.", IF(INDEX(CHEM_DATA!$AE:$AE, MATCH(Chem, Chem_Search,0))="Yes", "May be overestimated; biodegradation not considered",""))</f>
        <v>May be overestimated; biodegradation not considered</v>
      </c>
      <c r="P96" s="28">
        <f>Cs*alpha_min</f>
        <v>0.16467389606015295</v>
      </c>
      <c r="Q96" s="28">
        <f>Cs*alpha_max</f>
        <v>1.9662074714441378</v>
      </c>
      <c r="R96" s="28">
        <f>Cs*alpha_min_default</f>
        <v>0.16467389606015295</v>
      </c>
      <c r="S96" s="28">
        <f>Cs*alpha_max_default</f>
        <v>1.9662074714441378</v>
      </c>
      <c r="AB96" s="371"/>
      <c r="AC96" s="368" t="s">
        <v>284</v>
      </c>
      <c r="AD96" s="366"/>
      <c r="AE96" s="366"/>
      <c r="AF96" s="367" t="s">
        <v>251</v>
      </c>
      <c r="AG96" s="369" t="s">
        <v>274</v>
      </c>
      <c r="AH96" s="370">
        <f>Cs*alpha</f>
        <v>1.3543959527951062</v>
      </c>
      <c r="AI96" s="370">
        <f>Cs*AI93</f>
        <v>1.3543959527951062</v>
      </c>
      <c r="AJ96" s="372"/>
      <c r="AK96" s="373" t="str">
        <f>IF(COUNTIF($J$10:$J$85,"ERROR")&gt;0,"ERROR",IF(INDEX(CHEM_DATA!$AE:$AE, MATCH(Chem, Chem_Search,0))="Yes","WARNING",""))</f>
        <v>WARNING</v>
      </c>
      <c r="AL96" s="393" t="str">
        <f>IF(COUNTIF($J$10:$J$85,"ERROR")&gt;0,"Invalid result. Please correct errors.", IF(INDEX(CHEM_DATA!$AE:$AE, MATCH(Chem, Chem_Search,0))="Yes", "May be overestimated; biodegradation not considered",""))</f>
        <v>May be overestimated; biodegradation not considered</v>
      </c>
    </row>
    <row r="97" spans="1:38" ht="15" customHeight="1">
      <c r="A97" s="371"/>
      <c r="B97" s="368"/>
      <c r="C97" s="366"/>
      <c r="D97" s="366"/>
      <c r="E97" s="379" t="s">
        <v>1638</v>
      </c>
      <c r="F97" s="366"/>
      <c r="G97" s="370">
        <f>Cs*alpha*24.46/INDEX(CHEM_DATA!$C$6:$C$474, MATCH(Chem, Chem_Search, 0))</f>
        <v>0.75199811607046563</v>
      </c>
      <c r="H97" s="728" t="str">
        <f>IF(P97&lt;Q97,CONCATENATE(TEXT(P97,"0.0E+00")," - ",TEXT(Q97,"0.0E+00")),CONCATENATE(TEXT(Q97,"0.0E+00")," - ",TEXT(P97,"0.0E+00")))</f>
        <v>9.1E-02 - 1.1E+00</v>
      </c>
      <c r="I97" s="370">
        <f>Cs*alpha_default*24.46/INDEX(CHEM_DATA!$C$6:$C$474, MATCH(Chem, Chem_Search, 0))</f>
        <v>0.75199811607046563</v>
      </c>
      <c r="J97" s="730" t="str">
        <f>IF(R97&lt;S97,CONCATENATE(TEXT(R97,"0.0E+00")," - ",TEXT(S97,"0.0E+00")),CONCATENATE(TEXT(S97,"0.0E+00")," - ",TEXT(R97,"0.0E+00")))</f>
        <v>9.1E-02 - 1.1E+00</v>
      </c>
      <c r="K97" s="375" t="str">
        <f>IF(COUNTIF($J$11:$J$85,"WARNING")&gt;0,"WARNING","")</f>
        <v/>
      </c>
      <c r="L97" s="376" t="str">
        <f>IF(COUNTIF($J$10:$J$85,"WARNING")&gt;0,"Please review warning messages", "")</f>
        <v/>
      </c>
      <c r="P97" s="28">
        <f>Cs*alpha_min*24.46/INDEX(CHEM_DATA!$C$6:$C$474, MATCH(Chem, Chem_Search, 0))</f>
        <v>9.1431504463416274E-2</v>
      </c>
      <c r="Q97" s="28">
        <f>Cs*alpha_max*24.46/INDEX(CHEM_DATA!$C$6:$C$474, MATCH(Chem, Chem_Search, 0))</f>
        <v>1.0916928031852637</v>
      </c>
      <c r="R97" s="28">
        <f>Cs*alpha_min_default*24.46/INDEX(CHEM_DATA!$C$6:$C$474, MATCH(Chem, Chem_Search, 0))</f>
        <v>9.1431504463416274E-2</v>
      </c>
      <c r="S97" s="28">
        <f>Cs*alpha_max_default*24.46/INDEX(CHEM_DATA!$C$6:$C$474, MATCH(Chem, Chem_Search, 0))</f>
        <v>1.0916928031852637</v>
      </c>
      <c r="AB97" s="371"/>
      <c r="AC97" s="368"/>
      <c r="AD97" s="366"/>
      <c r="AE97" s="366"/>
      <c r="AF97" s="367" t="s">
        <v>1638</v>
      </c>
      <c r="AG97" s="366"/>
      <c r="AH97" s="688">
        <f>Cs*alpha*24.46/INDEX(CHEM_DATA!$C$6:$C$474, MATCH(Chem, Chem_Search, 0))</f>
        <v>0.75199811607046563</v>
      </c>
      <c r="AI97" s="688">
        <f>Cs*AI93*24.46/INDEX(CHEM_DATA!$C$6:$C$474, MATCH(Chem, Chem_Search, 0))</f>
        <v>0.75199811607046563</v>
      </c>
      <c r="AJ97" s="374"/>
      <c r="AK97" s="689" t="str">
        <f>IF(COUNTIF($J$11:$J$85,"WARNING")&gt;0,"WARNING","")</f>
        <v/>
      </c>
      <c r="AL97" s="690" t="str">
        <f>IF(COUNTIF($J$10:$J$85,"WARNING")&gt;0,"Please review warning messages", "")</f>
        <v/>
      </c>
    </row>
    <row r="98" spans="1:38">
      <c r="A98" s="371"/>
      <c r="B98" s="366"/>
      <c r="C98" s="366"/>
      <c r="D98" s="366"/>
      <c r="E98" s="366"/>
      <c r="F98" s="366"/>
      <c r="G98" s="366"/>
      <c r="H98" s="366"/>
      <c r="I98" s="366"/>
      <c r="J98" s="731"/>
      <c r="K98" s="374"/>
      <c r="L98" s="377"/>
      <c r="M98" s="154"/>
      <c r="AB98" s="371"/>
      <c r="AC98" s="366"/>
      <c r="AD98" s="366"/>
      <c r="AE98" s="366"/>
      <c r="AF98" s="366"/>
      <c r="AG98" s="366"/>
      <c r="AH98" s="366"/>
      <c r="AI98" s="366"/>
      <c r="AJ98" s="374"/>
      <c r="AK98" s="374"/>
      <c r="AL98" s="377"/>
    </row>
    <row r="99" spans="1:38" s="146" customFormat="1" ht="19.149999999999999" customHeight="1">
      <c r="A99" s="708" t="s">
        <v>2364</v>
      </c>
      <c r="B99" s="737"/>
      <c r="C99" s="737"/>
      <c r="D99" s="737"/>
      <c r="E99" s="735" t="s">
        <v>136</v>
      </c>
      <c r="F99" s="735" t="s">
        <v>137</v>
      </c>
      <c r="G99" s="735" t="s">
        <v>267</v>
      </c>
      <c r="H99" s="735" t="s">
        <v>337</v>
      </c>
      <c r="I99" s="735" t="s">
        <v>288</v>
      </c>
      <c r="J99" s="735" t="s">
        <v>2363</v>
      </c>
      <c r="K99" s="735" t="s">
        <v>319</v>
      </c>
      <c r="L99" s="736" t="s">
        <v>320</v>
      </c>
      <c r="M99" s="154"/>
      <c r="AB99" s="63" t="s">
        <v>1646</v>
      </c>
      <c r="AC99" s="164"/>
      <c r="AD99" s="164"/>
      <c r="AE99" s="164"/>
      <c r="AF99" s="65"/>
      <c r="AG99" s="64"/>
      <c r="AH99" s="64"/>
      <c r="AI99" s="64"/>
      <c r="AJ99" s="64"/>
      <c r="AK99" s="64"/>
      <c r="AL99" s="59"/>
    </row>
    <row r="100" spans="1:38" ht="15">
      <c r="A100" s="45"/>
      <c r="B100" s="99" t="s">
        <v>1647</v>
      </c>
      <c r="C100" s="36"/>
      <c r="D100" s="36"/>
      <c r="E100" s="26" t="s">
        <v>251</v>
      </c>
      <c r="F100" s="107" t="s">
        <v>1648</v>
      </c>
      <c r="G100" s="338">
        <f>IF(OR(Found_Type="Basement w/ dirt floor", Found_Type="Closed crawl space w/ dirt floor")=TRUE, "NA",Cia*Qb/Qsoil)</f>
        <v>451.4653175983687</v>
      </c>
      <c r="H100" s="729" t="str">
        <f>IF(P100&lt;Q100,CONCATENATE(TEXT(P100,"0.0E+00")," - ",TEXT(Q100,"0.0E+00")),CONCATENATE(TEXT(Q100,"0.0E+00")," - ",TEXT(P100,"0.0E+00")))</f>
        <v>3.9E+01 - 1.6E+03</v>
      </c>
      <c r="I100" s="479">
        <f>IF(OR(Found_Type="Basement w/ dirt floor", Found_Type="Closed crawl space w/ dirt floor")=TRUE,"NA",Cia_default*Qb_default/Qsoil_default)</f>
        <v>451.4653175983687</v>
      </c>
      <c r="J100" s="732" t="str">
        <f>IF(R100&lt;S100,CONCATENATE(TEXT(R100,"0.0E+00")," - ",TEXT(S100,"0.0E+00")),CONCATENATE(TEXT(S100,"0.0E+00")," - ",TEXT(R100,"0.0E+00")))</f>
        <v>1.6E+03 - 2.0E+04</v>
      </c>
      <c r="K100" s="106"/>
      <c r="L100" s="167"/>
      <c r="M100" s="154"/>
      <c r="P100" s="28">
        <f>IF(OR(Found_Type="Basement w/ dirt floor",Found_Type="Closed crawl space w/ dirt floor")=TRUE,"NA",Cia_min*(1/Qsoil_Qb_min))</f>
        <v>1646.7389606015295</v>
      </c>
      <c r="Q100" s="28">
        <f>IF(OR(Found_Type="Basement w/ dirt floor", Found_Type="Closed crawl space w/ dirt floor")=TRUE, "NA",Cia_max*(1/Qsoil_Qb_max))</f>
        <v>39.324149428882755</v>
      </c>
      <c r="R100" s="28">
        <f>IF(OR(Found_Type="Basement w/ dirt floor",Found_Type="Closed crawl space w/ dirt floor")=TRUE,"NA",Cia_min_default*(1/Qsoil_Qb_min))</f>
        <v>1646.7389606015295</v>
      </c>
      <c r="S100" s="28">
        <f>IF(OR(Found_Type="Basement w/ dirt floor",Found_Type="Closed crawl space w/ dirt floor")=TRUE,"NA",Cia_max_default*(1/Qsoil_Qb_min))</f>
        <v>19662.074714441376</v>
      </c>
      <c r="AB100" s="45"/>
      <c r="AC100" s="99" t="s">
        <v>1647</v>
      </c>
      <c r="AD100" s="36"/>
      <c r="AE100" s="36"/>
      <c r="AF100" s="105" t="s">
        <v>251</v>
      </c>
      <c r="AG100" s="107" t="s">
        <v>1648</v>
      </c>
      <c r="AH100" s="691">
        <f>IF(OR(Found_Type="Basement w/ dirt floor", Found_Type="Closed crawl space w/ dirt floor")=TRUE, "NA",Cia*Qb/Qsoil)</f>
        <v>451.4653175983687</v>
      </c>
      <c r="AI100" s="691">
        <f>IF(OR(Found_Type="Basement w/ dirt floor", Found_Type="Closed crawl space w/ dirt floor")=TRUE,"NA",Cs*AI93/AH44)</f>
        <v>451.4653175983687</v>
      </c>
      <c r="AJ100" s="692"/>
      <c r="AK100" s="692"/>
      <c r="AL100" s="693"/>
    </row>
    <row r="101" spans="1:38" ht="15">
      <c r="A101" s="45"/>
      <c r="B101" s="36"/>
      <c r="C101" s="36"/>
      <c r="D101" s="36"/>
      <c r="E101" s="26" t="s">
        <v>1638</v>
      </c>
      <c r="F101" s="36"/>
      <c r="G101" s="338">
        <f>IF(Found_Type="Basement w/ dirt floor","NA",G100*24.46/(INDEX(CHEM_DATA!$C6:$C474,MATCH(Chem,Chem_Search,0))))</f>
        <v>250.6660386901552</v>
      </c>
      <c r="H101" s="729" t="str">
        <f>IF(P101&lt;Q101,CONCATENATE(TEXT(P101,"0.0E+00")," - ",TEXT(Q101,"0.0E+00")),CONCATENATE(TEXT(Q101,"0.0E+00")," - ",TEXT(P101,"0.0E+00")))</f>
        <v>2.2E+01 - 9.1E+02</v>
      </c>
      <c r="I101" s="479">
        <f>IF(Found_Type="Basement w/ dirt floor","NA",I100*24.46/(INDEX(CHEM_DATA!$C6:$C474,MATCH(Chem,Chem_Search,0))))</f>
        <v>250.6660386901552</v>
      </c>
      <c r="J101" s="733" t="str">
        <f>IF(R101&lt;S101,CONCATENATE(TEXT(R101,"0.0E+00")," - ",TEXT(S101,"0.0E+00")),CONCATENATE(TEXT(S101,"0.0E+00")," - ",TEXT(R101,"0.0E+00")))</f>
        <v>9.1E+02 - 1.1E+04</v>
      </c>
      <c r="K101" s="146"/>
      <c r="L101" s="331"/>
      <c r="M101" s="154"/>
      <c r="P101" s="28">
        <f>IF(Found_Type="Basement w/ dirt floor","NA",P100*24.46/(INDEX(CHEM_DATA!$C6:$C474,MATCH(Chem,Chem_Search,0))))</f>
        <v>914.31504463416286</v>
      </c>
      <c r="Q101" s="28">
        <f>IF(Found_Type="Basement w/ dirt floor","NA",Q100*24.46/(INDEX(CHEM_DATA!$C6:$C474,MATCH(Chem,Chem_Search,0))))</f>
        <v>21.833856063705277</v>
      </c>
      <c r="R101" s="28">
        <f>IF(Found_Type="Basement w/ dirt floor","NA",R100*24.46/(INDEX(CHEM_DATA!$C6:$C474,MATCH(Chem,Chem_Search,0))))</f>
        <v>914.31504463416286</v>
      </c>
      <c r="S101" s="28">
        <f>IF(Found_Type="Basement w/ dirt floor","NA",S100*24.46/(INDEX(CHEM_DATA!$C6:$C474,MATCH(Chem,Chem_Search,0))))</f>
        <v>10916.928031852636</v>
      </c>
      <c r="AB101" s="45"/>
      <c r="AC101" s="36"/>
      <c r="AD101" s="36"/>
      <c r="AE101" s="36"/>
      <c r="AF101" s="105" t="s">
        <v>1638</v>
      </c>
      <c r="AG101" s="36"/>
      <c r="AH101" s="691">
        <f>IF(Found_Type="Basement w/ dirt floor","NA",AH100*24.46/(INDEX(CHEM_DATA!$C6:$C474,MATCH(Chem,Chem_Search,0))))</f>
        <v>250.6660386901552</v>
      </c>
      <c r="AI101" s="691">
        <f>IF(Found_Type="Basement w/ dirt floor","NA",AI100*24.46/(INDEX(CHEM_DATA!$C6:$C474,MATCH(Chem,Chem_Search,0))))</f>
        <v>250.6660386901552</v>
      </c>
      <c r="AJ101" s="146"/>
      <c r="AK101" s="146"/>
      <c r="AL101" s="331"/>
    </row>
    <row r="102" spans="1:38">
      <c r="A102" s="45"/>
      <c r="B102" s="36"/>
      <c r="C102" s="36"/>
      <c r="D102" s="36"/>
      <c r="E102" s="36"/>
      <c r="F102" s="36"/>
      <c r="G102" s="36"/>
      <c r="H102" s="36"/>
      <c r="I102" s="36"/>
      <c r="J102" s="146"/>
      <c r="K102" s="146"/>
      <c r="L102" s="331"/>
      <c r="M102" s="154"/>
      <c r="AB102" s="45"/>
      <c r="AC102" s="36"/>
      <c r="AD102" s="36"/>
      <c r="AE102" s="36"/>
      <c r="AF102" s="36"/>
      <c r="AG102" s="36"/>
      <c r="AH102" s="36"/>
      <c r="AI102" s="36"/>
      <c r="AJ102" s="146"/>
      <c r="AK102" s="146"/>
      <c r="AL102" s="331"/>
    </row>
    <row r="103" spans="1:38" ht="18">
      <c r="A103" s="701" t="s">
        <v>277</v>
      </c>
      <c r="B103" s="88"/>
      <c r="C103" s="88"/>
      <c r="D103" s="88"/>
      <c r="E103" s="735" t="s">
        <v>136</v>
      </c>
      <c r="F103" s="735" t="s">
        <v>137</v>
      </c>
      <c r="G103" s="735" t="s">
        <v>267</v>
      </c>
      <c r="H103" s="735" t="s">
        <v>337</v>
      </c>
      <c r="I103" s="735" t="s">
        <v>288</v>
      </c>
      <c r="J103" s="735" t="s">
        <v>2363</v>
      </c>
      <c r="K103" s="735" t="s">
        <v>319</v>
      </c>
      <c r="L103" s="736" t="s">
        <v>320</v>
      </c>
      <c r="M103" s="157"/>
      <c r="AB103" s="55" t="s">
        <v>277</v>
      </c>
      <c r="AC103" s="64"/>
      <c r="AD103" s="64"/>
      <c r="AE103" s="64"/>
      <c r="AF103" s="65"/>
      <c r="AG103" s="65"/>
      <c r="AH103" s="64"/>
      <c r="AI103" s="330"/>
      <c r="AJ103" s="330"/>
      <c r="AK103" s="330"/>
      <c r="AL103" s="66"/>
    </row>
    <row r="104" spans="1:38">
      <c r="A104" s="45"/>
      <c r="B104" s="36" t="s">
        <v>255</v>
      </c>
      <c r="C104" s="36"/>
      <c r="D104" s="36"/>
      <c r="E104" s="26" t="s">
        <v>258</v>
      </c>
      <c r="F104" s="26" t="s">
        <v>259</v>
      </c>
      <c r="G104" s="339">
        <f>(Dair*(nSA-nwSA)^3.33+Dwater*(nwSA^3.33)/Hs)/(nSA^2)</f>
        <v>2.0646358162961009E-2</v>
      </c>
      <c r="H104" s="339" t="s">
        <v>1701</v>
      </c>
      <c r="I104" s="339">
        <f>(Dair_default*(nSA_default-nwSA_default)^3.33+Dwater_default*(nwSA_default^3.33)/Hs_default)/(nSA_default^2)</f>
        <v>2.0646358162961009E-2</v>
      </c>
      <c r="J104" s="339" t="s">
        <v>1701</v>
      </c>
      <c r="K104" s="146"/>
      <c r="L104" s="332"/>
      <c r="M104" s="160"/>
      <c r="AB104" s="45"/>
      <c r="AC104" s="36" t="s">
        <v>255</v>
      </c>
      <c r="AD104" s="36"/>
      <c r="AE104" s="36"/>
      <c r="AF104" s="26" t="s">
        <v>258</v>
      </c>
      <c r="AG104" s="26" t="s">
        <v>259</v>
      </c>
      <c r="AH104" s="694">
        <f>(Dair*(nSA-nwSA)^3.33+Dwater*(nwSA^3.33)/Hs)/(nSA^2)</f>
        <v>2.0646358162961009E-2</v>
      </c>
      <c r="AI104" s="694">
        <f>(AG28*(AG57-AG58)^3.33+AG29*(AG58^3.33)/AG27)/(AG57^2)</f>
        <v>2.0646358162961009E-2</v>
      </c>
      <c r="AJ104" s="146"/>
      <c r="AK104" s="146"/>
      <c r="AL104" s="332"/>
    </row>
    <row r="105" spans="1:38">
      <c r="A105" s="45"/>
      <c r="B105" s="36" t="s">
        <v>256</v>
      </c>
      <c r="C105" s="36"/>
      <c r="D105" s="36"/>
      <c r="E105" s="26" t="s">
        <v>258</v>
      </c>
      <c r="F105" s="26" t="s">
        <v>260</v>
      </c>
      <c r="G105" s="339" t="str">
        <f>IF(SCS_B="Not Present","",(Dair*(nSB-nwSB)^3.33+Dwater*(nwSB^3.33)/Hs)/(nSB^2))</f>
        <v/>
      </c>
      <c r="H105" s="339" t="s">
        <v>1701</v>
      </c>
      <c r="I105" s="339" t="str">
        <f>IF(SCS_B="Not Present","",(Dair_default*(nSB_default-nwSB_default)^3.33+Dwater_default*(nwSB_default^3.33)/Hs_default)/(nSB_default^2))</f>
        <v/>
      </c>
      <c r="J105" s="339" t="s">
        <v>1701</v>
      </c>
      <c r="K105" s="146"/>
      <c r="L105" s="332"/>
      <c r="M105" s="160"/>
      <c r="AB105" s="45"/>
      <c r="AC105" s="36" t="s">
        <v>256</v>
      </c>
      <c r="AD105" s="36"/>
      <c r="AE105" s="36"/>
      <c r="AF105" s="26" t="s">
        <v>258</v>
      </c>
      <c r="AG105" s="26" t="s">
        <v>260</v>
      </c>
      <c r="AH105" s="694" t="str">
        <f>IF(SCS_B="Not Present","",(Dair*(nSB-nwSB)^3.33+Dwater*(nwSB^3.33)/Hs)/(nSB^2))</f>
        <v/>
      </c>
      <c r="AI105" s="694" t="str">
        <f>IF(SCS_B="Not Present","",(AG28*(AG63-AG64)^3.33+AG29*(AG64^3.33)/AG27)/(AG63^2))</f>
        <v/>
      </c>
      <c r="AJ105" s="146"/>
      <c r="AK105" s="146"/>
      <c r="AL105" s="332"/>
    </row>
    <row r="106" spans="1:38">
      <c r="A106" s="45"/>
      <c r="B106" s="36" t="s">
        <v>257</v>
      </c>
      <c r="C106" s="36"/>
      <c r="D106" s="36"/>
      <c r="E106" s="26" t="s">
        <v>258</v>
      </c>
      <c r="F106" s="26" t="s">
        <v>261</v>
      </c>
      <c r="G106" s="339" t="str">
        <f>IF(SCS_C="Not Present","",(Dair*(nSC-nwSC)^3.33+Dwater*(nwSC^3.33)/Hs)/(nSC^2))</f>
        <v/>
      </c>
      <c r="H106" s="339" t="s">
        <v>1701</v>
      </c>
      <c r="I106" s="339" t="str">
        <f>IF(SCS_C="Not Present","",(Dair_default*(nSC_default-nwSC_default)^3.33+Dwater_default*(nwSC_default^3.33)/Hs_default)/(nSC_default^2))</f>
        <v/>
      </c>
      <c r="J106" s="339" t="s">
        <v>1701</v>
      </c>
      <c r="K106" s="146"/>
      <c r="L106" s="332"/>
      <c r="M106" s="160"/>
      <c r="AB106" s="45"/>
      <c r="AC106" s="36" t="s">
        <v>257</v>
      </c>
      <c r="AD106" s="36"/>
      <c r="AE106" s="36"/>
      <c r="AF106" s="26" t="s">
        <v>258</v>
      </c>
      <c r="AG106" s="26" t="s">
        <v>261</v>
      </c>
      <c r="AH106" s="694" t="str">
        <f>IF(SCS_C="Not Present","",(Dair*(nSC-nwSC)^3.33+Dwater*(nwSC^3.33)/Hs)/(nSC^2))</f>
        <v/>
      </c>
      <c r="AI106" s="694" t="str">
        <f>IF(SCS_C="Not Present","",(AG28*(AG69-AG70)^3.33+AG29*(AG70^3.33)/AG27)/(AG69^2))</f>
        <v/>
      </c>
      <c r="AJ106" s="146"/>
      <c r="AK106" s="146"/>
      <c r="AL106" s="332"/>
    </row>
    <row r="107" spans="1:38">
      <c r="A107" s="45"/>
      <c r="B107" s="36" t="str">
        <f>IF(Source="Groundwater","Effective diffusion coefficient through capillary zone","")</f>
        <v>Effective diffusion coefficient through capillary zone</v>
      </c>
      <c r="C107" s="36"/>
      <c r="D107" s="36"/>
      <c r="E107" s="26" t="str">
        <f>IF(Source="Groundwater","(cm2/sec)","")</f>
        <v>(cm2/sec)</v>
      </c>
      <c r="F107" s="26" t="str">
        <f>IF(Source="Groundwater","DeffCZ","")</f>
        <v>DeffCZ</v>
      </c>
      <c r="G107" s="339">
        <f>IF(Source="Groundwater",IF(src_soil="Not Applicable","",(Dair*(ncz-nwcz)^3.33+Dwater*(nwcz^3.33)/Hs)/ncz^2),"")</f>
        <v>1.1811753465619829E-3</v>
      </c>
      <c r="H107" s="339" t="s">
        <v>1701</v>
      </c>
      <c r="I107" s="339">
        <f>IF(Source="Groundwater",IF(src_soil="Not Applicable","",(Dair_default*(ncz_default-nwcz_default)^3.33+Dwater_default*(nwcz_default^3.33)/Hs_default)/ncz_default^2),"")</f>
        <v>1.1811753465619829E-3</v>
      </c>
      <c r="J107" s="339" t="s">
        <v>1701</v>
      </c>
      <c r="K107" s="146"/>
      <c r="L107" s="332"/>
      <c r="M107" s="160"/>
      <c r="AB107" s="45"/>
      <c r="AC107" s="36" t="str">
        <f>IF(Source="Groundwater","Effective diffusion coefficient through capillary zone","")</f>
        <v>Effective diffusion coefficient through capillary zone</v>
      </c>
      <c r="AD107" s="36"/>
      <c r="AE107" s="36"/>
      <c r="AF107" s="26" t="str">
        <f>IF(Source="Groundwater","(cm2/sec)","")</f>
        <v>(cm2/sec)</v>
      </c>
      <c r="AG107" s="26" t="str">
        <f>IF(Source="Groundwater","DeffCZ","")</f>
        <v>DeffCZ</v>
      </c>
      <c r="AH107" s="694">
        <f>IF(Source="Groundwater",IF(src_soil="Not Applicable","",(Dair*(ncz-nwcz)^3.33+Dwater*(nwcz^3.33)/Hs)/ncz^2),"")</f>
        <v>1.1811753465619829E-3</v>
      </c>
      <c r="AI107" s="694">
        <f>IF(Source="Groundwater",IF(src_soil="Not Applicable","",(AG28*(AG75-AG76)^3.33+AG29*(AG76^3.33)/AG27)/AG75^2),"")</f>
        <v>1.1811753465619829E-3</v>
      </c>
      <c r="AJ107" s="146"/>
      <c r="AK107" s="146"/>
      <c r="AL107" s="332"/>
    </row>
    <row r="108" spans="1:38">
      <c r="A108" s="45"/>
      <c r="B108" s="36" t="s">
        <v>278</v>
      </c>
      <c r="C108" s="36"/>
      <c r="D108" s="36"/>
      <c r="E108" s="26" t="s">
        <v>258</v>
      </c>
      <c r="F108" s="26" t="s">
        <v>263</v>
      </c>
      <c r="G108" s="339">
        <f>IF(Source="Groundwater",IF(src_soil="Stratum A",(hSA-Lb)/((hSA-Lb-hcz)/DeffA+hcz/DeffCZ),IF(src_soil="Stratum B",IF(SCS_B="Not Present","",(hSA-Lb+hSB)/((hSA-Lb)/DeffA+(hSB-hcz)/DeffB+hcz/DeffCZ)),IF(src_soil="Stratum C",IF(SCS_C="Not Present","",(hSA-Lb+hSB+hSC)/((hSA-Lb)/DeffA+hSB/DeffB+(hSC-hcz)/DeffC+hcz/DeffCZ)),))),IF(src_soil="Stratum A",DeffA,IF(src_soil="Stratum B",(hSA-Lb+hSB)/((hSA-Lb)/DeffA+hSB/DeffB),(hSA-Lb+hSB+hSC)/((hSA-Lb)/DeffA+hSB/DeffB+hSC/DeffC))))</f>
        <v>8.3304371922586218E-3</v>
      </c>
      <c r="H108" s="339" t="s">
        <v>1701</v>
      </c>
      <c r="I108" s="339">
        <f>IF(Source="Groundwater",IF(src_soil="Stratum A",(hSA-Lb_default)/((hSA-Lb_default-hcz_default)/DeffA_default+hcz_default/DeffCZ_default),IF(src_soil="Stratum B",IF(SCS_B="Not Present","",(hSA-Lb_default+hSB)/((hSA-Lb_default)/DeffA_default+(hSB-hcz_default)/DeffB_default+hcz_default/DeffCZ_default)),IF(src_soil="Stratum C",IF(SCS_C="Not Present","",(hSA-Lb_default+hSB+hSC)/((hSA-Lb_default)/DeffA_default+hSB/DeffB_default+(hSC_default-hcz_default)/DeffC_default+hcz_default/DeffCZ_default)),))),IF(src_soil="Stratum A",DeffA_default,IF(src_soil="Stratum B",(hSA-Lb_default+hSB)/((hSA-Lb_default)/DeffA_default+hSB/DeffB_default),(hSA-Lb_default+hSB+hSC)/((hSA-Lb_default)/DeffA_default+hSB/DeffB_default+hSC/DeffC_default))))</f>
        <v>8.3304371922586218E-3</v>
      </c>
      <c r="J108" s="339" t="s">
        <v>1701</v>
      </c>
      <c r="K108" s="146"/>
      <c r="L108" s="332"/>
      <c r="M108" s="160"/>
      <c r="AB108" s="45"/>
      <c r="AC108" s="36" t="s">
        <v>278</v>
      </c>
      <c r="AD108" s="36"/>
      <c r="AE108" s="36"/>
      <c r="AF108" s="26" t="s">
        <v>258</v>
      </c>
      <c r="AG108" s="26" t="s">
        <v>263</v>
      </c>
      <c r="AH108" s="694">
        <f>IF(Source="Groundwater",IF(src_soil="Stratum A",(hSA-Lb)/((hSA-Lb-hcz)/DeffA+hcz/DeffCZ),IF(src_soil="Stratum B",IF(SCS_B="Not Present","",(hSA-Lb+hSB)/((hSA-Lb)/DeffA+(hSB-hcz)/DeffB+hcz/DeffCZ)),IF(src_soil="Stratum C",IF(SCS_C="Not Present","",(hSA-Lb+hSB+hSC)/((hSA-Lb)/DeffA+hSB/DeffB+(hSC-hcz)/DeffC+hcz/DeffCZ)),))),IF(src_soil="Stratum A",DeffA,IF(src_soil="Stratum B",(hSA-Lb+hSB)/((hSA-Lb)/DeffA+hSB/DeffB),(hSA-Lb+hSB+hSC)/((hSA-Lb)/DeffA+hSB/DeffB+hSC/DeffC))))</f>
        <v>8.3304371922586218E-3</v>
      </c>
      <c r="AI108" s="694">
        <f>IF(Source="Groundwater",IF(src_soil="Stratum A",(hSA-AH38)/((hSA-AH38-AG74)/AI104+AG74/AI107),IF(src_soil="Stratum B",IF(SCS_B="Not Present","",(hSA-AH38+hSB)/((hSA-AH38)/AI104+(hSB-AG74)/AI105+AG74/AI107)),IF(src_soil="Stratum C",IF(SCS_C="Not Present","",(hSA-AH38+hSB+hSC)/((hSA-AH38)/AI104+hSB/AI105+(hSC-AG74)/AI106+AG74/AI107)),))),IF(src_soil="Stratum A",AI104,IF(src_soil="Stratum B",(hSA-AH38+hSB)/((hSA-AH38)/AI104+hSB/AI105),(hSA-AH38+hSB+hSC)/((hSA-AH38)/AI104+hSB/AI105+hSC/AI106))))</f>
        <v>8.3304371922586218E-3</v>
      </c>
      <c r="AJ108" s="146"/>
      <c r="AK108" s="146"/>
      <c r="AL108" s="332"/>
    </row>
    <row r="109" spans="1:38">
      <c r="A109" s="73"/>
      <c r="B109" s="74"/>
      <c r="C109" s="74"/>
      <c r="D109" s="74"/>
      <c r="E109" s="76"/>
      <c r="F109" s="74"/>
      <c r="G109" s="74"/>
      <c r="H109" s="74"/>
      <c r="I109" s="74"/>
      <c r="J109" s="146"/>
      <c r="K109" s="146"/>
      <c r="L109" s="738"/>
      <c r="M109" s="160"/>
      <c r="AB109" s="73"/>
      <c r="AC109" s="74"/>
      <c r="AD109" s="74"/>
      <c r="AE109" s="74"/>
      <c r="AF109" s="76"/>
      <c r="AG109" s="74"/>
      <c r="AH109" s="74"/>
      <c r="AI109" s="74"/>
      <c r="AJ109" s="146"/>
      <c r="AK109" s="146"/>
      <c r="AL109" s="332"/>
    </row>
    <row r="110" spans="1:38" ht="18">
      <c r="A110" s="708" t="s">
        <v>266</v>
      </c>
      <c r="B110" s="739"/>
      <c r="C110" s="739"/>
      <c r="D110" s="739"/>
      <c r="E110" s="740"/>
      <c r="F110" s="735" t="s">
        <v>137</v>
      </c>
      <c r="G110" s="735" t="s">
        <v>267</v>
      </c>
      <c r="H110" s="735" t="s">
        <v>337</v>
      </c>
      <c r="I110" s="735" t="s">
        <v>288</v>
      </c>
      <c r="J110" s="735" t="s">
        <v>2363</v>
      </c>
      <c r="K110" s="735" t="s">
        <v>319</v>
      </c>
      <c r="L110" s="159"/>
      <c r="AA110" s="63" t="s">
        <v>266</v>
      </c>
      <c r="AB110" s="77"/>
      <c r="AC110" s="77"/>
      <c r="AD110" s="77"/>
      <c r="AE110" s="78"/>
      <c r="AF110" s="57"/>
      <c r="AG110" s="58"/>
      <c r="AH110" s="65"/>
      <c r="AI110" s="333"/>
      <c r="AJ110" s="333"/>
      <c r="AK110" s="334"/>
    </row>
    <row r="111" spans="1:38" ht="27.6" customHeight="1">
      <c r="A111" s="45"/>
      <c r="B111" s="938" t="s">
        <v>1657</v>
      </c>
      <c r="C111" s="945"/>
      <c r="D111" s="945"/>
      <c r="E111" s="26" t="s">
        <v>128</v>
      </c>
      <c r="F111" s="26" t="s">
        <v>269</v>
      </c>
      <c r="G111" s="340">
        <f>DeffT*(Abf+4*Lb*SQRT(Abf))*0.36/(Qb*(Ls-Lb))</f>
        <v>1.4844707733672326E-3</v>
      </c>
      <c r="H111" s="477" t="s">
        <v>1701</v>
      </c>
      <c r="I111" s="734">
        <f>DeffT_default*(Abf_default+4*Lb_default*SQRT(Abf_default))*0.36/(Qb_default*(Ls-Lb_default))</f>
        <v>1.4844707733672326E-3</v>
      </c>
      <c r="J111" s="146"/>
      <c r="K111" s="331"/>
      <c r="L111" s="154"/>
      <c r="AA111" s="45"/>
      <c r="AB111" s="938" t="s">
        <v>1657</v>
      </c>
      <c r="AC111" s="938"/>
      <c r="AD111" s="938"/>
      <c r="AE111" s="26" t="s">
        <v>128</v>
      </c>
      <c r="AF111" s="26" t="s">
        <v>269</v>
      </c>
      <c r="AG111" s="340">
        <f>DeffT*(Abf+4*Lb*SQRT(Abf))*0.36/(Qb*(Ls-Lb))</f>
        <v>1.4844707733672326E-3</v>
      </c>
      <c r="AH111" s="340">
        <f>AI108*(AH41+4*AH38*SQRT(AH41))*0.36/(AH45*(Ls-AH38))</f>
        <v>1.4844707733672326E-3</v>
      </c>
      <c r="AI111" s="146"/>
      <c r="AJ111" s="146"/>
      <c r="AK111" s="331"/>
    </row>
    <row r="112" spans="1:38" ht="27.6" customHeight="1">
      <c r="A112" s="45"/>
      <c r="B112" s="939" t="s">
        <v>1727</v>
      </c>
      <c r="C112" s="939"/>
      <c r="D112" s="939"/>
      <c r="E112" s="26" t="s">
        <v>128</v>
      </c>
      <c r="F112" s="26" t="s">
        <v>270</v>
      </c>
      <c r="G112" s="138">
        <f>Qsoil_Qb*Qb*Lf/(DeffA*eta*(Abf+4*Lb*SQRT(Abf))*0.36)</f>
        <v>42.916108994080005</v>
      </c>
      <c r="H112" s="477" t="str">
        <f>IF(O112&lt;P112,CONCATENATE(TEXT(O112,"0.0E+00")," - ",TEXT(P112,"0.0E+00")),CONCATENATE(TEXT(P112,"0.0E+00")," - ",TEXT(O112,"0.0E+00")))</f>
        <v>1.4E+00 - 7.2E+02</v>
      </c>
      <c r="I112" s="734">
        <f>Qsoil_Qb_default*Qb_default*Lf_default/(DeffA_default*eta_default*(Abf_default+4*Lb_default*SQRT(Abf_default))*0.36)</f>
        <v>42.916108994080005</v>
      </c>
      <c r="J112" s="700" t="str">
        <f>IF(Q112&lt;R112,CONCATENATE(TEXT(Q112,"0.0E+00")," - ",TEXT(R112,"0.0E+00")),CONCATENATE(TEXT(R112,"0.0E+00")," - ",TEXT(Q112,"0.0E+00")))</f>
        <v>1.4E+00 - 7.2E+02</v>
      </c>
      <c r="K112" s="331"/>
      <c r="L112" s="154"/>
      <c r="O112" s="28">
        <f>Qsoil_Qb_min*Qb*Lf/(DeffA*eta*(Abf+4*Lb*SQRT(Abf))*0.36)</f>
        <v>1.4305369664693335</v>
      </c>
      <c r="P112" s="28">
        <f>Qsoil_Qb_max*Qb*Lf/(DeffA*eta*(Abf+4*Lb*SQRT(Abf))*0.36)</f>
        <v>715.26848323466675</v>
      </c>
      <c r="Q112" s="28">
        <f>Qsoil_Qb_min*Qb_default*Lf_default/(DeffA_default*eta_default*(Abf_default+4*Lb_default*SQRT(Abf_default))*0.36)</f>
        <v>1.4305369664693335</v>
      </c>
      <c r="R112" s="28">
        <f>Qsoil_Qb_max*Qb_default*Lf_default/(DeffA_default*eta_default*(Abf_default+4*Lb_default*SQRT(Abf_default))*0.36)</f>
        <v>715.26848323466675</v>
      </c>
      <c r="AA112" s="45"/>
      <c r="AB112" s="939" t="s">
        <v>1727</v>
      </c>
      <c r="AC112" s="939"/>
      <c r="AD112" s="939"/>
      <c r="AE112" s="26" t="s">
        <v>128</v>
      </c>
      <c r="AF112" s="26" t="s">
        <v>270</v>
      </c>
      <c r="AG112" s="138">
        <f>Qsoil_Qb*Qb*Lf/(DeffA*eta*(Abf+4*Lb*SQRT(Abf))*0.36)</f>
        <v>42.916108994080005</v>
      </c>
      <c r="AH112" s="340">
        <f>AH44*AH45*AH39/(AI104*AH40*(AH41+4*AH38*SQRT(AH41))*0.36)</f>
        <v>42.916108994080005</v>
      </c>
      <c r="AI112" s="146"/>
      <c r="AJ112" s="146"/>
      <c r="AK112" s="331"/>
    </row>
    <row r="113" spans="1:37">
      <c r="A113" s="45"/>
      <c r="B113" s="581" t="s">
        <v>333</v>
      </c>
      <c r="C113" s="170"/>
      <c r="D113" s="170"/>
      <c r="E113" s="26" t="s">
        <v>128</v>
      </c>
      <c r="F113" s="26" t="s">
        <v>271</v>
      </c>
      <c r="G113" s="138">
        <f>Qsoil_Qb</f>
        <v>3.0000000000000001E-3</v>
      </c>
      <c r="H113" s="478" t="str">
        <f>IF(O113&lt;P113,CONCATENATE(TEXT(O113,"0.0E+00")," - ",TEXT(P113,"0.0E+00")),CONCATENATE(TEXT(P113,"0.0E+00")," - ",TEXT(O113,"0.0E+00")))</f>
        <v>1.0E-04 - 5.0E-02</v>
      </c>
      <c r="I113" s="734">
        <f>Qsoil_Qb_default</f>
        <v>3.0000000000000001E-3</v>
      </c>
      <c r="J113" s="700" t="str">
        <f>IF(Q113&lt;R113,CONCATENATE(TEXT(Q113,"0.0E+00")," - ",TEXT(R113,"0.0E+00")),CONCATENATE(TEXT(R113,"0.0E+00")," - ",TEXT(Q113,"0.0E+00")))</f>
        <v>1.0E-04 - 5.0E-02</v>
      </c>
      <c r="K113" s="331"/>
      <c r="L113" s="154"/>
      <c r="O113" s="695">
        <f>Qsoil_Qb_min</f>
        <v>1E-4</v>
      </c>
      <c r="P113" s="28">
        <f>Qsoil_Qb_max</f>
        <v>0.05</v>
      </c>
      <c r="Q113" s="695">
        <f>Qsoil_Qb_min</f>
        <v>1E-4</v>
      </c>
      <c r="R113" s="28">
        <f>Qsoil_Qb_max</f>
        <v>0.05</v>
      </c>
      <c r="AA113" s="45"/>
      <c r="AB113" s="581" t="s">
        <v>333</v>
      </c>
      <c r="AC113" s="170"/>
      <c r="AD113" s="170"/>
      <c r="AE113" s="26" t="s">
        <v>128</v>
      </c>
      <c r="AF113" s="26" t="s">
        <v>271</v>
      </c>
      <c r="AG113" s="138">
        <f>Qsoil_Qb</f>
        <v>3.0000000000000001E-3</v>
      </c>
      <c r="AH113" s="138">
        <f>AH44</f>
        <v>3.0000000000000001E-3</v>
      </c>
      <c r="AI113" s="146"/>
      <c r="AJ113" s="146"/>
      <c r="AK113" s="331"/>
    </row>
    <row r="114" spans="1:37">
      <c r="A114" s="45"/>
      <c r="B114" s="170"/>
      <c r="C114" s="36"/>
      <c r="D114" s="36"/>
      <c r="E114" s="26"/>
      <c r="F114" s="26"/>
      <c r="G114" s="26"/>
      <c r="H114" s="26"/>
      <c r="I114" s="146"/>
      <c r="J114" s="146"/>
      <c r="K114" s="331"/>
      <c r="L114" s="154"/>
      <c r="AA114" s="45"/>
      <c r="AB114" s="170"/>
      <c r="AC114" s="36"/>
      <c r="AD114" s="36"/>
      <c r="AE114" s="26"/>
      <c r="AF114" s="26"/>
      <c r="AG114" s="26"/>
      <c r="AH114" s="26"/>
      <c r="AI114" s="146"/>
      <c r="AJ114" s="146"/>
      <c r="AK114" s="331"/>
    </row>
    <row r="115" spans="1:37" ht="15">
      <c r="A115" s="83" t="s">
        <v>268</v>
      </c>
      <c r="B115" s="77"/>
      <c r="C115" s="64"/>
      <c r="D115" s="64"/>
      <c r="E115" s="77"/>
      <c r="F115" s="162" t="s">
        <v>1783</v>
      </c>
      <c r="G115" s="64"/>
      <c r="H115" s="64"/>
      <c r="I115" s="64"/>
      <c r="J115" s="64"/>
      <c r="K115" s="59"/>
      <c r="L115" s="154"/>
      <c r="AA115" s="83" t="s">
        <v>268</v>
      </c>
      <c r="AB115" s="77"/>
      <c r="AC115" s="64"/>
      <c r="AD115" s="64"/>
      <c r="AE115" s="77"/>
      <c r="AF115" s="162" t="s">
        <v>1783</v>
      </c>
      <c r="AG115" s="64"/>
      <c r="AH115" s="64"/>
      <c r="AI115" s="64"/>
      <c r="AJ115" s="387"/>
      <c r="AK115" s="59"/>
    </row>
    <row r="116" spans="1:37" ht="15">
      <c r="A116" s="54"/>
      <c r="B116" s="36"/>
      <c r="C116" s="36"/>
      <c r="D116" s="36"/>
      <c r="E116" s="26"/>
      <c r="F116" s="26"/>
      <c r="G116" s="85"/>
      <c r="H116" s="36"/>
      <c r="I116" s="146"/>
      <c r="J116" s="146"/>
      <c r="K116" s="331"/>
      <c r="L116" s="154"/>
      <c r="AA116" s="54"/>
      <c r="AB116" s="36"/>
      <c r="AC116" s="36"/>
      <c r="AD116" s="36"/>
      <c r="AE116" s="26"/>
      <c r="AF116" s="26"/>
      <c r="AG116" s="85"/>
      <c r="AH116" s="36"/>
      <c r="AI116" s="146"/>
      <c r="AJ116" s="146"/>
      <c r="AK116" s="331"/>
    </row>
    <row r="117" spans="1:37">
      <c r="A117" s="45"/>
      <c r="B117" s="36" t="str">
        <f>IF(B_Param&lt;0.1,"Diffusion is the dominant mechanism across the foundation.",IF(B_Param&gt;3,"Advection is the dominant mechanism across the foundation.","Both diffusion and advection contribute to transport across the foundation."))</f>
        <v>Advection is the dominant mechanism across the foundation.</v>
      </c>
      <c r="C117" s="48"/>
      <c r="D117" s="48"/>
      <c r="E117" s="26"/>
      <c r="F117" s="26"/>
      <c r="G117" s="85"/>
      <c r="H117" s="36"/>
      <c r="I117" s="146"/>
      <c r="J117" s="146"/>
      <c r="K117" s="331"/>
      <c r="L117" s="154"/>
      <c r="AA117" s="45"/>
      <c r="AB117" s="36" t="str">
        <f>IF(B_Param&lt;0.1,"Diffusion is the dominant mechanism across the foundation.",IF(B_Param&gt;3,"Advection is the dominant mechanism across the foundation.","Both diffusion and advection contribute to transport across the foundation."))</f>
        <v>Advection is the dominant mechanism across the foundation.</v>
      </c>
      <c r="AC117" s="48"/>
      <c r="AD117" s="48"/>
      <c r="AE117" s="26"/>
      <c r="AF117" s="26"/>
      <c r="AG117" s="85"/>
      <c r="AH117" s="36"/>
      <c r="AI117" s="146"/>
      <c r="AJ117" s="146"/>
      <c r="AK117" s="331"/>
    </row>
    <row r="118" spans="1:37">
      <c r="A118" s="45"/>
      <c r="B118" s="36" t="str">
        <f>IF(B_Param&gt;3,IF((A_Param/C_Param)&lt;0.1,"Diffusion through soil is the overall rate limiting process.",IF((A_Param/C_Param)&gt;10,"Advection through the foundation is the overall rate-limiting process.","Diffusion through soil and advection through foundation both control intrusion.")),"")</f>
        <v>Diffusion through soil and advection through foundation both control intrusion.</v>
      </c>
      <c r="C118" s="48"/>
      <c r="D118" s="48"/>
      <c r="E118" s="26"/>
      <c r="F118" s="26"/>
      <c r="G118" s="36"/>
      <c r="H118" s="36"/>
      <c r="I118" s="146"/>
      <c r="J118" s="146"/>
      <c r="K118" s="331"/>
      <c r="L118" s="154"/>
      <c r="AA118" s="45"/>
      <c r="AB118" s="36" t="str">
        <f>IF(B_Param&gt;3,IF((A_Param/C_Param)&lt;0.1,"Diffusion through soil is the overall rate limiting process.",IF((A_Param/C_Param)&gt;10,"Advection through the foundation is the overall rate-limiting process.","Diffusion through soil and advection through foundation both control intrusion.")),"")</f>
        <v>Diffusion through soil and advection through foundation both control intrusion.</v>
      </c>
      <c r="AC118" s="48"/>
      <c r="AD118" s="48"/>
      <c r="AE118" s="26"/>
      <c r="AF118" s="26"/>
      <c r="AG118" s="36"/>
      <c r="AH118" s="36"/>
      <c r="AI118" s="146"/>
      <c r="AJ118" s="146"/>
      <c r="AK118" s="331"/>
    </row>
    <row r="119" spans="1:37">
      <c r="A119" s="45"/>
      <c r="B119" s="36" t="str">
        <f>IF(B_Param&lt;0.1,IF((A_Param*B_Param/C_Param)&lt;0.1,"Diffusion through soil is the overall rate limiting process.",IF((A_Param*B_Param/C_Param)&gt;(10*(1+A_Param)),"Diffusion through the foundation is the overall rate-limiting process.","Diffusion through soil and diffusion through foundation both control intrusion.")),"")</f>
        <v/>
      </c>
      <c r="C119" s="48"/>
      <c r="D119" s="48"/>
      <c r="E119" s="26"/>
      <c r="F119" s="36"/>
      <c r="G119" s="36"/>
      <c r="H119" s="36"/>
      <c r="I119" s="146"/>
      <c r="J119" s="146"/>
      <c r="K119" s="331"/>
      <c r="L119" s="154"/>
      <c r="AA119" s="45"/>
      <c r="AB119" s="36" t="str">
        <f>IF(B_Param&lt;0.1,IF((A_Param*B_Param/C_Param)&lt;0.1,"Diffusion through soil is the overall rate limiting process.",IF((A_Param*B_Param/C_Param)&gt;(10*(1+A_Param)),"Diffusion through the foundation is the overall rate-limiting process.","Diffusion through soil and diffusion through foundation both control intrusion.")),"")</f>
        <v/>
      </c>
      <c r="AC119" s="48"/>
      <c r="AD119" s="48"/>
      <c r="AE119" s="26"/>
      <c r="AF119" s="36"/>
      <c r="AG119" s="36"/>
      <c r="AH119" s="36"/>
      <c r="AI119" s="146"/>
      <c r="AJ119" s="146"/>
      <c r="AK119" s="331"/>
    </row>
    <row r="120" spans="1:37">
      <c r="A120" s="45"/>
      <c r="B120" s="36"/>
      <c r="C120" s="36"/>
      <c r="D120" s="36"/>
      <c r="E120" s="26"/>
      <c r="F120" s="36"/>
      <c r="G120" s="36"/>
      <c r="H120" s="36"/>
      <c r="I120" s="146"/>
      <c r="J120" s="146"/>
      <c r="K120" s="331"/>
      <c r="L120" s="154"/>
      <c r="AA120" s="45"/>
      <c r="AB120" s="36"/>
      <c r="AC120" s="36"/>
      <c r="AD120" s="36"/>
      <c r="AE120" s="26"/>
      <c r="AF120" s="36"/>
      <c r="AG120" s="36"/>
      <c r="AH120" s="36"/>
      <c r="AI120" s="146"/>
      <c r="AJ120" s="146"/>
      <c r="AK120" s="331"/>
    </row>
    <row r="121" spans="1:37">
      <c r="A121" s="45"/>
      <c r="B121" s="36"/>
      <c r="C121" s="36"/>
      <c r="D121" s="36"/>
      <c r="E121" s="26"/>
      <c r="F121" s="36"/>
      <c r="G121" s="36"/>
      <c r="H121" s="36"/>
      <c r="I121" s="146"/>
      <c r="J121" s="146"/>
      <c r="K121" s="331"/>
      <c r="L121" s="154"/>
      <c r="AA121" s="45"/>
      <c r="AB121" s="36"/>
      <c r="AC121" s="36"/>
      <c r="AD121" s="36"/>
      <c r="AE121" s="26"/>
      <c r="AF121" s="36"/>
      <c r="AG121" s="36"/>
      <c r="AH121" s="36"/>
      <c r="AI121" s="146"/>
      <c r="AJ121" s="146"/>
      <c r="AK121" s="331"/>
    </row>
    <row r="122" spans="1:37">
      <c r="A122" s="83" t="s">
        <v>266</v>
      </c>
      <c r="B122" s="77"/>
      <c r="C122" s="64"/>
      <c r="D122" s="64"/>
      <c r="E122" s="77"/>
      <c r="F122" s="77"/>
      <c r="G122" s="48"/>
      <c r="H122" s="48"/>
      <c r="I122" s="146"/>
      <c r="J122" s="146"/>
      <c r="K122" s="331"/>
      <c r="L122" s="154"/>
      <c r="AA122" s="83" t="s">
        <v>266</v>
      </c>
      <c r="AB122" s="77"/>
      <c r="AC122" s="64"/>
      <c r="AD122" s="64"/>
      <c r="AE122" s="77"/>
      <c r="AF122" s="77"/>
      <c r="AG122" s="48"/>
      <c r="AH122" s="48"/>
      <c r="AI122" s="146"/>
      <c r="AJ122" s="146"/>
      <c r="AK122" s="331"/>
    </row>
    <row r="123" spans="1:37">
      <c r="A123" s="45"/>
      <c r="B123" s="36"/>
      <c r="C123" s="48"/>
      <c r="D123" s="48"/>
      <c r="E123" s="36"/>
      <c r="F123" s="36"/>
      <c r="G123" s="36"/>
      <c r="H123" s="36"/>
      <c r="I123" s="146"/>
      <c r="J123" s="146"/>
      <c r="K123" s="331"/>
      <c r="L123" s="154"/>
      <c r="AA123" s="45"/>
      <c r="AB123" s="36"/>
      <c r="AC123" s="48"/>
      <c r="AD123" s="48"/>
      <c r="AE123" s="36"/>
      <c r="AF123" s="36"/>
      <c r="AG123" s="36"/>
      <c r="AH123" s="36"/>
      <c r="AI123" s="146"/>
      <c r="AJ123" s="146"/>
      <c r="AK123" s="331"/>
    </row>
    <row r="124" spans="1:37">
      <c r="A124" s="45"/>
      <c r="B124" s="36" t="str">
        <f>IF(B_Param&gt;3,IF((A_Param/C_Param)&lt;0.1,"Hb, Ls, DeffT, ach",IF((A_Param/C_Param)&gt;10,"Qsoil_Qb","Hb, Ls, DeffT, ach, Qsoil_Qb")),"")</f>
        <v>Hb, Ls, DeffT, ach, Qsoil_Qb</v>
      </c>
      <c r="C124" s="48"/>
      <c r="D124" s="48"/>
      <c r="E124" s="36"/>
      <c r="F124" s="36"/>
      <c r="G124" s="36"/>
      <c r="H124" s="36"/>
      <c r="I124" s="146"/>
      <c r="J124" s="146"/>
      <c r="K124" s="331"/>
      <c r="L124" s="154"/>
      <c r="AA124" s="45"/>
      <c r="AB124" s="36" t="str">
        <f>IF(B_Param&gt;3,IF((A_Param/C_Param)&lt;0.1,"Hb, Ls, DeffT, ach",IF((A_Param/C_Param)&gt;10,"Qsoil_Qb","Hb, Ls, DeffT, ach, Qsoil_Qb")),"")</f>
        <v>Hb, Ls, DeffT, ach, Qsoil_Qb</v>
      </c>
      <c r="AC124" s="48"/>
      <c r="AD124" s="48"/>
      <c r="AE124" s="36"/>
      <c r="AF124" s="36"/>
      <c r="AG124" s="36"/>
      <c r="AH124" s="36"/>
      <c r="AI124" s="146"/>
      <c r="AJ124" s="146"/>
      <c r="AK124" s="331"/>
    </row>
    <row r="125" spans="1:37">
      <c r="A125" s="45"/>
      <c r="B125" s="36" t="str">
        <f>IF(B_Param&lt;0.1,IF((A_Param*B_Param/C_Param)&lt;0.1,"Hb, Ls, DeffT, ach",IF((A_Param*B_Param/C_Param)&gt;(10*(1+A_Param)),"Hb, Lf, DeffA, ach, eta","Alpha sentive to all parameters.")),"")</f>
        <v/>
      </c>
      <c r="C125" s="48"/>
      <c r="D125" s="48"/>
      <c r="E125" s="36"/>
      <c r="F125" s="36"/>
      <c r="G125" s="36"/>
      <c r="H125" s="36"/>
      <c r="I125" s="146"/>
      <c r="J125" s="146"/>
      <c r="K125" s="331"/>
      <c r="L125" s="154"/>
      <c r="AA125" s="45"/>
      <c r="AB125" s="36" t="str">
        <f>IF(B_Param&lt;0.1,IF((A_Param*B_Param/C_Param)&lt;0.1,"Hb, Ls, DeffT, ach",IF((A_Param*B_Param/C_Param)&gt;(10*(1+A_Param)),"Hb, Lf, DeffA, ach, eta","Alpha sentive to all parameters.")),"")</f>
        <v/>
      </c>
      <c r="AC125" s="48"/>
      <c r="AD125" s="48"/>
      <c r="AE125" s="36"/>
      <c r="AF125" s="36"/>
      <c r="AG125" s="36"/>
      <c r="AH125" s="36"/>
      <c r="AI125" s="146"/>
      <c r="AJ125" s="146"/>
      <c r="AK125" s="331"/>
    </row>
    <row r="126" spans="1:37">
      <c r="A126" s="45"/>
      <c r="B126" s="36"/>
      <c r="C126" s="36"/>
      <c r="D126" s="36"/>
      <c r="E126" s="36"/>
      <c r="F126" s="36"/>
      <c r="G126" s="36"/>
      <c r="H126" s="36"/>
      <c r="I126" s="146"/>
      <c r="J126" s="146"/>
      <c r="K126" s="331"/>
      <c r="L126" s="154"/>
      <c r="AA126" s="45"/>
      <c r="AB126" s="36"/>
      <c r="AC126" s="36"/>
      <c r="AD126" s="36"/>
      <c r="AE126" s="36"/>
      <c r="AF126" s="36"/>
      <c r="AG126" s="36"/>
      <c r="AH126" s="36"/>
      <c r="AI126" s="146"/>
      <c r="AJ126" s="146"/>
      <c r="AK126" s="331"/>
    </row>
    <row r="127" spans="1:37">
      <c r="A127" s="45"/>
      <c r="B127" s="36"/>
      <c r="C127" s="36"/>
      <c r="D127" s="36"/>
      <c r="E127" s="36"/>
      <c r="F127" s="36"/>
      <c r="G127" s="36"/>
      <c r="H127" s="36"/>
      <c r="I127" s="146"/>
      <c r="J127" s="146"/>
      <c r="K127" s="331"/>
      <c r="L127" s="154"/>
      <c r="AA127" s="45"/>
      <c r="AB127" s="36"/>
      <c r="AC127" s="36"/>
      <c r="AD127" s="36"/>
      <c r="AE127" s="36"/>
      <c r="AF127" s="36"/>
      <c r="AG127" s="36"/>
      <c r="AH127" s="36"/>
      <c r="AI127" s="146"/>
      <c r="AJ127" s="146"/>
      <c r="AK127" s="331"/>
    </row>
    <row r="128" spans="1:37">
      <c r="A128" s="83" t="s">
        <v>307</v>
      </c>
      <c r="B128" s="77"/>
      <c r="C128" s="64"/>
      <c r="D128" s="64"/>
      <c r="E128" s="64"/>
      <c r="F128" s="64"/>
      <c r="G128" s="36"/>
      <c r="H128" s="36"/>
      <c r="I128" s="146"/>
      <c r="J128" s="146"/>
      <c r="K128" s="331"/>
      <c r="L128" s="154"/>
      <c r="AA128" s="83" t="s">
        <v>307</v>
      </c>
      <c r="AB128" s="77"/>
      <c r="AC128" s="64"/>
      <c r="AD128" s="64"/>
      <c r="AE128" s="64"/>
      <c r="AF128" s="64"/>
      <c r="AG128" s="36"/>
      <c r="AH128" s="36"/>
      <c r="AI128" s="146"/>
      <c r="AJ128" s="146"/>
      <c r="AK128" s="331"/>
    </row>
    <row r="129" spans="1:38">
      <c r="A129" s="45"/>
      <c r="B129" s="36"/>
      <c r="C129" s="36"/>
      <c r="D129" s="36"/>
      <c r="E129" s="36"/>
      <c r="F129" s="36"/>
      <c r="G129" s="36"/>
      <c r="H129" s="36"/>
      <c r="I129" s="146"/>
      <c r="J129" s="146"/>
      <c r="K129" s="331"/>
      <c r="L129" s="154"/>
      <c r="AA129" s="45"/>
      <c r="AB129" s="36"/>
      <c r="AC129" s="36"/>
      <c r="AD129" s="36"/>
      <c r="AE129" s="36"/>
      <c r="AF129" s="36"/>
      <c r="AG129" s="36"/>
      <c r="AH129" s="36"/>
      <c r="AI129" s="146"/>
      <c r="AJ129" s="146"/>
      <c r="AK129" s="331"/>
    </row>
    <row r="130" spans="1:38">
      <c r="A130" s="45"/>
      <c r="B130" s="36" t="str">
        <f>IF(B_Param&gt;3,IF((A_Param/C_Param)&lt;0.1,"Qsoil_Qb, Lf, DeffA, eta",IF((A_Param/C_Param)&gt;10,"Lf, DeffA, DeffT, eta, Ls, ach","Lf, DeffA, eta")),"")</f>
        <v>Lf, DeffA, eta</v>
      </c>
      <c r="C130" s="48"/>
      <c r="D130" s="48"/>
      <c r="E130" s="36"/>
      <c r="F130" s="36"/>
      <c r="G130" s="36"/>
      <c r="H130" s="36"/>
      <c r="I130" s="146"/>
      <c r="J130" s="146"/>
      <c r="K130" s="331"/>
      <c r="L130" s="154"/>
      <c r="AA130" s="45"/>
      <c r="AB130" s="36" t="str">
        <f>IF(B_Param&gt;3,IF((A_Param/C_Param)&lt;0.1,"Qsoil_Qb, Lf, DeffA, eta",IF((A_Param/C_Param)&gt;10,"Lf, DeffA, DeffT, eta, Ls, ach","Lf, DeffA, eta")),"")</f>
        <v>Lf, DeffA, eta</v>
      </c>
      <c r="AC130" s="48"/>
      <c r="AD130" s="48"/>
      <c r="AE130" s="36"/>
      <c r="AF130" s="36"/>
      <c r="AG130" s="36"/>
      <c r="AH130" s="36"/>
      <c r="AI130" s="146"/>
      <c r="AJ130" s="146"/>
      <c r="AK130" s="331"/>
    </row>
    <row r="131" spans="1:38">
      <c r="A131" s="45"/>
      <c r="B131" s="36" t="str">
        <f>IF(B_Param&lt;0.1,IF((A_Param*B_Param/C_Param)&lt;0.1,"Qsoil_Qb, Lf, DeffA, eta",IF((A_Param*B_Param/C_Param)&gt;(10*(1+A_Param)),"Qsoil_Qb, Ls, DeffT","Alpha sentive to all parameters.")),"")</f>
        <v/>
      </c>
      <c r="C131" s="48"/>
      <c r="D131" s="48"/>
      <c r="E131" s="36"/>
      <c r="F131" s="36"/>
      <c r="G131" s="36"/>
      <c r="H131" s="36"/>
      <c r="I131" s="146"/>
      <c r="J131" s="146"/>
      <c r="K131" s="331"/>
      <c r="L131" s="154"/>
      <c r="AA131" s="45"/>
      <c r="AB131" s="36" t="str">
        <f>IF(B_Param&lt;0.1,IF((A_Param*B_Param/C_Param)&lt;0.1,"Qsoil_Qb, Lf, DeffA, eta",IF((A_Param*B_Param/C_Param)&gt;(10*(1+A_Param)),"Qsoil_Qb, Ls, DeffT","Alpha sentive to all parameters.")),"")</f>
        <v/>
      </c>
      <c r="AC131" s="48"/>
      <c r="AD131" s="48"/>
      <c r="AE131" s="36"/>
      <c r="AF131" s="36"/>
      <c r="AG131" s="36"/>
      <c r="AH131" s="36"/>
      <c r="AI131" s="146"/>
      <c r="AJ131" s="146"/>
      <c r="AK131" s="331"/>
    </row>
    <row r="132" spans="1:38">
      <c r="A132" s="45"/>
      <c r="B132" s="36"/>
      <c r="C132" s="48"/>
      <c r="D132" s="48"/>
      <c r="E132" s="36"/>
      <c r="F132" s="36"/>
      <c r="G132" s="36"/>
      <c r="H132" s="36"/>
      <c r="I132" s="146"/>
      <c r="J132" s="146"/>
      <c r="K132" s="331"/>
      <c r="L132" s="154"/>
      <c r="AA132" s="45"/>
      <c r="AB132" s="36"/>
      <c r="AC132" s="48"/>
      <c r="AD132" s="48"/>
      <c r="AE132" s="36"/>
      <c r="AF132" s="36"/>
      <c r="AG132" s="36"/>
      <c r="AH132" s="36"/>
      <c r="AI132" s="146"/>
      <c r="AJ132" s="146"/>
      <c r="AK132" s="331"/>
    </row>
    <row r="133" spans="1:38">
      <c r="A133" s="73"/>
      <c r="B133" s="74"/>
      <c r="C133" s="74"/>
      <c r="D133" s="74"/>
      <c r="E133" s="74"/>
      <c r="F133" s="74"/>
      <c r="G133" s="74"/>
      <c r="H133" s="74"/>
      <c r="I133" s="335"/>
      <c r="J133" s="335"/>
      <c r="K133" s="336"/>
      <c r="L133" s="154"/>
      <c r="AA133" s="73"/>
      <c r="AB133" s="74"/>
      <c r="AC133" s="74"/>
      <c r="AD133" s="74"/>
      <c r="AE133" s="74"/>
      <c r="AF133" s="74"/>
      <c r="AG133" s="74"/>
      <c r="AH133" s="74"/>
      <c r="AI133" s="335"/>
      <c r="AJ133" s="335"/>
      <c r="AK133" s="336"/>
    </row>
    <row r="134" spans="1:38" ht="13.15" customHeight="1">
      <c r="A134" s="940" t="str">
        <f>IF(OR(COUNTIF($J$10:$J$85,"WARNING")&gt;0,COUNTIF($J$10:$J$85,"ERROR")&gt;0),"Please check WARNING or ERROR flags","")</f>
        <v/>
      </c>
      <c r="B134" s="940"/>
      <c r="C134" s="940"/>
      <c r="D134" s="940"/>
      <c r="E134" s="940"/>
      <c r="F134" s="940"/>
      <c r="G134" s="940"/>
      <c r="H134" s="940"/>
      <c r="J134" s="28"/>
      <c r="L134" s="154"/>
      <c r="M134" s="154"/>
      <c r="AB134" s="940" t="str">
        <f>IF(OR(COUNTIF($J$10:$J$85,"WARNING")&gt;0,COUNTIF($J$10:$J$85,"ERROR")&gt;0),"Please check WARNING or ERROR flags","")</f>
        <v/>
      </c>
      <c r="AC134" s="940"/>
      <c r="AD134" s="940"/>
      <c r="AE134" s="940"/>
      <c r="AF134" s="940"/>
      <c r="AG134" s="940"/>
      <c r="AH134" s="940"/>
      <c r="AI134" s="940"/>
      <c r="AJ134" s="28"/>
      <c r="AL134" s="154"/>
    </row>
    <row r="135" spans="1:38">
      <c r="A135" s="36"/>
      <c r="B135" s="36"/>
      <c r="C135" s="36"/>
      <c r="D135" s="36"/>
      <c r="E135" s="36"/>
      <c r="F135" s="36"/>
      <c r="G135" s="36"/>
      <c r="H135" s="36"/>
      <c r="J135" s="28"/>
      <c r="L135" s="154"/>
      <c r="M135" s="154"/>
      <c r="AB135" s="36"/>
      <c r="AC135" s="36"/>
      <c r="AD135" s="36"/>
      <c r="AE135" s="36"/>
      <c r="AF135" s="36"/>
      <c r="AG135" s="36"/>
      <c r="AH135" s="36"/>
      <c r="AI135" s="36"/>
      <c r="AJ135" s="28"/>
      <c r="AL135" s="154"/>
    </row>
    <row r="136" spans="1:38">
      <c r="A136" s="36"/>
      <c r="B136" s="36"/>
      <c r="C136" s="36"/>
      <c r="D136" s="36"/>
      <c r="E136" s="36"/>
      <c r="F136" s="36"/>
      <c r="G136" s="36"/>
      <c r="H136" s="36"/>
      <c r="J136" s="28"/>
      <c r="L136" s="154"/>
      <c r="M136" s="154"/>
      <c r="AB136" s="36"/>
      <c r="AC136" s="36"/>
      <c r="AD136" s="36"/>
      <c r="AE136" s="36"/>
      <c r="AF136" s="36"/>
      <c r="AG136" s="36"/>
      <c r="AH136" s="36"/>
      <c r="AI136" s="36"/>
      <c r="AJ136" s="28"/>
      <c r="AL136" s="154"/>
    </row>
    <row r="137" spans="1:38">
      <c r="A137" s="36"/>
      <c r="B137" s="36"/>
      <c r="C137" s="36"/>
      <c r="D137" s="36"/>
      <c r="E137" s="36"/>
      <c r="F137" s="36"/>
      <c r="G137" s="36"/>
      <c r="H137" s="36"/>
      <c r="J137" s="28"/>
      <c r="L137" s="154"/>
      <c r="M137" s="154"/>
      <c r="AB137" s="36"/>
      <c r="AC137" s="36"/>
      <c r="AD137" s="36"/>
      <c r="AE137" s="36"/>
      <c r="AF137" s="36"/>
      <c r="AG137" s="36"/>
      <c r="AH137" s="36"/>
      <c r="AI137" s="36"/>
      <c r="AJ137" s="28"/>
      <c r="AL137" s="154"/>
    </row>
    <row r="138" spans="1:38">
      <c r="A138" s="36"/>
      <c r="B138" s="36"/>
      <c r="C138" s="36"/>
      <c r="D138" s="36"/>
      <c r="E138" s="36"/>
      <c r="F138" s="36"/>
      <c r="G138" s="36"/>
      <c r="H138" s="36"/>
      <c r="J138" s="28"/>
      <c r="L138" s="154"/>
      <c r="M138" s="154"/>
      <c r="AB138" s="36"/>
      <c r="AC138" s="36"/>
      <c r="AD138" s="36"/>
      <c r="AE138" s="36"/>
      <c r="AF138" s="36"/>
      <c r="AG138" s="36"/>
      <c r="AH138" s="36"/>
      <c r="AI138" s="36"/>
      <c r="AJ138" s="28"/>
      <c r="AL138" s="154"/>
    </row>
    <row r="139" spans="1:38" ht="15" customHeight="1">
      <c r="A139" s="21" t="str">
        <f>$A$5</f>
        <v xml:space="preserve"> </v>
      </c>
      <c r="B139" s="580"/>
      <c r="C139" s="146"/>
      <c r="D139" s="146"/>
      <c r="E139" s="146"/>
      <c r="F139" s="146"/>
      <c r="G139" s="146"/>
      <c r="H139" s="163"/>
      <c r="J139" s="28"/>
      <c r="K139" s="94"/>
      <c r="M139" s="95"/>
      <c r="N139" s="96"/>
      <c r="O139" s="34"/>
      <c r="P139" s="34"/>
      <c r="Q139" s="97"/>
      <c r="R139" s="97"/>
      <c r="S139" s="34"/>
      <c r="T139" s="96"/>
      <c r="AB139" s="21" t="s">
        <v>1651</v>
      </c>
      <c r="AC139" s="22"/>
      <c r="AH139" s="28"/>
      <c r="AI139" s="94"/>
      <c r="AJ139" s="28"/>
      <c r="AK139" s="94"/>
    </row>
    <row r="140" spans="1:38" ht="15" customHeight="1">
      <c r="A140" s="102"/>
      <c r="B140" s="322"/>
      <c r="J140" s="28"/>
      <c r="K140" s="94"/>
      <c r="AB140" s="102"/>
      <c r="AC140" s="322"/>
      <c r="AH140" s="28"/>
      <c r="AI140" s="94"/>
      <c r="AJ140" s="28"/>
      <c r="AK140" s="94"/>
    </row>
    <row r="141" spans="1:38" ht="15" customHeight="1">
      <c r="A141" s="21" t="str">
        <f>$A$90</f>
        <v>Model Output</v>
      </c>
      <c r="B141" s="35"/>
      <c r="D141" s="724" t="s">
        <v>1777</v>
      </c>
      <c r="F141" s="899" t="str">
        <f>Name_and_run</f>
        <v>Example, Run 1</v>
      </c>
      <c r="G141" s="900"/>
      <c r="I141" s="94"/>
      <c r="K141" s="94"/>
      <c r="AB141" s="21" t="s">
        <v>1779</v>
      </c>
      <c r="AC141" s="35"/>
      <c r="AE141" s="94" t="s">
        <v>1777</v>
      </c>
      <c r="AG141" s="94"/>
      <c r="AI141" s="94"/>
      <c r="AK141" s="94"/>
    </row>
    <row r="142" spans="1:38" ht="15" customHeight="1">
      <c r="A142" s="21"/>
      <c r="B142" s="98" t="str">
        <f>"Chemical Name:"&amp;"   "&amp;$F$17&amp;"     CAS No. "&amp;CAS</f>
        <v>Chemical Name:   Acetaldehyde     CAS No. 75-07-0</v>
      </c>
      <c r="D142" s="94"/>
      <c r="F142" s="94"/>
      <c r="G142" s="94"/>
      <c r="I142" s="94"/>
      <c r="K142" s="94"/>
      <c r="AB142" s="21"/>
      <c r="AC142" s="98" t="s">
        <v>1974</v>
      </c>
      <c r="AE142" s="94"/>
      <c r="AG142" s="94"/>
      <c r="AI142" s="94"/>
      <c r="AK142" s="94"/>
    </row>
    <row r="143" spans="1:38" ht="18">
      <c r="A143" s="87" t="s">
        <v>306</v>
      </c>
      <c r="B143" s="88"/>
      <c r="C143" s="88"/>
      <c r="D143" s="88"/>
      <c r="E143" s="735" t="s">
        <v>136</v>
      </c>
      <c r="F143" s="735" t="s">
        <v>137</v>
      </c>
      <c r="G143" s="735" t="s">
        <v>267</v>
      </c>
      <c r="H143" s="735" t="s">
        <v>337</v>
      </c>
      <c r="I143" s="735" t="s">
        <v>288</v>
      </c>
      <c r="J143" s="735" t="s">
        <v>337</v>
      </c>
      <c r="K143" s="735" t="s">
        <v>319</v>
      </c>
      <c r="L143" s="325" t="s">
        <v>320</v>
      </c>
      <c r="M143" s="154"/>
      <c r="AB143" s="87" t="s">
        <v>306</v>
      </c>
      <c r="AC143" s="88"/>
      <c r="AD143" s="88"/>
      <c r="AE143" s="88"/>
      <c r="AF143" s="324" t="s">
        <v>136</v>
      </c>
      <c r="AG143" s="324" t="s">
        <v>137</v>
      </c>
      <c r="AH143" s="324" t="s">
        <v>267</v>
      </c>
      <c r="AI143" s="324" t="s">
        <v>288</v>
      </c>
      <c r="AJ143" s="324"/>
      <c r="AK143" s="324" t="s">
        <v>319</v>
      </c>
      <c r="AL143" s="325" t="s">
        <v>320</v>
      </c>
    </row>
    <row r="144" spans="1:38">
      <c r="A144" s="45"/>
      <c r="B144" s="36"/>
      <c r="C144" s="36"/>
      <c r="D144" s="36"/>
      <c r="E144" s="36"/>
      <c r="F144" s="36"/>
      <c r="G144" s="36"/>
      <c r="H144" s="36"/>
      <c r="I144" s="36"/>
      <c r="J144" s="146"/>
      <c r="L144" s="331"/>
      <c r="M144" s="154"/>
      <c r="AB144" s="45"/>
      <c r="AC144" s="36"/>
      <c r="AD144" s="36"/>
      <c r="AE144" s="36"/>
      <c r="AF144" s="36"/>
      <c r="AG144" s="36"/>
      <c r="AH144" s="36"/>
      <c r="AI144" s="36"/>
      <c r="AJ144" s="146"/>
      <c r="AL144" s="331"/>
    </row>
    <row r="145" spans="1:44" ht="18">
      <c r="A145" s="63" t="s">
        <v>300</v>
      </c>
      <c r="B145" s="56"/>
      <c r="C145" s="56"/>
      <c r="D145" s="588" t="str">
        <f>CONCATENATE("Scenario: ",Scenario)</f>
        <v>Scenario: Residential</v>
      </c>
      <c r="E145" s="65"/>
      <c r="F145" s="65"/>
      <c r="G145" s="92"/>
      <c r="H145" s="92"/>
      <c r="I145" s="64"/>
      <c r="J145" s="65"/>
      <c r="K145" s="65"/>
      <c r="L145" s="59"/>
      <c r="P145" s="145"/>
      <c r="AA145" s="420"/>
      <c r="AB145" s="63" t="s">
        <v>300</v>
      </c>
      <c r="AC145" s="56"/>
      <c r="AD145" s="56"/>
      <c r="AE145" s="56"/>
      <c r="AF145" s="65"/>
      <c r="AG145" s="65"/>
      <c r="AH145" s="92"/>
      <c r="AI145" s="64"/>
      <c r="AJ145" s="65"/>
      <c r="AK145" s="65"/>
      <c r="AL145" s="59"/>
    </row>
    <row r="146" spans="1:44">
      <c r="A146" s="45"/>
      <c r="B146" s="36" t="s">
        <v>148</v>
      </c>
      <c r="C146" s="36"/>
      <c r="D146" s="36"/>
      <c r="E146" s="26" t="s">
        <v>128</v>
      </c>
      <c r="F146" s="36" t="s">
        <v>275</v>
      </c>
      <c r="G146" s="329">
        <f>Target_CR</f>
        <v>9.9999999999999995E-7</v>
      </c>
      <c r="H146" s="329" t="s">
        <v>1701</v>
      </c>
      <c r="I146" s="329">
        <f>Target_CR_default</f>
        <v>9.9999999999999995E-7</v>
      </c>
      <c r="J146" s="163" t="s">
        <v>1701</v>
      </c>
      <c r="L146" s="331"/>
      <c r="M146" s="154"/>
      <c r="AB146" s="45"/>
      <c r="AC146" s="36" t="s">
        <v>148</v>
      </c>
      <c r="AD146" s="36"/>
      <c r="AE146" s="36"/>
      <c r="AF146" s="26" t="s">
        <v>128</v>
      </c>
      <c r="AG146" s="36" t="s">
        <v>275</v>
      </c>
      <c r="AH146" s="329">
        <f>Target_CR</f>
        <v>9.9999999999999995E-7</v>
      </c>
      <c r="AI146" s="329">
        <f>Target_CR_default</f>
        <v>9.9999999999999995E-7</v>
      </c>
      <c r="AJ146" s="146"/>
      <c r="AL146" s="331"/>
    </row>
    <row r="147" spans="1:44">
      <c r="A147" s="45"/>
      <c r="B147" s="36" t="s">
        <v>282</v>
      </c>
      <c r="C147" s="36"/>
      <c r="D147" s="36"/>
      <c r="E147" s="26" t="s">
        <v>128</v>
      </c>
      <c r="F147" s="36" t="s">
        <v>276</v>
      </c>
      <c r="G147" s="26">
        <f>Target_HQ</f>
        <v>1</v>
      </c>
      <c r="H147" s="329" t="s">
        <v>1701</v>
      </c>
      <c r="I147" s="26">
        <f>Target_HQ_default</f>
        <v>1</v>
      </c>
      <c r="J147" s="163" t="s">
        <v>1701</v>
      </c>
      <c r="L147" s="331"/>
      <c r="M147" s="154"/>
      <c r="AB147" s="45"/>
      <c r="AC147" s="36" t="s">
        <v>282</v>
      </c>
      <c r="AD147" s="36"/>
      <c r="AE147" s="36"/>
      <c r="AF147" s="26" t="s">
        <v>128</v>
      </c>
      <c r="AG147" s="36" t="s">
        <v>276</v>
      </c>
      <c r="AH147" s="26">
        <f>Target_HQ</f>
        <v>1</v>
      </c>
      <c r="AI147" s="26">
        <f>Target_HQ_default</f>
        <v>1</v>
      </c>
      <c r="AJ147" s="146"/>
      <c r="AL147" s="331"/>
    </row>
    <row r="148" spans="1:44" ht="31.15" customHeight="1">
      <c r="A148" s="45"/>
      <c r="B148" s="51" t="s">
        <v>283</v>
      </c>
      <c r="C148" s="51"/>
      <c r="D148" s="108"/>
      <c r="E148" s="104" t="s">
        <v>251</v>
      </c>
      <c r="F148" s="51" t="s">
        <v>287</v>
      </c>
      <c r="G148" s="589">
        <f>IF(AND(URF="Not Available",RfC="Not Available"),"No tox data available",IF(CAS="75-01-4",(Target_CR/(URF+((URF*EF*ED*ET*(1/24))/(ATc*365)))),IF(Chem="Trichloroethylene",1/((EF*MMOAF*ET*mIURTCE/(Target_CR*ATc*365*24))+EF*ED*ET*IURTCE_R/(Target_CR*ATc*365*24)),IF(MUT="Yes",Target_CR*ATc*365*24/(URF*MMOAF*EF*ET),IF(URF="Not Available",(Target_HQ*ATnc*365*24*RfC*1000/(EF*ED*ET)),IF(RfC="Not Available",(Target_CR*ATc*365/(URF*ED*EF*ET/24)),MIN((Target_CR*ATc*365/(URF*ED*EF*ET/24)),(Target_HQ*ATnc*365*24*RfC*1000/(EF*ED*ET)))))))))</f>
        <v>1.276223776223776</v>
      </c>
      <c r="H148" s="741" t="s">
        <v>1701</v>
      </c>
      <c r="I148" s="589">
        <f>IF(AND(URF_default="Not Available",RfC_default="Not Available"),"No tox data available",IF(Chem="Vinyl chloride",(Target_CR_default/(URF_default+((URF_default*EF_default*ED_default*ET_default*(1/24))/(Atc_default*365)))),IF(Chem="Trichloroethylene",1/((EF_default*MMOAF_default*ET_default*mIURTCE_R/(Target_CR_default*Atc_default*365*24))+EF_default*ED_default*ET_default*IURTCE_R/(Target_CR_default*Atc_default*365*24)),IF(MUT="Yes",Target_CR_default*Atc_default*365*24/(URF_default*MMOAF_default*EF_default*ET_default),IF(URF_default="Not Available",(Target_HQ_default*ATnc_default*365*24*RfC_default*1000/(EF_default*ED_default*ET_default)),IF(RfC_default="Not Available",(Target_CR_default*Atc_default*365/(URF_default*ED_default*EF_default*ET_default/24)),MIN((Target_CR_default*Atc_default*365/(URF_default*ED_default*EF_default*ET_default/24)),(Target_HQ_default*ATnc_default*365*24*RfC_default*1000/(EF_default*ED_default*ET_default)))))))))</f>
        <v>1.276223776223776</v>
      </c>
      <c r="J148" s="163" t="s">
        <v>1701</v>
      </c>
      <c r="K148" s="927" t="str">
        <f>IF(Target_IA="No tox data available","",IF(Chem="Vinyl chloride","Target indoor air concentration based on cancer risk (unit risk factor)",IF(Chem="Trichloroethylene","Target indoor air concentration based on both cancer risk and non-cancer toxicity",IF(URF=0,"Target indoor air concentration based on non-cancer toxicity (reference concentration)",IF(RfC=0,"Target indoor air concentration based on cancer risk (unit risk factor)",IF((Target_CR*ATc*365/(URF*ED*EF*ET/24))&lt;(Target_HQ*1000*RfC*ATnc*365/(ED*EF*ET/24)),"Target indoor air concentration based on cancer risk (unit risk factor)","Target indoor air concentration based on non-cancer toxicity (reference concentration)"))))))</f>
        <v>Target indoor air concentration based on cancer risk (unit risk factor)</v>
      </c>
      <c r="L148" s="928"/>
      <c r="M148" s="586"/>
      <c r="AB148" s="45"/>
      <c r="AC148" s="51" t="s">
        <v>283</v>
      </c>
      <c r="AD148" s="51"/>
      <c r="AE148" s="108"/>
      <c r="AF148" s="104" t="s">
        <v>251</v>
      </c>
      <c r="AG148" s="51" t="s">
        <v>287</v>
      </c>
      <c r="AH148" s="589">
        <f>IF(AND(URF="Not Available",RfC="Not Available"),"No tox data available",IF(Chem="Vinyl chloride",(Target_CR/(URF+((URF*EF*ED*ET*(1/24))/(ATc*365)))),IF(Chem="Trichloroethylene",1/((EF*MMOAF*ET*mIURTCE/(Target_CR*ATc*365*24))+EF*ED*ET*IURTCE_R/(Target_CR*ATc*365*24)),IF(MUT="Yes",Target_CR*ATc*365*24/(URF*MMOAF*EF*ET),IF(URF="Not Available",(Target_HQ*ATnc*365*24*RfC*1000/(EF*ED*ET)),IF(RfC="Not Available",(Target_CR*ATc*365/(URF*ED*EF*ET/24)),MIN((Target_CR*ATc*365/(URF*ED*EF*ET/24)),(Target_HQ*ATnc*365*24*RfC*1000/(EF*ED*ET)))))))))</f>
        <v>1.276223776223776</v>
      </c>
      <c r="AI148" s="589">
        <f>IF(AND(URF_default="Not Available",RfC_default="Not Available"),"No tox data available",IF(Chem="Vinyl chloride",(Target_CR_default/(URF_default+((URF_default*EF_default*ED_default*ET_default*(1/24))/(Atc_default*365)))),IF(Chem="Trichloroethylene",1/((EF_default*MMOAF_default*ET_default*mIURTCE_R/(Target_CR_default*Atc_default*365*24))+EF_default*ED_default*ET_default*IURTCE_R/(Target_CR_default*Atc_default*365*24)),IF(MUT="Yes",Target_CR_default*Atc_default*365*24/(URF_default*MMOAF_default*EF_default*ET_default),IF(URF_default="Not Available",(Target_HQ_default*ATnc_default*365*24*RfC_default*1000/(EF_default*ED_default*ET_default)),IF(RfC_default="Not Available",(Target_CR_default*Atc_default*365/(URF_default*ED_default*EF_default*ET_default/24)),MIN((Target_CR_default*Atc_default*365/(URF_default*ED_default*EF_default*ET_default/24)),(Target_HQ_default*ATnc_default*365*24*RfC_default*1000/(EF_default*ED_default*ET_default)))))))))</f>
        <v>1.276223776223776</v>
      </c>
      <c r="AJ148" s="589"/>
      <c r="AK148" s="155"/>
      <c r="AL148" s="156" t="str">
        <f>IF(Target_IA="No tox data available","",IF(Chem="Vinyl chloride (chloroethene)","Target indoor air concentration based on cancer risk (unit risk factor)",IF(Chem="Trichloroethylene","Target indoor air concentration based on both cancer risk and non-cancer toxicity",IF(URF=0,"Target indoor air concentration based on non-cancer toxicity (reference concentration)",IF(RfC=0,"Target indoor air concentration based on cancer risk (unit risk factor)",IF((Target_CR*ATc*365/(URF*ED*EF*ET/24))&lt;(Target_HQ*RfC*ATnc*365/(ED*EF*ET/24)),"Target indoor air concentration based on cancer risk (unit risk factor)","Target indoor air concentration based on non-cancer toxicity (reference concentration)"))))))</f>
        <v>Target indoor air concentration based on non-cancer toxicity (reference concentration)</v>
      </c>
    </row>
    <row r="149" spans="1:44">
      <c r="A149" s="45"/>
      <c r="B149" s="51"/>
      <c r="C149" s="51"/>
      <c r="D149" s="108"/>
      <c r="E149" s="104" t="s">
        <v>1638</v>
      </c>
      <c r="F149" s="51"/>
      <c r="G149" s="589">
        <f>IF(AND(URF="Not Available",RfC="Not Available"),"No tox data available",G148*24.46/INDEX(CHEM_DATA!$C6:$C474, MATCH(Chem,Chem_Search, 0)))</f>
        <v>0.70859476021322831</v>
      </c>
      <c r="H149" s="741" t="s">
        <v>1701</v>
      </c>
      <c r="I149" s="589">
        <f>IF(Target_IA_default="No tox data available","NA",Target_IA_default*24.46/INDEX(CHEM_DATA!$C6:$C474, MATCH(Chem,Chem_Search, 0)))</f>
        <v>0.70859476021322831</v>
      </c>
      <c r="J149" s="163" t="s">
        <v>1701</v>
      </c>
      <c r="L149" s="337"/>
      <c r="M149" s="156"/>
      <c r="AB149" s="45"/>
      <c r="AC149" s="51"/>
      <c r="AD149" s="51"/>
      <c r="AE149" s="108"/>
      <c r="AF149" s="104" t="s">
        <v>1638</v>
      </c>
      <c r="AG149" s="51"/>
      <c r="AH149" s="589">
        <f>IF(AND(URF="Not Available",RfC="Not Available"),"No tox data available",AH148*24.46/INDEX(CHEM_DATA!$C6:$C474, MATCH(Chem,Chem_Search, 0)))</f>
        <v>0.70859476021322831</v>
      </c>
      <c r="AI149" s="589">
        <f>IF(Target_IA_default="No tox data available","NA",Target_IA_default*24.46/INDEX(CHEM_DATA!$C6:$C474, MATCH(Chem,Chem_Search, 0)))</f>
        <v>0.70859476021322831</v>
      </c>
      <c r="AJ149" s="146"/>
      <c r="AL149" s="337"/>
    </row>
    <row r="150" spans="1:44">
      <c r="A150" s="45"/>
      <c r="B150" s="51" t="str">
        <f>IF(Source="Groundwater","Target groundwater concentration","Target soil gas concentration")</f>
        <v>Target groundwater concentration</v>
      </c>
      <c r="C150" s="51"/>
      <c r="D150" s="108"/>
      <c r="E150" s="104" t="str">
        <f>IF(Source="Groundwater","(ug/L)","(ug/m3)")</f>
        <v>(ug/L)</v>
      </c>
      <c r="F150" s="51" t="str">
        <f>IF(Source="Groundwater","Target_GW","Target_SV")</f>
        <v>Target_GW</v>
      </c>
      <c r="G150" s="589">
        <f>IF(Target_IA="No tox data available","No tox data available",IF(Source="Groundwater",Target_IA/(Hs*1000*alpha),Target_IA/alpha))</f>
        <v>471.14131343570392</v>
      </c>
      <c r="H150" s="589" t="str">
        <f>IF(P150&lt;Q150,CONCATENATE(TEXT(P150,"0.0E+00")," - ",TEXT(Q150,"0.0E+00")),CONCATENATE(TEXT(Q150,"0.0E+00")," - ",TEXT(P150,"0.0E+00")))</f>
        <v>3.2E+02 - 3.9E+03</v>
      </c>
      <c r="I150" s="590">
        <f>IF(Target_IA_default="No tox data available","No tox data available",IF(Source="Groundwater",Target_IA_default/(Hs_default*1000*alpha_default),Target_IA_default/alpha_default))</f>
        <v>471.14131343570392</v>
      </c>
      <c r="J150" s="919" t="str">
        <f>IF(R150&lt;S150,CONCATENATE(TEXT(R150,"0.0E+00")," - ",TEXT(S150,"0.0E+00")),CONCATENATE(TEXT(S150,"0.0E+00")," - ",TEXT(R150,"0.0E+00")))</f>
        <v>3.2E+02 - 3.9E+03</v>
      </c>
      <c r="L150" s="337"/>
      <c r="M150" s="156"/>
      <c r="P150" s="28">
        <f>IF(Target_IA="No tox data available","NA",IF(Source="Groundwater",Target_IA/(Hs*1000*alpha_min),Target_IA/alpha_min))</f>
        <v>3875.0032845448382</v>
      </c>
      <c r="Q150" s="28">
        <f>IF(Target_IA="No tox data available","NA",IF(Source="Groundwater",Target_IA/(Hs*1000*alpha_max),Target_IA/alpha_max))</f>
        <v>324.53944834377438</v>
      </c>
      <c r="R150" s="28">
        <f>IF(Target_IA="No tox data available","NA",IF(Source="Groundwater",Target_IA_default/(Hs*1000*alpha_min_default),Target_IA_default/alpha_min_default))</f>
        <v>3875.0032845448382</v>
      </c>
      <c r="S150" s="28">
        <f>IF(Target_IA="No tox data available","NA",IF(Source="Groundwater",Target_IA_default/(Hs*1000*alpha_max_default),Target_IA_default/alpha_max_default))</f>
        <v>324.53944834377438</v>
      </c>
      <c r="AB150" s="45"/>
      <c r="AC150" s="51" t="str">
        <f>IF(Source="Groundwater","Target groundwater concentration","Target soil gas concentration")</f>
        <v>Target groundwater concentration</v>
      </c>
      <c r="AD150" s="51"/>
      <c r="AE150" s="108"/>
      <c r="AF150" s="104" t="str">
        <f>IF(Source="Groundwater","(ug/L)","(ug/m3)")</f>
        <v>(ug/L)</v>
      </c>
      <c r="AG150" s="51" t="str">
        <f>IF(Source="Groundwater","Target_GW","Target_SV")</f>
        <v>Target_GW</v>
      </c>
      <c r="AH150" s="589">
        <f>IF(Target_IA="No tox data available","No tox data available",IF(Source="Groundwater",Target_IA/(Hs*1000*alpha),Target_IA/alpha))</f>
        <v>471.14131343570392</v>
      </c>
      <c r="AI150" s="590">
        <f>IF(Target_IA_default="No tox data available","No tox data available",IF(Source="Groundwater",Target_IA_default/(Hs_default*1000*alpha_default),Target_IA_default/alpha_default))</f>
        <v>471.14131343570392</v>
      </c>
      <c r="AJ150" s="146"/>
      <c r="AL150" s="337"/>
    </row>
    <row r="151" spans="1:44">
      <c r="A151" s="45"/>
      <c r="B151" s="36"/>
      <c r="C151" s="36"/>
      <c r="D151" s="36"/>
      <c r="E151" s="26"/>
      <c r="F151" s="36"/>
      <c r="G151" s="36"/>
      <c r="H151" s="36"/>
      <c r="I151" s="36"/>
      <c r="J151" s="146"/>
      <c r="L151" s="331"/>
      <c r="M151" s="154"/>
      <c r="AB151" s="45"/>
      <c r="AC151" s="36"/>
      <c r="AD151" s="36"/>
      <c r="AE151" s="36"/>
      <c r="AF151" s="26"/>
      <c r="AG151" s="36"/>
      <c r="AH151" s="36"/>
      <c r="AI151" s="36"/>
      <c r="AJ151" s="146"/>
      <c r="AL151" s="331"/>
    </row>
    <row r="152" spans="1:44" ht="18">
      <c r="A152" s="63" t="s">
        <v>301</v>
      </c>
      <c r="B152" s="64"/>
      <c r="C152" s="64"/>
      <c r="D152" s="64"/>
      <c r="E152" s="65"/>
      <c r="F152" s="64"/>
      <c r="G152" s="64"/>
      <c r="H152" s="64"/>
      <c r="I152" s="64"/>
      <c r="J152" s="64"/>
      <c r="K152" s="64"/>
      <c r="L152" s="59"/>
      <c r="M152" s="154"/>
      <c r="AB152" s="63" t="s">
        <v>301</v>
      </c>
      <c r="AC152" s="64"/>
      <c r="AD152" s="64"/>
      <c r="AE152" s="64"/>
      <c r="AF152" s="65"/>
      <c r="AG152" s="64"/>
      <c r="AH152" s="64"/>
      <c r="AI152" s="64"/>
      <c r="AJ152" s="64"/>
      <c r="AK152" s="64"/>
      <c r="AL152" s="64"/>
      <c r="AM152" s="59"/>
      <c r="AN152" s="154"/>
    </row>
    <row r="153" spans="1:44" ht="27.6" customHeight="1">
      <c r="A153" s="45"/>
      <c r="B153" s="51" t="s">
        <v>285</v>
      </c>
      <c r="C153" s="51"/>
      <c r="D153" s="51"/>
      <c r="E153" s="104" t="s">
        <v>128</v>
      </c>
      <c r="F153" s="51" t="s">
        <v>2366</v>
      </c>
      <c r="G153" s="590">
        <f>IF(URF="Not Available","No IUR",IF(Chem&lt;&gt;"Trichloroethylene",
Cia*(IF(AND(Chem="Vinyl Chloride",Scenario="Residential"),URF,0)+URF*IF(MUT="Yes",MMOAF,ED)*EF*ET/(ATc*365*24)),
IF(Scenario="Residential",Cia*mIURTCE_R_GW*MMOAF*EF*ET/(ATc*365*24)+Cia*IURTCE_R_GW*ED*EF*ET/(ATc*365*24),
Cia*mIURTCE_C_GW*MMOAF*EF*ET/(ATc*365*24)+Cia*mIURTCE_C_GW*ED*EF*ET/(ATc*365*24))))</f>
        <v>1.0612527191764395E-6</v>
      </c>
      <c r="H153" s="590" t="str">
        <f>IF(P153&lt;Q153,CONCATENATE(TEXT(P153,"0.0E+00")," - ",TEXT(Q153,"0.0E+00")),CONCATENATE(TEXT(Q153,"0.0E+00")," - ",TEXT(P153,"0.0E+00")))</f>
        <v>1.3E-07 - 1.5E-06</v>
      </c>
      <c r="I153" s="590">
        <f>IF(URF_default="Not Available","No IUR",IF(Chem&lt;&gt;"Trichloroethylene",
Cia_default*(IF(AND(Chem="Vinyl Chloride",Scenario="Residential"),URF_default,0)+URF_default*IF(MUT="Yes",MMOAF_default,ED_default)*EF_default*ET_default/(Atc_default*365*24)),
IF(Scenario="Residential",Cia_default*mIURTCE_R_GW*MMOAF_default*EF_default*ET_default/(Atc_default*365*24)+Cia_default*IURTCE_R_GW*ED*EF_default*ET_default/(ATc*365*24),
Cia_default*mIURTCE_C_GW*MMOAF_default*EF_default*ET_default/(Atc_default*365*24)+Cia_default*mIURTCE_C_GW*ED_default*EF_default*ET_default/(Atc_default*365*24))))</f>
        <v>1.0612527191764395E-6</v>
      </c>
      <c r="J153" s="742" t="str">
        <f>IF(R153&lt;S153,CONCATENATE(TEXT(R153,"0.0E+00")," - ",TEXT(S153,"0.0E+00")),CONCATENATE(TEXT(S153,"0.0E+00")," - ",TEXT(R153,"0.0E+00")))</f>
        <v>1.3E-07 - 1.5E-06</v>
      </c>
      <c r="K153" s="917" t="str">
        <f>IF(COUNTIF($J$10:$J$85,"ERROR")&gt;0,"ERROR",IF(INDEX(CHEM_DATA!$AE:$AE, MATCH(Chem, Chem_Search, 0))="Yes","WARNING",""))</f>
        <v>WARNING</v>
      </c>
      <c r="L153" s="916" t="str">
        <f>IF(COUNTIF($J$10:$J$85,"ERROR")&gt;0,"Invalid result. Please correct errors.","Note: biodegradation not included in this model, may over estimate indoor air concentrations.")</f>
        <v>Note: biodegradation not included in this model, may over estimate indoor air concentrations.</v>
      </c>
      <c r="M153" s="156"/>
      <c r="P153" s="95">
        <f>IF(URF="Not Available","",IF(Chem&lt;&gt;"Trichloroethylene",
Cia_min*(IF(AND(Chem="Vinyl Chloride",Scenario="Residential"),URF,0)+URF*IF(MUT="Yes",MMOAF,ED)*EF*ET/(ATc*365*24)),
IF(Scenario="Residential",Cia_min*mIURTCE_R_GW*MMOAF*EF*ET/(ATc*365*24)+Cia_min*IURTCE_R_GW*ED*EF*ET/(ATc*365*24),
Cia_min*mIURTCE_C_GW*MMOAF*EF*ET/(ATc*365*24)+Cia_min*mIURTCE_C_GW*ED*EF*ET/(ATc*365*24))))</f>
        <v>1.2903214869370891E-7</v>
      </c>
      <c r="Q153" s="95">
        <f>IF(URF="Not Available","",IF(Chem&lt;&gt;"Trichloroethylene",
Cia_max*(IF(AND(Chem="Vinyl Chloride",Scenario="Residential"),URF,0)+URF*IF(MUT="Yes",MMOAF,ED)*EF*ET/(ATc*365*24)),
IF(Scenario="Residential",Cia_max*mIURTCE_R_GW*MMOAF*EF*ET/(ATc*365*24)+Cia_max*IURTCE_R_GW*ED*EF*ET/(ATc*365*24),
Cia_max*mIURTCE_C_GW*MMOAF*EF*ET/(ATc*365*24)+Cia_max*mIURTCE_C_GW*ED*EF*ET/(ATc*365*24))))</f>
        <v>1.5406447584466397E-6</v>
      </c>
      <c r="R153" s="95">
        <f>IF(URF_default="Not Available","No IUR",IF(Chem&lt;&gt;"Trichloroethylene",
Cia_min_default*(IF(AND(Chem="Vinyl Chloride",Scenario="Residential"),URF_default,0)+URF_default*IF(MUT="Yes",MMOAF_default,ED_default)*EF_default*ET_default/(Atc_default*365*24)),
IF(Scenario="Residential",Cia_min_default*mIURTCE_R_GW*MMOAF_default*EF_default*ET_default/(Atc_default*365*24)+Cia_min_default*IURTCE_R_GW*ED*EF_default*ET_default/(ATc*365*24),
Cia_min_default*mIURTCE_C_GW*MMOAF_default*EF_default*ET_default/(Atc_default*365*24)+Cia_min_default*mIURTCE_C_GW*ED_default*EF_default*ET_default/(Atc_default*365*24))))</f>
        <v>1.2903214869370891E-7</v>
      </c>
      <c r="S153" s="95">
        <f>IF(URF_default="Not Available","No IUR",IF(Chem&lt;&gt;"Trichloroethylene",
Cia_max_default*(IF(AND(Chem="Vinyl Chloride",Scenario="Residential"),URF_default,0)+URF_default*IF(MUT="Yes",MMOAF_default,ED_default)*EF_default*ET_default/(Atc_default*365*24)),
IF(Scenario="Residential",Cia_max_default*mIURTCE_R_GW*MMOAF_default*EF_default*ET_default/(Atc_default*365*24)+Cia_max_default*IURTCE_R_GW*ED*EF_default*ET_default/(ATc*365*24),
Cia_max_default*mIURTCE_C_GW*MMOAF_default*EF_default*ET_default/(Atc_default*365*24)+Cia_max_default*mIURTCE_C_GW*ED_default*EF_default*ET_default/(Atc_default*365*24))))</f>
        <v>1.5406447584466397E-6</v>
      </c>
      <c r="AB153" s="45"/>
      <c r="AC153" s="51" t="s">
        <v>285</v>
      </c>
      <c r="AD153" s="51"/>
      <c r="AE153" s="51"/>
      <c r="AF153" s="104" t="s">
        <v>128</v>
      </c>
      <c r="AG153" s="913" t="s">
        <v>2366</v>
      </c>
      <c r="AH153" s="590">
        <f>IF(URF="Not Available","No IUR",IF(Chem&lt;&gt;"Trichloroethylene",
Cia*(IF(AND(Chem="Vinyl Chloride",Scenario="Residential"),URF,0)+URF*IF(MUT="Yes",MMOAF,ED)*EF*ET/(ATc*365*24)),
IF(Scenario="Residential",Cia*mIURTCE_R_GW*MMOAF*EF*ET/(ATc*365*24)+Cia*IURTCE_R_GW*ED*EF*ET/(ATc*365*24),
Cia*mIURTCE_C_GW*MMOAF*EF*ET/(ATc*365*24)+Cia*mIURTCE_C_GW*ED*EF*ET/(ATc*365*24))))</f>
        <v>1.0612527191764395E-6</v>
      </c>
      <c r="AI153" s="590">
        <f>IF(URF_default="Not Available","No IUR",IF(Chem&lt;&gt;"Trichloroethylene",
Cia_default*(IF(AND(Chem="Vinyl Chloride",Scenario="Residential"),URF_default,0)+URF_default*IF(MUT="Yes",MMOAF_default,ED_default)*EF_default*ET_default/(Atc_default*365*24)),
IF(Scenario="Residential",Cia_default*mIURTCE_R_GW*MMOAF_default*EF_default*ET_default/(Atc_default*365*24)+Cia_default*IURTCE_R_GW*ED*EF_default*ET_default/(ATc*365*24),
Cia_default*mIURTCE_C_GW*MMOAF_default*EF_default*ET_default/(Atc_default*365*24)+Cia_default*mIURTCE_C_GW*ED_default*EF_default*ET_default/(Atc_default*365*24))))</f>
        <v>1.0612527191764395E-6</v>
      </c>
      <c r="AJ153" s="923" t="str">
        <f>IF(COUNTIF($J$10:$J$85,"ERROR")&gt;0,"Invalid result. Please correct errors.","Note: biodegradation not included in this model, may over estimate indoor air concentrations.")</f>
        <v>Note: biodegradation not included in this model, may over estimate indoor air concentrations.</v>
      </c>
      <c r="AK153" s="924"/>
      <c r="AL153" s="909"/>
      <c r="AO153" s="28">
        <f>IF(URF="Not Available","NA",IF(Chem="Vinyl Chloride",Cia_min*(URF+((ED*EF*(ET/24)*URF)/(ATc*365))),IF(AND(URF="NA",MUT="No"),"NA",IF(MUT="Yes",URF*MMOAF*EF*(ET/24)*Cia_min/(ATc*365),0)+IF(MUT="No",URF*ED*EF*(ET/24)*Cia_min/(ATc*365),0))))</f>
        <v>1.2903214869370889E-7</v>
      </c>
      <c r="AP153" s="28">
        <f>IF(URF="Not Available","NA",IF(Chem="Vinyl Chloride",Cia_max*(URF+((ED*EF*(ET/24)*URF)/(ATc*365))),IF(AND(URF="NA",MUT="No"),"NA",IF(MUT="Yes",URF*MMOAF*EF*(ET/24)*Cia_max/(ATc*365),0)+IF(MUT="No",URF*ED*EF*(ET/24)*Cia_max/(ATc*365),0))))</f>
        <v>1.5406447584466395E-6</v>
      </c>
      <c r="AQ153" s="28">
        <f>IF(URF="Not Available","NA",IF(Chem="Vinyl Chloride",Cia_min_default*(URF_default+((ED_default*EF_default*(ET_default/24)*URF_default)/(Atc_default*365))),IF(AND(URF_default="NA",MUT="No"),"NA",IF(MUT="Yes",URF_default*MMOAF_default*EF_default*(ET_default/24)*Cia_min_default/(Atc_default*365),0)+IF(MUT="No",URF_default*ED_default*EF_default*(ET_default/24)*Cia_min_default/(Atc_default*365),0))))</f>
        <v>1.2903214869370889E-7</v>
      </c>
      <c r="AR153" s="28">
        <f>IF(URF="Not Available","NA",IF(Chem="Vinyl Chloride",Cia_max_default*(URF_default+((ED_default*EF_default*(ET_default/24)*URF_default)/(Atc_default*365))),IF(AND(URF_default="NA",MUT="No"),"NA",IF(MUT="Yes",URF_default*MMOAF_default*EF_default*(ET_default/24)*Cia_max_default/(Atc_default*365),0)+IF(MUT="No",URF_default*ED_default*EF_default*(ET_default/24)*Cia_max_default/(Atc_default*365),0))))</f>
        <v>1.5406447584466395E-6</v>
      </c>
    </row>
    <row r="154" spans="1:44" s="95" customFormat="1" ht="19.899999999999999" customHeight="1">
      <c r="A154" s="912"/>
      <c r="B154" s="913" t="s">
        <v>286</v>
      </c>
      <c r="C154" s="913"/>
      <c r="D154" s="913"/>
      <c r="E154" s="914" t="s">
        <v>128</v>
      </c>
      <c r="F154" s="913" t="s">
        <v>2365</v>
      </c>
      <c r="G154" s="591">
        <f>IF(RfC="Not Available","No RfC Available",Cia*EF*ED*ET/(RfC*ATnc*365*24*1000))</f>
        <v>0.14430398279399914</v>
      </c>
      <c r="H154" s="591" t="str">
        <f>IF(P154&lt;Q154,CONCATENATE(TEXT(P154,"0.0E+00")," - ",TEXT(Q154,"0.0E+00")),CONCATENATE(TEXT(Q154,"0.0E+00")," - ",TEXT(P154,"0.0E+00")))</f>
        <v>1.8E-02 - 2.1E-01</v>
      </c>
      <c r="I154" s="591">
        <f>IF(RfC_default="Not Available","No RfC Available",Cia_default*EF_default*ED_default*ET_default/(RfC_default*ATnc_default*365*24*1000))</f>
        <v>0.14430398279399914</v>
      </c>
      <c r="J154" s="743" t="str">
        <f>IF(R154&lt;S154,CONCATENATE(TEXT(R154,"0.0E+00")," - ",TEXT(S154,"0.0E+00")),CONCATENATE(TEXT(S154,"0.0E+00")," - ",TEXT(R154,"0.0E+00")))</f>
        <v>1.8E-02 - 2.1E-01</v>
      </c>
      <c r="K154" s="587" t="str">
        <f>IF(COUNTIF($J$10:$J$85,"ERROR")&gt;0,"ERROR",IF(INDEX(CHEM_DATA!$AE:$AE, MATCH(Chem, Chem_Search, 0))="Yes","WARNING",""))</f>
        <v>WARNING</v>
      </c>
      <c r="L154" s="915" t="str">
        <f>IF(COUNTIF($J$10:$J$85,"ERROR")&gt;0,"Invalid result. Please correct errors.","Note: biodegradation not included in this model, may over estimate indoor air concentrations.")</f>
        <v>Note: biodegradation not included in this model, may over estimate indoor air concentrations.</v>
      </c>
      <c r="M154" s="909"/>
      <c r="P154" s="95">
        <f>IF(RfC="Not Available","No RfC Available",Cia_min*EF*ED*ET/(RfC*ATnc*365*24*1000))</f>
        <v>1.7545163963791025E-2</v>
      </c>
      <c r="Q154" s="95">
        <f>IF(RfC="Not Available","No RfC Available",Cia_max*EF*ED*ET/(RfC*ATnc*365*24*1000))</f>
        <v>0.20948938051916227</v>
      </c>
      <c r="R154" s="95">
        <f>IF(RfC_default="Not Available","No RfC Available",Cia_min_default*EF_default*ED_default*ET_default/(RfC_default*ATnc_default*365*24*1000))</f>
        <v>1.7545163963791025E-2</v>
      </c>
      <c r="S154" s="95">
        <f>IF(RfC_default="Not Available","No RfC Available",Cia_max_default*EF_default*ED_default*ET_default/(RfC_default*ATnc_default*365*24*1000))</f>
        <v>0.20948938051916227</v>
      </c>
      <c r="AB154" s="912"/>
      <c r="AC154" s="913" t="s">
        <v>286</v>
      </c>
      <c r="AD154" s="913"/>
      <c r="AE154" s="913"/>
      <c r="AF154" s="914" t="s">
        <v>128</v>
      </c>
      <c r="AG154" s="913" t="s">
        <v>2365</v>
      </c>
      <c r="AH154" s="591">
        <f>IF(RfC="Not Available","No RfC Available",Cia*EF*ED*ET/(RfC*ATnc*365*24*1000))</f>
        <v>0.14430398279399914</v>
      </c>
      <c r="AI154" s="591">
        <f>IF(RfC_default="Not Available","No RfC Available",Cia_default*EF_default*ED_default*ET_default/(RfC_default*ATnc_default*365*24*1000))</f>
        <v>0.14430398279399914</v>
      </c>
      <c r="AJ154" s="587" t="str">
        <f>IF(COUNTIF($J$10:$J$85,"ERROR")&gt;0,"ERROR",IF(INDEX(CHEM_DATA!$AE:$AE, MATCH(Chem, Chem_Search, 0))="Yes","WARNING",""))</f>
        <v>WARNING</v>
      </c>
      <c r="AK154" s="915" t="str">
        <f>IF(COUNTIF($J$10:$J$85,"ERROR")&gt;0,"Invalid result. Please correct errors.","Note: biodegradation not included in this model, may over estimate indoor air concentrations.")</f>
        <v>Note: biodegradation not included in this model, may over estimate indoor air concentrations.</v>
      </c>
      <c r="AL154" s="909"/>
      <c r="AO154" s="95">
        <f>IF(Chem&lt;&gt;"Trichloroethylene",IF(RfC="Not Available","No RfC Available",ED*EF*(ET/24)*Cia_min/(RfC*ATnc*1000*365)),IF(Scenario&lt;&gt; "Commercial",Cia_min*mIURTCE_R_GW*MMOAF*EF*ET/(ATc*365*24)+Cia_min*IURTCE_R_GW*ED*EF*ET/(ATc*365*24), Cia_min*mIURTCE_C_GW*MMOAF*EF*ET/(ATc*365*24)+Cia_min*IURTCE_C_GW*ED*EF*ET/(ATc*365*24)))</f>
        <v>1.7545163963791032E-2</v>
      </c>
      <c r="AP154" s="95">
        <f>IF(Chem&lt;&gt;"Trichloroethylene",IF(RfC="Not Available","No RfC Available",ED*EF*(ET/24)*Cia_max/(RfC*ATnc*1000*365)),IF(Scenario&lt;&gt; "Commercial",Cia_max*mIURTCE_R_GW*MMOAF*EF*ET/(ATc*365*24)+Cia_max*IURTCE_R_GW*ED*EF*ET/(ATc*365*24), Cia_max*mIURTCE_C_GW*MMOAF*EF*ET/(ATc*365*24)+Cia_max*IURTCE_C_GW*ED*EF*ET/(ATc*365*24)))</f>
        <v>0.20948938051916233</v>
      </c>
      <c r="AQ154" s="95">
        <f>IF(Chem&lt;&gt;"Trichloroethylene",IF(RfC="Not Available","No RfC Available",ED_default*EF_default*(ET_default/24)*Cia_min_default/(1000*RfC_default*ATnc_default*365)),  IF(Scenario&lt;&gt; "Commercial",Cia_min_default*mIURTCE_R_GW*MMOAF_default*EF_default*ET_default/(Atc_default*365*24)+Cia_min_default*IURTCE_R_GW*ED_default*EF_default*ET_default/(Atc_default*365*24), Cia_min_default*mIURTCE_C_GW*MMOAF_default*EF_default*ET_default/(Atc_default*365*24)+Cia_min_default*IURTCE_C_GW*ED_default*EF_default*ET_default/(Atc_default*365*24)))</f>
        <v>1.7545163963791032E-2</v>
      </c>
      <c r="AR154" s="95">
        <f>IF(Chem&lt;&gt;"Trichloroethylene",IF(RfC="Not Available","No RfC Available",ED_default*EF_default*(ET_default/24)*Cia_max_default/(1000*RfC_default*ATnc_default*365)),  IF(Scenario&lt;&gt; "Commercial",Cia_max_default*mIURTCE_R_GW*MMOAF_default*EF_default*ET_default/(Atc_default*365*24)+Cia_max_default*IURTCE_R_GW*ED_default*EF_default*ET_default/(Atc_default*365*24), Cia_max_default*mIURTCE_C_GW*MMOAF_default*EF_default*ET_default/(Atc_default*365*24)+Cia_max_default*IURTCE_C_GW*ED_default*EF_default*ET_default/(Atc_default*365*24)))</f>
        <v>0.20948938051916233</v>
      </c>
    </row>
    <row r="155" spans="1:44">
      <c r="J155" s="579" t="str">
        <f>CONCATENATE(K154,": ",L154)</f>
        <v>WARNING: Note: biodegradation not included in this model, may over estimate indoor air concentrations.</v>
      </c>
      <c r="K155" s="146"/>
      <c r="AJ155" s="158"/>
    </row>
    <row r="156" spans="1:44">
      <c r="B156" s="904"/>
      <c r="C156" s="905"/>
      <c r="AJ156" s="28"/>
      <c r="AK156" s="158"/>
    </row>
    <row r="157" spans="1:44" ht="13.5" customHeight="1">
      <c r="C157" s="905"/>
      <c r="AJ157" s="28"/>
      <c r="AK157" s="158"/>
    </row>
    <row r="158" spans="1:44">
      <c r="AJ158" s="28"/>
      <c r="AK158" s="158"/>
    </row>
    <row r="159" spans="1:44">
      <c r="AF159" s="67"/>
      <c r="AJ159" s="28"/>
      <c r="AK159" s="158"/>
    </row>
    <row r="160" spans="1:44">
      <c r="AJ160" s="28"/>
      <c r="AK160" s="158"/>
    </row>
    <row r="161" spans="3:37">
      <c r="G161" s="50"/>
      <c r="AJ161" s="28"/>
      <c r="AK161" s="159"/>
    </row>
    <row r="162" spans="3:37" ht="13.5" customHeight="1">
      <c r="G162" s="424"/>
      <c r="AJ162" s="28"/>
      <c r="AK162" s="154"/>
    </row>
    <row r="163" spans="3:37" ht="13.5" customHeight="1">
      <c r="G163" s="50"/>
      <c r="AJ163" s="28"/>
      <c r="AK163" s="154"/>
    </row>
    <row r="164" spans="3:37">
      <c r="G164" s="910"/>
      <c r="AJ164" s="28"/>
      <c r="AK164" s="154"/>
    </row>
    <row r="165" spans="3:37">
      <c r="C165" s="145"/>
      <c r="G165" s="911"/>
      <c r="AJ165" s="28"/>
      <c r="AK165" s="154"/>
    </row>
    <row r="166" spans="3:37">
      <c r="C166" s="145"/>
      <c r="AJ166" s="28"/>
      <c r="AK166" s="154"/>
    </row>
    <row r="167" spans="3:37">
      <c r="C167" s="145"/>
      <c r="AJ167" s="28"/>
      <c r="AK167" s="154"/>
    </row>
    <row r="168" spans="3:37">
      <c r="AJ168" s="28"/>
      <c r="AK168" s="154"/>
    </row>
    <row r="169" spans="3:37">
      <c r="AJ169" s="28"/>
      <c r="AK169" s="154"/>
    </row>
    <row r="170" spans="3:37">
      <c r="AJ170" s="28"/>
      <c r="AK170" s="154"/>
    </row>
    <row r="171" spans="3:37">
      <c r="AJ171" s="28"/>
      <c r="AK171" s="154"/>
    </row>
    <row r="172" spans="3:37">
      <c r="AJ172" s="28"/>
      <c r="AK172" s="154"/>
    </row>
    <row r="173" spans="3:37">
      <c r="AJ173" s="28"/>
      <c r="AK173" s="154"/>
    </row>
    <row r="174" spans="3:37">
      <c r="AJ174" s="28"/>
      <c r="AK174" s="154"/>
    </row>
    <row r="175" spans="3:37">
      <c r="AJ175" s="28"/>
      <c r="AK175" s="154"/>
    </row>
    <row r="176" spans="3:37">
      <c r="AJ176" s="28"/>
      <c r="AK176" s="154"/>
    </row>
    <row r="177" spans="35:37">
      <c r="AJ177" s="28"/>
      <c r="AK177" s="154"/>
    </row>
    <row r="178" spans="35:37">
      <c r="AJ178" s="28"/>
      <c r="AK178" s="154"/>
    </row>
    <row r="179" spans="35:37">
      <c r="AJ179" s="28"/>
      <c r="AK179" s="154"/>
    </row>
    <row r="180" spans="35:37">
      <c r="AJ180" s="28"/>
      <c r="AK180" s="154"/>
    </row>
    <row r="181" spans="35:37">
      <c r="AJ181" s="28"/>
      <c r="AK181" s="154"/>
    </row>
    <row r="182" spans="35:37">
      <c r="AJ182" s="28"/>
      <c r="AK182" s="154"/>
    </row>
    <row r="183" spans="35:37">
      <c r="AJ183" s="28"/>
      <c r="AK183" s="154"/>
    </row>
    <row r="184" spans="35:37">
      <c r="AJ184" s="28"/>
      <c r="AK184" s="154"/>
    </row>
    <row r="185" spans="35:37" ht="13.5" customHeight="1">
      <c r="AJ185" s="28"/>
      <c r="AK185" s="154"/>
    </row>
    <row r="186" spans="35:37">
      <c r="AJ186" s="28"/>
      <c r="AK186" s="154"/>
    </row>
    <row r="187" spans="35:37">
      <c r="AJ187" s="28"/>
      <c r="AK187" s="154"/>
    </row>
    <row r="188" spans="35:37">
      <c r="AJ188" s="28"/>
      <c r="AK188" s="154"/>
    </row>
    <row r="189" spans="35:37">
      <c r="AJ189" s="28"/>
      <c r="AK189" s="154"/>
    </row>
    <row r="192" spans="35:37">
      <c r="AI192" s="94"/>
    </row>
    <row r="193" spans="35:37">
      <c r="AI193" s="94"/>
    </row>
    <row r="194" spans="35:37">
      <c r="AJ194" s="28"/>
      <c r="AK194" s="154"/>
    </row>
    <row r="195" spans="35:37">
      <c r="AJ195" s="28"/>
      <c r="AK195" s="154"/>
    </row>
    <row r="196" spans="35:37">
      <c r="AJ196" s="154"/>
    </row>
    <row r="197" spans="35:37">
      <c r="AJ197" s="28"/>
      <c r="AK197" s="154"/>
    </row>
    <row r="198" spans="35:37">
      <c r="AJ198" s="28"/>
      <c r="AK198" s="154"/>
    </row>
    <row r="199" spans="35:37">
      <c r="AJ199" s="28"/>
      <c r="AK199" s="155"/>
    </row>
    <row r="200" spans="35:37">
      <c r="AJ200" s="28"/>
      <c r="AK200" s="155"/>
    </row>
    <row r="201" spans="35:37">
      <c r="AJ201" s="28"/>
      <c r="AK201" s="155"/>
    </row>
    <row r="202" spans="35:37">
      <c r="AJ202" s="28"/>
      <c r="AK202" s="154"/>
    </row>
    <row r="203" spans="35:37">
      <c r="AJ203" s="28"/>
      <c r="AK203" s="154"/>
    </row>
    <row r="204" spans="35:37">
      <c r="AJ204" s="28"/>
      <c r="AK204" s="155" t="str">
        <f>IF(COUNTIF($J$10:$J$85,"ERROR")&gt;0,"ERROR","")</f>
        <v/>
      </c>
    </row>
    <row r="205" spans="35:37">
      <c r="AJ205" s="28"/>
      <c r="AK205" s="155" t="str">
        <f>IF(COUNTIF($J$10:$J$85,"ERROR")&gt;0,"ERROR","")</f>
        <v/>
      </c>
    </row>
    <row r="215" spans="53:59">
      <c r="BB215" s="28" t="s">
        <v>1650</v>
      </c>
    </row>
    <row r="216" spans="53:59">
      <c r="BB216" s="145">
        <f>Abf*(Cs-Css)*(DeffT/10000)/(Ls-Lb)</f>
        <v>6.0003895809542719E-2</v>
      </c>
      <c r="BC216" s="28" t="s">
        <v>1649</v>
      </c>
    </row>
    <row r="218" spans="53:59">
      <c r="BB218" s="94" t="s">
        <v>1642</v>
      </c>
      <c r="BD218" s="94" t="s">
        <v>1643</v>
      </c>
      <c r="BF218" s="94" t="s">
        <v>1644</v>
      </c>
    </row>
    <row r="219" spans="53:59">
      <c r="BB219" s="145">
        <f>IF(Source="Groundwater",IF(AND(SCS_B="Not Present",SCS_C="Not Present"),DeffT,DeffA),DeffA)</f>
        <v>8.3304371922586218E-3</v>
      </c>
      <c r="BC219" s="28" t="s">
        <v>1645</v>
      </c>
      <c r="BD219" s="145" t="str">
        <f>IF(Source="Groundwater",IF(AND(SCS_B="Not Present",SCS_C="Not Present"),"",IF(SCS_C="Not Present",hSB/((hSB-hcz)/DeffB+hcz/DeffCZ),DeffB)),DeffB)</f>
        <v/>
      </c>
      <c r="BE219" s="28" t="s">
        <v>1645</v>
      </c>
      <c r="BF219" s="145" t="str">
        <f>IF(Source="Groundwater",IF(AND(SCS_C="Not Present"),"",hSC/((hSC-hcz)/DeffC+hcz/DeffCZ)),DeffC)</f>
        <v/>
      </c>
      <c r="BG219" s="28" t="s">
        <v>1645</v>
      </c>
    </row>
    <row r="221" spans="53:59">
      <c r="BA221" s="28" t="s">
        <v>5</v>
      </c>
      <c r="BC221" s="28" t="s">
        <v>6</v>
      </c>
      <c r="BE221" s="28" t="s">
        <v>7</v>
      </c>
    </row>
    <row r="222" spans="53:59">
      <c r="BA222" s="28" t="s">
        <v>1641</v>
      </c>
      <c r="BB222" s="28" t="s">
        <v>1640</v>
      </c>
      <c r="BC222" s="28" t="s">
        <v>1639</v>
      </c>
      <c r="BD222" s="28" t="s">
        <v>1640</v>
      </c>
      <c r="BE222" s="28" t="s">
        <v>1639</v>
      </c>
      <c r="BF222" s="28" t="s">
        <v>1640</v>
      </c>
    </row>
    <row r="223" spans="53:59">
      <c r="BA223" s="142">
        <f>IF(AND((Ls&gt;Lb),Ls-(hSA+hSB+hSC)=0),Lb,0.0123)</f>
        <v>0.1</v>
      </c>
      <c r="BB223" s="145">
        <f>IF(BA223=0.0123,0.0123,IF(hSA=Ls,Cs-(Emission_Rate*(hSA-BA223)/(Abf*$BB$219/10000)),$BD$223-(Emission_Rate*(hSA-BA223)/(Abf*$BB$219/10000))))</f>
        <v>451.46531759836876</v>
      </c>
      <c r="BC223" s="142">
        <f>IF(AND((Ls&gt;Lb),Ls-(hSA+hSB+hSC)=0),hSA,0.0123)</f>
        <v>2</v>
      </c>
      <c r="BD223" s="145">
        <f>IF(BC223=0.0123,0.0123,IF(BC223=Ls,MAX(BB223:BB323),IF(hSA+hSB=Ls,Cs-(Emission_Rate*(hSA+hSB-BC223)/(Abf*$BD$219/10000)),$BF$223-(Emission_Rate*(hSA+hSB-BC223)/(Abf*$BD$219/10000)))))</f>
        <v>1363.8416183610459</v>
      </c>
      <c r="BE223" s="142">
        <f>IF(AND((Ls&gt;Lb),Ls-(hSA+hSB+hSC)=0),hSA+hSB,0.0123)</f>
        <v>2</v>
      </c>
      <c r="BF223" s="145">
        <f>IF(BE223=0.0123,0.0123,IF(BE223=Ls,MAX(BD223:BD323),Cs-(Emission_Rate*(Ls-BE223)/(Abf*$BF$219/10000))))</f>
        <v>1363.8416183610459</v>
      </c>
    </row>
    <row r="224" spans="53:59">
      <c r="BA224" s="143">
        <f>IF(BA223=0.0123,"",IF(AND(BA223+0.5&gt;hSA,BA223/hSA&lt;1),hSA,IF(BA223+0.5&gt;hSA,"",BA223+0.5)))</f>
        <v>0.6</v>
      </c>
      <c r="BB224" s="145">
        <f t="shared" ref="BB224:BB255" si="0">IF(BA224="","",IF(hSA=Ls,Cs-(Emission_Rate*(hSA-BA224)/(Abf*$BB$219/10000)),$BD$223-(Emission_Rate*(hSA-BA224)/(Abf*$BB$219/10000))))</f>
        <v>691.56434411486271</v>
      </c>
      <c r="BC224" s="28" t="str">
        <f>IF(BC223=0.0123,"",IF(AND(BC223+0.05&gt;(hSA+hSB),BC223/(hSA+hSB)&lt;1),hSA+hSB,IF(BC223+0.5&gt;(hSA+hSB),"",BC223+0.5)))</f>
        <v/>
      </c>
      <c r="BD224" s="145" t="str">
        <f t="shared" ref="BD224:BD255" si="1">IF(BC224="","",IF(hSA+hSB=Ls,Cs-(Emission_Rate*(hSA+hSB-BC224)/(Abf*$BD$219/10000)),$BF$223-(Emission_Rate*(hSA+hSB-BC224)/(Abf*$BD$219/10000))))</f>
        <v/>
      </c>
      <c r="BE224" s="144" t="str">
        <f>IF(BE223=0.0123,"",IF(AND(BE223+0.5&gt;(hSA+hSB+hSC),BE223/(hSA+hSB+hSC)&lt;1),hSA+hSB+hSC,IF(BE223+0.5&gt;(hSA+hSB+hSC),"",BE223+0.5)))</f>
        <v/>
      </c>
      <c r="BF224" s="145" t="str">
        <f t="shared" ref="BF224:BF255" si="2">IF(BE224="","",Cs-(Emission_Rate*(Ls-BE224)/(Abf*$BF$219/10000)))</f>
        <v/>
      </c>
    </row>
    <row r="225" spans="53:58">
      <c r="BA225" s="142">
        <f t="shared" ref="BA225:BA256" si="3">IF(BA224="","",IF(AND(BA224+0.5&gt;hSA,BA224/hSA&lt;1),hSA,IF(BA224+0.5&gt;hSA,"",BA224+0.5)))</f>
        <v>1.1000000000000001</v>
      </c>
      <c r="BB225" s="145">
        <f t="shared" si="0"/>
        <v>931.66337063135677</v>
      </c>
      <c r="BC225" s="144" t="str">
        <f t="shared" ref="BC225:BC256" si="4">IF(BC224="","",IF(AND(BC224+0.05&gt;(hSA+hSB),BC224/(hSA+hSB)&lt;1),hSA+hSB,IF(BC224+0.5&gt;(hSA+hSB),"",BC224+0.5)))</f>
        <v/>
      </c>
      <c r="BD225" s="145" t="str">
        <f t="shared" si="1"/>
        <v/>
      </c>
      <c r="BE225" s="144" t="str">
        <f t="shared" ref="BE225:BE256" si="5">IF(BE224="","",IF(AND(BE224+0.5&gt;(hSA+hSB+hSC),BE224/(hSA+hSB+hSC)&lt;1),hSA+hSB+hSC,IF(BE224+0.5&gt;(hSA+hSB+hSC),"",BE224+0.5)))</f>
        <v/>
      </c>
      <c r="BF225" s="145" t="str">
        <f t="shared" si="2"/>
        <v/>
      </c>
    </row>
    <row r="226" spans="53:58">
      <c r="BA226" s="142">
        <f t="shared" si="3"/>
        <v>1.6</v>
      </c>
      <c r="BB226" s="145">
        <f t="shared" si="0"/>
        <v>1171.7623971478508</v>
      </c>
      <c r="BC226" s="144" t="str">
        <f t="shared" si="4"/>
        <v/>
      </c>
      <c r="BD226" s="145" t="str">
        <f t="shared" si="1"/>
        <v/>
      </c>
      <c r="BE226" s="144" t="str">
        <f t="shared" si="5"/>
        <v/>
      </c>
      <c r="BF226" s="145" t="str">
        <f t="shared" si="2"/>
        <v/>
      </c>
    </row>
    <row r="227" spans="53:58">
      <c r="BA227" s="142">
        <f t="shared" si="3"/>
        <v>2</v>
      </c>
      <c r="BB227" s="145">
        <f t="shared" si="0"/>
        <v>1363.8416183610459</v>
      </c>
      <c r="BC227" s="144" t="str">
        <f t="shared" si="4"/>
        <v/>
      </c>
      <c r="BD227" s="145" t="str">
        <f t="shared" si="1"/>
        <v/>
      </c>
      <c r="BE227" s="144" t="str">
        <f t="shared" si="5"/>
        <v/>
      </c>
      <c r="BF227" s="145" t="str">
        <f t="shared" si="2"/>
        <v/>
      </c>
    </row>
    <row r="228" spans="53:58">
      <c r="BA228" s="142" t="str">
        <f t="shared" si="3"/>
        <v/>
      </c>
      <c r="BB228" s="145" t="str">
        <f t="shared" si="0"/>
        <v/>
      </c>
      <c r="BC228" s="144" t="str">
        <f t="shared" si="4"/>
        <v/>
      </c>
      <c r="BD228" s="145" t="str">
        <f t="shared" si="1"/>
        <v/>
      </c>
      <c r="BE228" s="144" t="str">
        <f t="shared" si="5"/>
        <v/>
      </c>
      <c r="BF228" s="145" t="str">
        <f t="shared" si="2"/>
        <v/>
      </c>
    </row>
    <row r="229" spans="53:58">
      <c r="BA229" s="142" t="str">
        <f t="shared" si="3"/>
        <v/>
      </c>
      <c r="BB229" s="145" t="str">
        <f t="shared" si="0"/>
        <v/>
      </c>
      <c r="BC229" s="144" t="str">
        <f t="shared" si="4"/>
        <v/>
      </c>
      <c r="BD229" s="145" t="str">
        <f t="shared" si="1"/>
        <v/>
      </c>
      <c r="BE229" s="144" t="str">
        <f t="shared" si="5"/>
        <v/>
      </c>
      <c r="BF229" s="145" t="str">
        <f t="shared" si="2"/>
        <v/>
      </c>
    </row>
    <row r="230" spans="53:58">
      <c r="BA230" s="142" t="str">
        <f t="shared" si="3"/>
        <v/>
      </c>
      <c r="BB230" s="145" t="str">
        <f t="shared" si="0"/>
        <v/>
      </c>
      <c r="BC230" s="144" t="str">
        <f t="shared" si="4"/>
        <v/>
      </c>
      <c r="BD230" s="145" t="str">
        <f t="shared" si="1"/>
        <v/>
      </c>
      <c r="BE230" s="144" t="str">
        <f t="shared" si="5"/>
        <v/>
      </c>
      <c r="BF230" s="145" t="str">
        <f t="shared" si="2"/>
        <v/>
      </c>
    </row>
    <row r="231" spans="53:58">
      <c r="BA231" s="142" t="str">
        <f t="shared" si="3"/>
        <v/>
      </c>
      <c r="BB231" s="145" t="str">
        <f t="shared" si="0"/>
        <v/>
      </c>
      <c r="BC231" s="144" t="str">
        <f t="shared" si="4"/>
        <v/>
      </c>
      <c r="BD231" s="145" t="str">
        <f t="shared" si="1"/>
        <v/>
      </c>
      <c r="BE231" s="144" t="str">
        <f t="shared" si="5"/>
        <v/>
      </c>
      <c r="BF231" s="145" t="str">
        <f t="shared" si="2"/>
        <v/>
      </c>
    </row>
    <row r="232" spans="53:58">
      <c r="BA232" s="142" t="str">
        <f t="shared" si="3"/>
        <v/>
      </c>
      <c r="BB232" s="145" t="str">
        <f t="shared" si="0"/>
        <v/>
      </c>
      <c r="BC232" s="144" t="str">
        <f t="shared" si="4"/>
        <v/>
      </c>
      <c r="BD232" s="145" t="str">
        <f t="shared" si="1"/>
        <v/>
      </c>
      <c r="BE232" s="144" t="str">
        <f t="shared" si="5"/>
        <v/>
      </c>
      <c r="BF232" s="145" t="str">
        <f t="shared" si="2"/>
        <v/>
      </c>
    </row>
    <row r="233" spans="53:58">
      <c r="BA233" s="142" t="str">
        <f t="shared" si="3"/>
        <v/>
      </c>
      <c r="BB233" s="145" t="str">
        <f t="shared" si="0"/>
        <v/>
      </c>
      <c r="BC233" s="144" t="str">
        <f t="shared" si="4"/>
        <v/>
      </c>
      <c r="BD233" s="145" t="str">
        <f t="shared" si="1"/>
        <v/>
      </c>
      <c r="BE233" s="144" t="str">
        <f t="shared" si="5"/>
        <v/>
      </c>
      <c r="BF233" s="145" t="str">
        <f t="shared" si="2"/>
        <v/>
      </c>
    </row>
    <row r="234" spans="53:58">
      <c r="BA234" s="142" t="str">
        <f t="shared" si="3"/>
        <v/>
      </c>
      <c r="BB234" s="145" t="str">
        <f t="shared" si="0"/>
        <v/>
      </c>
      <c r="BC234" s="144" t="str">
        <f t="shared" si="4"/>
        <v/>
      </c>
      <c r="BD234" s="145" t="str">
        <f t="shared" si="1"/>
        <v/>
      </c>
      <c r="BE234" s="144" t="str">
        <f t="shared" si="5"/>
        <v/>
      </c>
      <c r="BF234" s="145" t="str">
        <f t="shared" si="2"/>
        <v/>
      </c>
    </row>
    <row r="235" spans="53:58">
      <c r="BA235" s="142" t="str">
        <f t="shared" si="3"/>
        <v/>
      </c>
      <c r="BB235" s="145" t="str">
        <f t="shared" si="0"/>
        <v/>
      </c>
      <c r="BC235" s="144" t="str">
        <f t="shared" si="4"/>
        <v/>
      </c>
      <c r="BD235" s="145" t="str">
        <f t="shared" si="1"/>
        <v/>
      </c>
      <c r="BE235" s="144" t="str">
        <f t="shared" si="5"/>
        <v/>
      </c>
      <c r="BF235" s="145" t="str">
        <f t="shared" si="2"/>
        <v/>
      </c>
    </row>
    <row r="236" spans="53:58">
      <c r="BA236" s="142" t="str">
        <f t="shared" si="3"/>
        <v/>
      </c>
      <c r="BB236" s="145" t="str">
        <f t="shared" si="0"/>
        <v/>
      </c>
      <c r="BC236" s="144" t="str">
        <f t="shared" si="4"/>
        <v/>
      </c>
      <c r="BD236" s="145" t="str">
        <f t="shared" si="1"/>
        <v/>
      </c>
      <c r="BE236" s="144" t="str">
        <f t="shared" si="5"/>
        <v/>
      </c>
      <c r="BF236" s="145" t="str">
        <f t="shared" si="2"/>
        <v/>
      </c>
    </row>
    <row r="237" spans="53:58">
      <c r="BA237" s="142" t="str">
        <f t="shared" si="3"/>
        <v/>
      </c>
      <c r="BB237" s="145" t="str">
        <f t="shared" si="0"/>
        <v/>
      </c>
      <c r="BC237" s="144" t="str">
        <f t="shared" si="4"/>
        <v/>
      </c>
      <c r="BD237" s="145" t="str">
        <f t="shared" si="1"/>
        <v/>
      </c>
      <c r="BE237" s="144" t="str">
        <f t="shared" si="5"/>
        <v/>
      </c>
      <c r="BF237" s="145" t="str">
        <f t="shared" si="2"/>
        <v/>
      </c>
    </row>
    <row r="238" spans="53:58">
      <c r="BA238" s="142" t="str">
        <f t="shared" si="3"/>
        <v/>
      </c>
      <c r="BB238" s="145" t="str">
        <f t="shared" si="0"/>
        <v/>
      </c>
      <c r="BC238" s="144" t="str">
        <f t="shared" si="4"/>
        <v/>
      </c>
      <c r="BD238" s="145" t="str">
        <f t="shared" si="1"/>
        <v/>
      </c>
      <c r="BE238" s="144" t="str">
        <f t="shared" si="5"/>
        <v/>
      </c>
      <c r="BF238" s="145" t="str">
        <f t="shared" si="2"/>
        <v/>
      </c>
    </row>
    <row r="239" spans="53:58">
      <c r="BA239" s="142" t="str">
        <f t="shared" si="3"/>
        <v/>
      </c>
      <c r="BB239" s="145" t="str">
        <f t="shared" si="0"/>
        <v/>
      </c>
      <c r="BC239" s="144" t="str">
        <f t="shared" si="4"/>
        <v/>
      </c>
      <c r="BD239" s="145" t="str">
        <f t="shared" si="1"/>
        <v/>
      </c>
      <c r="BE239" s="144" t="str">
        <f t="shared" si="5"/>
        <v/>
      </c>
      <c r="BF239" s="145" t="str">
        <f t="shared" si="2"/>
        <v/>
      </c>
    </row>
    <row r="240" spans="53:58">
      <c r="BA240" s="142" t="str">
        <f t="shared" si="3"/>
        <v/>
      </c>
      <c r="BB240" s="145" t="str">
        <f t="shared" si="0"/>
        <v/>
      </c>
      <c r="BC240" s="144" t="str">
        <f t="shared" si="4"/>
        <v/>
      </c>
      <c r="BD240" s="145" t="str">
        <f t="shared" si="1"/>
        <v/>
      </c>
      <c r="BE240" s="144" t="str">
        <f t="shared" si="5"/>
        <v/>
      </c>
      <c r="BF240" s="145" t="str">
        <f t="shared" si="2"/>
        <v/>
      </c>
    </row>
    <row r="241" spans="53:58">
      <c r="BA241" s="142" t="str">
        <f t="shared" si="3"/>
        <v/>
      </c>
      <c r="BB241" s="145" t="str">
        <f t="shared" si="0"/>
        <v/>
      </c>
      <c r="BC241" s="144" t="str">
        <f t="shared" si="4"/>
        <v/>
      </c>
      <c r="BD241" s="145" t="str">
        <f t="shared" si="1"/>
        <v/>
      </c>
      <c r="BE241" s="144" t="str">
        <f t="shared" si="5"/>
        <v/>
      </c>
      <c r="BF241" s="145" t="str">
        <f t="shared" si="2"/>
        <v/>
      </c>
    </row>
    <row r="242" spans="53:58">
      <c r="BA242" s="142" t="str">
        <f t="shared" si="3"/>
        <v/>
      </c>
      <c r="BB242" s="145" t="str">
        <f t="shared" si="0"/>
        <v/>
      </c>
      <c r="BC242" s="144" t="str">
        <f t="shared" si="4"/>
        <v/>
      </c>
      <c r="BD242" s="145" t="str">
        <f t="shared" si="1"/>
        <v/>
      </c>
      <c r="BE242" s="144" t="str">
        <f t="shared" si="5"/>
        <v/>
      </c>
      <c r="BF242" s="145" t="str">
        <f t="shared" si="2"/>
        <v/>
      </c>
    </row>
    <row r="243" spans="53:58">
      <c r="BA243" s="142" t="str">
        <f t="shared" si="3"/>
        <v/>
      </c>
      <c r="BB243" s="145" t="str">
        <f t="shared" si="0"/>
        <v/>
      </c>
      <c r="BC243" s="144" t="str">
        <f t="shared" si="4"/>
        <v/>
      </c>
      <c r="BD243" s="145" t="str">
        <f t="shared" si="1"/>
        <v/>
      </c>
      <c r="BE243" s="144" t="str">
        <f t="shared" si="5"/>
        <v/>
      </c>
      <c r="BF243" s="145" t="str">
        <f t="shared" si="2"/>
        <v/>
      </c>
    </row>
    <row r="244" spans="53:58">
      <c r="BA244" s="142" t="str">
        <f t="shared" si="3"/>
        <v/>
      </c>
      <c r="BB244" s="145" t="str">
        <f t="shared" si="0"/>
        <v/>
      </c>
      <c r="BC244" s="144" t="str">
        <f t="shared" si="4"/>
        <v/>
      </c>
      <c r="BD244" s="145" t="str">
        <f t="shared" si="1"/>
        <v/>
      </c>
      <c r="BE244" s="144" t="str">
        <f t="shared" si="5"/>
        <v/>
      </c>
      <c r="BF244" s="145" t="str">
        <f t="shared" si="2"/>
        <v/>
      </c>
    </row>
    <row r="245" spans="53:58">
      <c r="BA245" s="142" t="str">
        <f t="shared" si="3"/>
        <v/>
      </c>
      <c r="BB245" s="145" t="str">
        <f t="shared" si="0"/>
        <v/>
      </c>
      <c r="BC245" s="144" t="str">
        <f t="shared" si="4"/>
        <v/>
      </c>
      <c r="BD245" s="145" t="str">
        <f t="shared" si="1"/>
        <v/>
      </c>
      <c r="BE245" s="144" t="str">
        <f t="shared" si="5"/>
        <v/>
      </c>
      <c r="BF245" s="145" t="str">
        <f t="shared" si="2"/>
        <v/>
      </c>
    </row>
    <row r="246" spans="53:58">
      <c r="BA246" s="142" t="str">
        <f t="shared" si="3"/>
        <v/>
      </c>
      <c r="BB246" s="145" t="str">
        <f t="shared" si="0"/>
        <v/>
      </c>
      <c r="BC246" s="144" t="str">
        <f t="shared" si="4"/>
        <v/>
      </c>
      <c r="BD246" s="145" t="str">
        <f t="shared" si="1"/>
        <v/>
      </c>
      <c r="BE246" s="144" t="str">
        <f t="shared" si="5"/>
        <v/>
      </c>
      <c r="BF246" s="145" t="str">
        <f t="shared" si="2"/>
        <v/>
      </c>
    </row>
    <row r="247" spans="53:58">
      <c r="BA247" s="142" t="str">
        <f t="shared" si="3"/>
        <v/>
      </c>
      <c r="BB247" s="145" t="str">
        <f t="shared" si="0"/>
        <v/>
      </c>
      <c r="BC247" s="144" t="str">
        <f t="shared" si="4"/>
        <v/>
      </c>
      <c r="BD247" s="145" t="str">
        <f t="shared" si="1"/>
        <v/>
      </c>
      <c r="BE247" s="144" t="str">
        <f t="shared" si="5"/>
        <v/>
      </c>
      <c r="BF247" s="145" t="str">
        <f t="shared" si="2"/>
        <v/>
      </c>
    </row>
    <row r="248" spans="53:58">
      <c r="BA248" s="142" t="str">
        <f t="shared" si="3"/>
        <v/>
      </c>
      <c r="BB248" s="145" t="str">
        <f t="shared" si="0"/>
        <v/>
      </c>
      <c r="BC248" s="144" t="str">
        <f t="shared" si="4"/>
        <v/>
      </c>
      <c r="BD248" s="145" t="str">
        <f t="shared" si="1"/>
        <v/>
      </c>
      <c r="BE248" s="144" t="str">
        <f t="shared" si="5"/>
        <v/>
      </c>
      <c r="BF248" s="145" t="str">
        <f t="shared" si="2"/>
        <v/>
      </c>
    </row>
    <row r="249" spans="53:58">
      <c r="BA249" s="142" t="str">
        <f t="shared" si="3"/>
        <v/>
      </c>
      <c r="BB249" s="145" t="str">
        <f t="shared" si="0"/>
        <v/>
      </c>
      <c r="BC249" s="144" t="str">
        <f t="shared" si="4"/>
        <v/>
      </c>
      <c r="BD249" s="145" t="str">
        <f t="shared" si="1"/>
        <v/>
      </c>
      <c r="BE249" s="144" t="str">
        <f t="shared" si="5"/>
        <v/>
      </c>
      <c r="BF249" s="145" t="str">
        <f t="shared" si="2"/>
        <v/>
      </c>
    </row>
    <row r="250" spans="53:58">
      <c r="BA250" s="142" t="str">
        <f t="shared" si="3"/>
        <v/>
      </c>
      <c r="BB250" s="145" t="str">
        <f t="shared" si="0"/>
        <v/>
      </c>
      <c r="BC250" s="144" t="str">
        <f t="shared" si="4"/>
        <v/>
      </c>
      <c r="BD250" s="145" t="str">
        <f t="shared" si="1"/>
        <v/>
      </c>
      <c r="BE250" s="144" t="str">
        <f t="shared" si="5"/>
        <v/>
      </c>
      <c r="BF250" s="145" t="str">
        <f t="shared" si="2"/>
        <v/>
      </c>
    </row>
    <row r="251" spans="53:58">
      <c r="BA251" s="142" t="str">
        <f t="shared" si="3"/>
        <v/>
      </c>
      <c r="BB251" s="145" t="str">
        <f t="shared" si="0"/>
        <v/>
      </c>
      <c r="BC251" s="144" t="str">
        <f t="shared" si="4"/>
        <v/>
      </c>
      <c r="BD251" s="145" t="str">
        <f t="shared" si="1"/>
        <v/>
      </c>
      <c r="BE251" s="144" t="str">
        <f t="shared" si="5"/>
        <v/>
      </c>
      <c r="BF251" s="145" t="str">
        <f t="shared" si="2"/>
        <v/>
      </c>
    </row>
    <row r="252" spans="53:58">
      <c r="BA252" s="142" t="str">
        <f t="shared" si="3"/>
        <v/>
      </c>
      <c r="BB252" s="145" t="str">
        <f t="shared" si="0"/>
        <v/>
      </c>
      <c r="BC252" s="144" t="str">
        <f t="shared" si="4"/>
        <v/>
      </c>
      <c r="BD252" s="145" t="str">
        <f t="shared" si="1"/>
        <v/>
      </c>
      <c r="BE252" s="144" t="str">
        <f t="shared" si="5"/>
        <v/>
      </c>
      <c r="BF252" s="145" t="str">
        <f t="shared" si="2"/>
        <v/>
      </c>
    </row>
    <row r="253" spans="53:58">
      <c r="BA253" s="142" t="str">
        <f t="shared" si="3"/>
        <v/>
      </c>
      <c r="BB253" s="145" t="str">
        <f t="shared" si="0"/>
        <v/>
      </c>
      <c r="BC253" s="144" t="str">
        <f t="shared" si="4"/>
        <v/>
      </c>
      <c r="BD253" s="145" t="str">
        <f t="shared" si="1"/>
        <v/>
      </c>
      <c r="BE253" s="144" t="str">
        <f t="shared" si="5"/>
        <v/>
      </c>
      <c r="BF253" s="145" t="str">
        <f t="shared" si="2"/>
        <v/>
      </c>
    </row>
    <row r="254" spans="53:58">
      <c r="BA254" s="142" t="str">
        <f t="shared" si="3"/>
        <v/>
      </c>
      <c r="BB254" s="145" t="str">
        <f t="shared" si="0"/>
        <v/>
      </c>
      <c r="BC254" s="144" t="str">
        <f t="shared" si="4"/>
        <v/>
      </c>
      <c r="BD254" s="145" t="str">
        <f t="shared" si="1"/>
        <v/>
      </c>
      <c r="BE254" s="144" t="str">
        <f t="shared" si="5"/>
        <v/>
      </c>
      <c r="BF254" s="145" t="str">
        <f t="shared" si="2"/>
        <v/>
      </c>
    </row>
    <row r="255" spans="53:58">
      <c r="BA255" s="142" t="str">
        <f t="shared" si="3"/>
        <v/>
      </c>
      <c r="BB255" s="145" t="str">
        <f t="shared" si="0"/>
        <v/>
      </c>
      <c r="BC255" s="144" t="str">
        <f t="shared" si="4"/>
        <v/>
      </c>
      <c r="BD255" s="145" t="str">
        <f t="shared" si="1"/>
        <v/>
      </c>
      <c r="BE255" s="144" t="str">
        <f t="shared" si="5"/>
        <v/>
      </c>
      <c r="BF255" s="145" t="str">
        <f t="shared" si="2"/>
        <v/>
      </c>
    </row>
    <row r="256" spans="53:58">
      <c r="BA256" s="142" t="str">
        <f t="shared" si="3"/>
        <v/>
      </c>
      <c r="BB256" s="145" t="str">
        <f t="shared" ref="BB256:BB287" si="6">IF(BA256="","",IF(hSA=Ls,Cs-(Emission_Rate*(hSA-BA256)/(Abf*$BB$219/10000)),$BD$223-(Emission_Rate*(hSA-BA256)/(Abf*$BB$219/10000))))</f>
        <v/>
      </c>
      <c r="BC256" s="144" t="str">
        <f t="shared" si="4"/>
        <v/>
      </c>
      <c r="BD256" s="145" t="str">
        <f t="shared" ref="BD256:BD287" si="7">IF(BC256="","",IF(hSA+hSB=Ls,Cs-(Emission_Rate*(hSA+hSB-BC256)/(Abf*$BD$219/10000)),$BF$223-(Emission_Rate*(hSA+hSB-BC256)/(Abf*$BD$219/10000))))</f>
        <v/>
      </c>
      <c r="BE256" s="144" t="str">
        <f t="shared" si="5"/>
        <v/>
      </c>
      <c r="BF256" s="145" t="str">
        <f t="shared" ref="BF256:BF287" si="8">IF(BE256="","",Cs-(Emission_Rate*(Ls-BE256)/(Abf*$BF$219/10000)))</f>
        <v/>
      </c>
    </row>
    <row r="257" spans="53:58">
      <c r="BA257" s="142" t="str">
        <f t="shared" ref="BA257:BA288" si="9">IF(BA256="","",IF(AND(BA256+0.5&gt;hSA,BA256/hSA&lt;1),hSA,IF(BA256+0.5&gt;hSA,"",BA256+0.5)))</f>
        <v/>
      </c>
      <c r="BB257" s="145" t="str">
        <f t="shared" si="6"/>
        <v/>
      </c>
      <c r="BC257" s="144" t="str">
        <f t="shared" ref="BC257:BC288" si="10">IF(BC256="","",IF(AND(BC256+0.05&gt;(hSA+hSB),BC256/(hSA+hSB)&lt;1),hSA+hSB,IF(BC256+0.5&gt;(hSA+hSB),"",BC256+0.5)))</f>
        <v/>
      </c>
      <c r="BD257" s="145" t="str">
        <f t="shared" si="7"/>
        <v/>
      </c>
      <c r="BE257" s="144" t="str">
        <f t="shared" ref="BE257:BE288" si="11">IF(BE256="","",IF(AND(BE256+0.5&gt;(hSA+hSB+hSC),BE256/(hSA+hSB+hSC)&lt;1),hSA+hSB+hSC,IF(BE256+0.5&gt;(hSA+hSB+hSC),"",BE256+0.5)))</f>
        <v/>
      </c>
      <c r="BF257" s="145" t="str">
        <f t="shared" si="8"/>
        <v/>
      </c>
    </row>
    <row r="258" spans="53:58">
      <c r="BA258" s="142" t="str">
        <f t="shared" si="9"/>
        <v/>
      </c>
      <c r="BB258" s="145" t="str">
        <f t="shared" si="6"/>
        <v/>
      </c>
      <c r="BC258" s="144" t="str">
        <f t="shared" si="10"/>
        <v/>
      </c>
      <c r="BD258" s="145" t="str">
        <f t="shared" si="7"/>
        <v/>
      </c>
      <c r="BE258" s="144" t="str">
        <f t="shared" si="11"/>
        <v/>
      </c>
      <c r="BF258" s="145" t="str">
        <f t="shared" si="8"/>
        <v/>
      </c>
    </row>
    <row r="259" spans="53:58">
      <c r="BA259" s="142" t="str">
        <f t="shared" si="9"/>
        <v/>
      </c>
      <c r="BB259" s="145" t="str">
        <f t="shared" si="6"/>
        <v/>
      </c>
      <c r="BC259" s="144" t="str">
        <f t="shared" si="10"/>
        <v/>
      </c>
      <c r="BD259" s="145" t="str">
        <f t="shared" si="7"/>
        <v/>
      </c>
      <c r="BE259" s="144" t="str">
        <f t="shared" si="11"/>
        <v/>
      </c>
      <c r="BF259" s="145" t="str">
        <f t="shared" si="8"/>
        <v/>
      </c>
    </row>
    <row r="260" spans="53:58">
      <c r="BA260" s="142" t="str">
        <f t="shared" si="9"/>
        <v/>
      </c>
      <c r="BB260" s="145" t="str">
        <f t="shared" si="6"/>
        <v/>
      </c>
      <c r="BC260" s="144" t="str">
        <f t="shared" si="10"/>
        <v/>
      </c>
      <c r="BD260" s="145" t="str">
        <f t="shared" si="7"/>
        <v/>
      </c>
      <c r="BE260" s="144" t="str">
        <f t="shared" si="11"/>
        <v/>
      </c>
      <c r="BF260" s="145" t="str">
        <f t="shared" si="8"/>
        <v/>
      </c>
    </row>
    <row r="261" spans="53:58">
      <c r="BA261" s="142" t="str">
        <f t="shared" si="9"/>
        <v/>
      </c>
      <c r="BB261" s="145" t="str">
        <f t="shared" si="6"/>
        <v/>
      </c>
      <c r="BC261" s="144" t="str">
        <f t="shared" si="10"/>
        <v/>
      </c>
      <c r="BD261" s="145" t="str">
        <f t="shared" si="7"/>
        <v/>
      </c>
      <c r="BE261" s="144" t="str">
        <f t="shared" si="11"/>
        <v/>
      </c>
      <c r="BF261" s="145" t="str">
        <f t="shared" si="8"/>
        <v/>
      </c>
    </row>
    <row r="262" spans="53:58">
      <c r="BA262" s="142" t="str">
        <f t="shared" si="9"/>
        <v/>
      </c>
      <c r="BB262" s="145" t="str">
        <f t="shared" si="6"/>
        <v/>
      </c>
      <c r="BC262" s="144" t="str">
        <f t="shared" si="10"/>
        <v/>
      </c>
      <c r="BD262" s="145" t="str">
        <f t="shared" si="7"/>
        <v/>
      </c>
      <c r="BE262" s="144" t="str">
        <f t="shared" si="11"/>
        <v/>
      </c>
      <c r="BF262" s="145" t="str">
        <f t="shared" si="8"/>
        <v/>
      </c>
    </row>
    <row r="263" spans="53:58">
      <c r="BA263" s="142" t="str">
        <f t="shared" si="9"/>
        <v/>
      </c>
      <c r="BB263" s="145" t="str">
        <f t="shared" si="6"/>
        <v/>
      </c>
      <c r="BC263" s="144" t="str">
        <f t="shared" si="10"/>
        <v/>
      </c>
      <c r="BD263" s="145" t="str">
        <f t="shared" si="7"/>
        <v/>
      </c>
      <c r="BE263" s="144" t="str">
        <f t="shared" si="11"/>
        <v/>
      </c>
      <c r="BF263" s="145" t="str">
        <f t="shared" si="8"/>
        <v/>
      </c>
    </row>
    <row r="264" spans="53:58">
      <c r="BA264" s="142" t="str">
        <f t="shared" si="9"/>
        <v/>
      </c>
      <c r="BB264" s="145" t="str">
        <f t="shared" si="6"/>
        <v/>
      </c>
      <c r="BC264" s="144" t="str">
        <f t="shared" si="10"/>
        <v/>
      </c>
      <c r="BD264" s="145" t="str">
        <f t="shared" si="7"/>
        <v/>
      </c>
      <c r="BE264" s="144" t="str">
        <f t="shared" si="11"/>
        <v/>
      </c>
      <c r="BF264" s="145" t="str">
        <f t="shared" si="8"/>
        <v/>
      </c>
    </row>
    <row r="265" spans="53:58">
      <c r="BA265" s="142" t="str">
        <f t="shared" si="9"/>
        <v/>
      </c>
      <c r="BB265" s="145" t="str">
        <f t="shared" si="6"/>
        <v/>
      </c>
      <c r="BC265" s="144" t="str">
        <f t="shared" si="10"/>
        <v/>
      </c>
      <c r="BD265" s="145" t="str">
        <f t="shared" si="7"/>
        <v/>
      </c>
      <c r="BE265" s="144" t="str">
        <f t="shared" si="11"/>
        <v/>
      </c>
      <c r="BF265" s="145" t="str">
        <f t="shared" si="8"/>
        <v/>
      </c>
    </row>
    <row r="266" spans="53:58">
      <c r="BA266" s="142" t="str">
        <f t="shared" si="9"/>
        <v/>
      </c>
      <c r="BB266" s="145" t="str">
        <f t="shared" si="6"/>
        <v/>
      </c>
      <c r="BC266" s="144" t="str">
        <f t="shared" si="10"/>
        <v/>
      </c>
      <c r="BD266" s="145" t="str">
        <f t="shared" si="7"/>
        <v/>
      </c>
      <c r="BE266" s="144" t="str">
        <f t="shared" si="11"/>
        <v/>
      </c>
      <c r="BF266" s="145" t="str">
        <f t="shared" si="8"/>
        <v/>
      </c>
    </row>
    <row r="267" spans="53:58">
      <c r="BA267" s="142" t="str">
        <f t="shared" si="9"/>
        <v/>
      </c>
      <c r="BB267" s="145" t="str">
        <f t="shared" si="6"/>
        <v/>
      </c>
      <c r="BC267" s="144" t="str">
        <f t="shared" si="10"/>
        <v/>
      </c>
      <c r="BD267" s="145" t="str">
        <f t="shared" si="7"/>
        <v/>
      </c>
      <c r="BE267" s="144" t="str">
        <f t="shared" si="11"/>
        <v/>
      </c>
      <c r="BF267" s="145" t="str">
        <f t="shared" si="8"/>
        <v/>
      </c>
    </row>
    <row r="268" spans="53:58">
      <c r="BA268" s="142" t="str">
        <f t="shared" si="9"/>
        <v/>
      </c>
      <c r="BB268" s="145" t="str">
        <f t="shared" si="6"/>
        <v/>
      </c>
      <c r="BC268" s="144" t="str">
        <f t="shared" si="10"/>
        <v/>
      </c>
      <c r="BD268" s="145" t="str">
        <f t="shared" si="7"/>
        <v/>
      </c>
      <c r="BE268" s="144" t="str">
        <f t="shared" si="11"/>
        <v/>
      </c>
      <c r="BF268" s="145" t="str">
        <f t="shared" si="8"/>
        <v/>
      </c>
    </row>
    <row r="269" spans="53:58">
      <c r="BA269" s="142" t="str">
        <f t="shared" si="9"/>
        <v/>
      </c>
      <c r="BB269" s="145" t="str">
        <f t="shared" si="6"/>
        <v/>
      </c>
      <c r="BC269" s="144" t="str">
        <f t="shared" si="10"/>
        <v/>
      </c>
      <c r="BD269" s="145" t="str">
        <f t="shared" si="7"/>
        <v/>
      </c>
      <c r="BE269" s="144" t="str">
        <f t="shared" si="11"/>
        <v/>
      </c>
      <c r="BF269" s="145" t="str">
        <f t="shared" si="8"/>
        <v/>
      </c>
    </row>
    <row r="270" spans="53:58">
      <c r="BA270" s="142" t="str">
        <f t="shared" si="9"/>
        <v/>
      </c>
      <c r="BB270" s="145" t="str">
        <f t="shared" si="6"/>
        <v/>
      </c>
      <c r="BC270" s="144" t="str">
        <f t="shared" si="10"/>
        <v/>
      </c>
      <c r="BD270" s="145" t="str">
        <f t="shared" si="7"/>
        <v/>
      </c>
      <c r="BE270" s="144" t="str">
        <f t="shared" si="11"/>
        <v/>
      </c>
      <c r="BF270" s="145" t="str">
        <f t="shared" si="8"/>
        <v/>
      </c>
    </row>
    <row r="271" spans="53:58">
      <c r="BA271" s="142" t="str">
        <f t="shared" si="9"/>
        <v/>
      </c>
      <c r="BB271" s="145" t="str">
        <f t="shared" si="6"/>
        <v/>
      </c>
      <c r="BC271" s="144" t="str">
        <f t="shared" si="10"/>
        <v/>
      </c>
      <c r="BD271" s="145" t="str">
        <f t="shared" si="7"/>
        <v/>
      </c>
      <c r="BE271" s="144" t="str">
        <f t="shared" si="11"/>
        <v/>
      </c>
      <c r="BF271" s="145" t="str">
        <f t="shared" si="8"/>
        <v/>
      </c>
    </row>
    <row r="272" spans="53:58">
      <c r="BA272" s="142" t="str">
        <f t="shared" si="9"/>
        <v/>
      </c>
      <c r="BB272" s="145" t="str">
        <f t="shared" si="6"/>
        <v/>
      </c>
      <c r="BC272" s="144" t="str">
        <f t="shared" si="10"/>
        <v/>
      </c>
      <c r="BD272" s="145" t="str">
        <f t="shared" si="7"/>
        <v/>
      </c>
      <c r="BE272" s="144" t="str">
        <f t="shared" si="11"/>
        <v/>
      </c>
      <c r="BF272" s="145" t="str">
        <f t="shared" si="8"/>
        <v/>
      </c>
    </row>
    <row r="273" spans="53:58">
      <c r="BA273" s="142" t="str">
        <f t="shared" si="9"/>
        <v/>
      </c>
      <c r="BB273" s="145" t="str">
        <f t="shared" si="6"/>
        <v/>
      </c>
      <c r="BC273" s="144" t="str">
        <f t="shared" si="10"/>
        <v/>
      </c>
      <c r="BD273" s="145" t="str">
        <f t="shared" si="7"/>
        <v/>
      </c>
      <c r="BE273" s="144" t="str">
        <f t="shared" si="11"/>
        <v/>
      </c>
      <c r="BF273" s="145" t="str">
        <f t="shared" si="8"/>
        <v/>
      </c>
    </row>
    <row r="274" spans="53:58">
      <c r="BA274" s="142" t="str">
        <f t="shared" si="9"/>
        <v/>
      </c>
      <c r="BB274" s="145" t="str">
        <f t="shared" si="6"/>
        <v/>
      </c>
      <c r="BC274" s="144" t="str">
        <f t="shared" si="10"/>
        <v/>
      </c>
      <c r="BD274" s="145" t="str">
        <f t="shared" si="7"/>
        <v/>
      </c>
      <c r="BE274" s="144" t="str">
        <f t="shared" si="11"/>
        <v/>
      </c>
      <c r="BF274" s="145" t="str">
        <f t="shared" si="8"/>
        <v/>
      </c>
    </row>
    <row r="275" spans="53:58">
      <c r="BA275" s="142" t="str">
        <f t="shared" si="9"/>
        <v/>
      </c>
      <c r="BB275" s="145" t="str">
        <f t="shared" si="6"/>
        <v/>
      </c>
      <c r="BC275" s="144" t="str">
        <f t="shared" si="10"/>
        <v/>
      </c>
      <c r="BD275" s="145" t="str">
        <f t="shared" si="7"/>
        <v/>
      </c>
      <c r="BE275" s="144" t="str">
        <f t="shared" si="11"/>
        <v/>
      </c>
      <c r="BF275" s="145" t="str">
        <f t="shared" si="8"/>
        <v/>
      </c>
    </row>
    <row r="276" spans="53:58">
      <c r="BA276" s="142" t="str">
        <f t="shared" si="9"/>
        <v/>
      </c>
      <c r="BB276" s="145" t="str">
        <f t="shared" si="6"/>
        <v/>
      </c>
      <c r="BC276" s="144" t="str">
        <f t="shared" si="10"/>
        <v/>
      </c>
      <c r="BD276" s="145" t="str">
        <f t="shared" si="7"/>
        <v/>
      </c>
      <c r="BE276" s="144" t="str">
        <f t="shared" si="11"/>
        <v/>
      </c>
      <c r="BF276" s="145" t="str">
        <f t="shared" si="8"/>
        <v/>
      </c>
    </row>
    <row r="277" spans="53:58">
      <c r="BA277" s="142" t="str">
        <f t="shared" si="9"/>
        <v/>
      </c>
      <c r="BB277" s="145" t="str">
        <f t="shared" si="6"/>
        <v/>
      </c>
      <c r="BC277" s="144" t="str">
        <f t="shared" si="10"/>
        <v/>
      </c>
      <c r="BD277" s="145" t="str">
        <f t="shared" si="7"/>
        <v/>
      </c>
      <c r="BE277" s="144" t="str">
        <f t="shared" si="11"/>
        <v/>
      </c>
      <c r="BF277" s="145" t="str">
        <f t="shared" si="8"/>
        <v/>
      </c>
    </row>
    <row r="278" spans="53:58">
      <c r="BA278" s="142" t="str">
        <f t="shared" si="9"/>
        <v/>
      </c>
      <c r="BB278" s="145" t="str">
        <f t="shared" si="6"/>
        <v/>
      </c>
      <c r="BC278" s="144" t="str">
        <f t="shared" si="10"/>
        <v/>
      </c>
      <c r="BD278" s="145" t="str">
        <f t="shared" si="7"/>
        <v/>
      </c>
      <c r="BE278" s="144" t="str">
        <f t="shared" si="11"/>
        <v/>
      </c>
      <c r="BF278" s="145" t="str">
        <f t="shared" si="8"/>
        <v/>
      </c>
    </row>
    <row r="279" spans="53:58">
      <c r="BA279" s="142" t="str">
        <f t="shared" si="9"/>
        <v/>
      </c>
      <c r="BB279" s="145" t="str">
        <f t="shared" si="6"/>
        <v/>
      </c>
      <c r="BC279" s="144" t="str">
        <f t="shared" si="10"/>
        <v/>
      </c>
      <c r="BD279" s="145" t="str">
        <f t="shared" si="7"/>
        <v/>
      </c>
      <c r="BE279" s="144" t="str">
        <f t="shared" si="11"/>
        <v/>
      </c>
      <c r="BF279" s="145" t="str">
        <f t="shared" si="8"/>
        <v/>
      </c>
    </row>
    <row r="280" spans="53:58">
      <c r="BA280" s="142" t="str">
        <f t="shared" si="9"/>
        <v/>
      </c>
      <c r="BB280" s="145" t="str">
        <f t="shared" si="6"/>
        <v/>
      </c>
      <c r="BC280" s="144" t="str">
        <f t="shared" si="10"/>
        <v/>
      </c>
      <c r="BD280" s="145" t="str">
        <f t="shared" si="7"/>
        <v/>
      </c>
      <c r="BE280" s="144" t="str">
        <f t="shared" si="11"/>
        <v/>
      </c>
      <c r="BF280" s="145" t="str">
        <f t="shared" si="8"/>
        <v/>
      </c>
    </row>
    <row r="281" spans="53:58">
      <c r="BA281" s="142" t="str">
        <f t="shared" si="9"/>
        <v/>
      </c>
      <c r="BB281" s="145" t="str">
        <f t="shared" si="6"/>
        <v/>
      </c>
      <c r="BC281" s="144" t="str">
        <f t="shared" si="10"/>
        <v/>
      </c>
      <c r="BD281" s="145" t="str">
        <f t="shared" si="7"/>
        <v/>
      </c>
      <c r="BE281" s="144" t="str">
        <f t="shared" si="11"/>
        <v/>
      </c>
      <c r="BF281" s="145" t="str">
        <f t="shared" si="8"/>
        <v/>
      </c>
    </row>
    <row r="282" spans="53:58">
      <c r="BA282" s="142" t="str">
        <f t="shared" si="9"/>
        <v/>
      </c>
      <c r="BB282" s="145" t="str">
        <f t="shared" si="6"/>
        <v/>
      </c>
      <c r="BC282" s="144" t="str">
        <f t="shared" si="10"/>
        <v/>
      </c>
      <c r="BD282" s="145" t="str">
        <f t="shared" si="7"/>
        <v/>
      </c>
      <c r="BE282" s="144" t="str">
        <f t="shared" si="11"/>
        <v/>
      </c>
      <c r="BF282" s="145" t="str">
        <f t="shared" si="8"/>
        <v/>
      </c>
    </row>
    <row r="283" spans="53:58">
      <c r="BA283" s="142" t="str">
        <f t="shared" si="9"/>
        <v/>
      </c>
      <c r="BB283" s="145" t="str">
        <f t="shared" si="6"/>
        <v/>
      </c>
      <c r="BC283" s="144" t="str">
        <f t="shared" si="10"/>
        <v/>
      </c>
      <c r="BD283" s="145" t="str">
        <f t="shared" si="7"/>
        <v/>
      </c>
      <c r="BE283" s="144" t="str">
        <f t="shared" si="11"/>
        <v/>
      </c>
      <c r="BF283" s="145" t="str">
        <f t="shared" si="8"/>
        <v/>
      </c>
    </row>
    <row r="284" spans="53:58">
      <c r="BA284" s="142" t="str">
        <f t="shared" si="9"/>
        <v/>
      </c>
      <c r="BB284" s="145" t="str">
        <f t="shared" si="6"/>
        <v/>
      </c>
      <c r="BC284" s="144" t="str">
        <f t="shared" si="10"/>
        <v/>
      </c>
      <c r="BD284" s="145" t="str">
        <f t="shared" si="7"/>
        <v/>
      </c>
      <c r="BE284" s="144" t="str">
        <f t="shared" si="11"/>
        <v/>
      </c>
      <c r="BF284" s="145" t="str">
        <f t="shared" si="8"/>
        <v/>
      </c>
    </row>
    <row r="285" spans="53:58">
      <c r="BA285" s="142" t="str">
        <f t="shared" si="9"/>
        <v/>
      </c>
      <c r="BB285" s="145" t="str">
        <f t="shared" si="6"/>
        <v/>
      </c>
      <c r="BC285" s="144" t="str">
        <f t="shared" si="10"/>
        <v/>
      </c>
      <c r="BD285" s="145" t="str">
        <f t="shared" si="7"/>
        <v/>
      </c>
      <c r="BE285" s="144" t="str">
        <f t="shared" si="11"/>
        <v/>
      </c>
      <c r="BF285" s="145" t="str">
        <f t="shared" si="8"/>
        <v/>
      </c>
    </row>
    <row r="286" spans="53:58">
      <c r="BA286" s="142" t="str">
        <f t="shared" si="9"/>
        <v/>
      </c>
      <c r="BB286" s="145" t="str">
        <f t="shared" si="6"/>
        <v/>
      </c>
      <c r="BC286" s="144" t="str">
        <f t="shared" si="10"/>
        <v/>
      </c>
      <c r="BD286" s="145" t="str">
        <f t="shared" si="7"/>
        <v/>
      </c>
      <c r="BE286" s="144" t="str">
        <f t="shared" si="11"/>
        <v/>
      </c>
      <c r="BF286" s="145" t="str">
        <f t="shared" si="8"/>
        <v/>
      </c>
    </row>
    <row r="287" spans="53:58">
      <c r="BA287" s="142" t="str">
        <f t="shared" si="9"/>
        <v/>
      </c>
      <c r="BB287" s="145" t="str">
        <f t="shared" si="6"/>
        <v/>
      </c>
      <c r="BC287" s="144" t="str">
        <f t="shared" si="10"/>
        <v/>
      </c>
      <c r="BD287" s="145" t="str">
        <f t="shared" si="7"/>
        <v/>
      </c>
      <c r="BE287" s="144" t="str">
        <f t="shared" si="11"/>
        <v/>
      </c>
      <c r="BF287" s="145" t="str">
        <f t="shared" si="8"/>
        <v/>
      </c>
    </row>
    <row r="288" spans="53:58">
      <c r="BA288" s="142" t="str">
        <f t="shared" si="9"/>
        <v/>
      </c>
      <c r="BB288" s="145" t="str">
        <f t="shared" ref="BB288:BB319" si="12">IF(BA288="","",IF(hSA=Ls,Cs-(Emission_Rate*(hSA-BA288)/(Abf*$BB$219/10000)),$BD$223-(Emission_Rate*(hSA-BA288)/(Abf*$BB$219/10000))))</f>
        <v/>
      </c>
      <c r="BC288" s="144" t="str">
        <f t="shared" si="10"/>
        <v/>
      </c>
      <c r="BD288" s="145" t="str">
        <f t="shared" ref="BD288:BD319" si="13">IF(BC288="","",IF(hSA+hSB=Ls,Cs-(Emission_Rate*(hSA+hSB-BC288)/(Abf*$BD$219/10000)),$BF$223-(Emission_Rate*(hSA+hSB-BC288)/(Abf*$BD$219/10000))))</f>
        <v/>
      </c>
      <c r="BE288" s="144" t="str">
        <f t="shared" si="11"/>
        <v/>
      </c>
      <c r="BF288" s="145" t="str">
        <f t="shared" ref="BF288:BF319" si="14">IF(BE288="","",Cs-(Emission_Rate*(Ls-BE288)/(Abf*$BF$219/10000)))</f>
        <v/>
      </c>
    </row>
    <row r="289" spans="53:58">
      <c r="BA289" s="142" t="str">
        <f t="shared" ref="BA289:BA323" si="15">IF(BA288="","",IF(AND(BA288+0.5&gt;hSA,BA288/hSA&lt;1),hSA,IF(BA288+0.5&gt;hSA,"",BA288+0.5)))</f>
        <v/>
      </c>
      <c r="BB289" s="145" t="str">
        <f t="shared" si="12"/>
        <v/>
      </c>
      <c r="BC289" s="144" t="str">
        <f t="shared" ref="BC289:BC323" si="16">IF(BC288="","",IF(AND(BC288+0.05&gt;(hSA+hSB),BC288/(hSA+hSB)&lt;1),hSA+hSB,IF(BC288+0.5&gt;(hSA+hSB),"",BC288+0.5)))</f>
        <v/>
      </c>
      <c r="BD289" s="145" t="str">
        <f t="shared" si="13"/>
        <v/>
      </c>
      <c r="BE289" s="144" t="str">
        <f t="shared" ref="BE289:BE323" si="17">IF(BE288="","",IF(AND(BE288+0.5&gt;(hSA+hSB+hSC),BE288/(hSA+hSB+hSC)&lt;1),hSA+hSB+hSC,IF(BE288+0.5&gt;(hSA+hSB+hSC),"",BE288+0.5)))</f>
        <v/>
      </c>
      <c r="BF289" s="145" t="str">
        <f t="shared" si="14"/>
        <v/>
      </c>
    </row>
    <row r="290" spans="53:58">
      <c r="BA290" s="142" t="str">
        <f t="shared" si="15"/>
        <v/>
      </c>
      <c r="BB290" s="145" t="str">
        <f t="shared" si="12"/>
        <v/>
      </c>
      <c r="BC290" s="144" t="str">
        <f t="shared" si="16"/>
        <v/>
      </c>
      <c r="BD290" s="145" t="str">
        <f t="shared" si="13"/>
        <v/>
      </c>
      <c r="BE290" s="144" t="str">
        <f t="shared" si="17"/>
        <v/>
      </c>
      <c r="BF290" s="145" t="str">
        <f t="shared" si="14"/>
        <v/>
      </c>
    </row>
    <row r="291" spans="53:58">
      <c r="BA291" s="142" t="str">
        <f t="shared" si="15"/>
        <v/>
      </c>
      <c r="BB291" s="145" t="str">
        <f t="shared" si="12"/>
        <v/>
      </c>
      <c r="BC291" s="144" t="str">
        <f t="shared" si="16"/>
        <v/>
      </c>
      <c r="BD291" s="145" t="str">
        <f t="shared" si="13"/>
        <v/>
      </c>
      <c r="BE291" s="144" t="str">
        <f t="shared" si="17"/>
        <v/>
      </c>
      <c r="BF291" s="145" t="str">
        <f t="shared" si="14"/>
        <v/>
      </c>
    </row>
    <row r="292" spans="53:58">
      <c r="BA292" s="142" t="str">
        <f t="shared" si="15"/>
        <v/>
      </c>
      <c r="BB292" s="145" t="str">
        <f t="shared" si="12"/>
        <v/>
      </c>
      <c r="BC292" s="144" t="str">
        <f t="shared" si="16"/>
        <v/>
      </c>
      <c r="BD292" s="145" t="str">
        <f t="shared" si="13"/>
        <v/>
      </c>
      <c r="BE292" s="144" t="str">
        <f t="shared" si="17"/>
        <v/>
      </c>
      <c r="BF292" s="145" t="str">
        <f t="shared" si="14"/>
        <v/>
      </c>
    </row>
    <row r="293" spans="53:58">
      <c r="BA293" s="142" t="str">
        <f t="shared" si="15"/>
        <v/>
      </c>
      <c r="BB293" s="145" t="str">
        <f t="shared" si="12"/>
        <v/>
      </c>
      <c r="BC293" s="144" t="str">
        <f t="shared" si="16"/>
        <v/>
      </c>
      <c r="BD293" s="145" t="str">
        <f t="shared" si="13"/>
        <v/>
      </c>
      <c r="BE293" s="144" t="str">
        <f t="shared" si="17"/>
        <v/>
      </c>
      <c r="BF293" s="145" t="str">
        <f t="shared" si="14"/>
        <v/>
      </c>
    </row>
    <row r="294" spans="53:58">
      <c r="BA294" s="142" t="str">
        <f t="shared" si="15"/>
        <v/>
      </c>
      <c r="BB294" s="145" t="str">
        <f t="shared" si="12"/>
        <v/>
      </c>
      <c r="BC294" s="144" t="str">
        <f t="shared" si="16"/>
        <v/>
      </c>
      <c r="BD294" s="145" t="str">
        <f t="shared" si="13"/>
        <v/>
      </c>
      <c r="BE294" s="144" t="str">
        <f t="shared" si="17"/>
        <v/>
      </c>
      <c r="BF294" s="145" t="str">
        <f t="shared" si="14"/>
        <v/>
      </c>
    </row>
    <row r="295" spans="53:58">
      <c r="BA295" s="142" t="str">
        <f t="shared" si="15"/>
        <v/>
      </c>
      <c r="BB295" s="145" t="str">
        <f t="shared" si="12"/>
        <v/>
      </c>
      <c r="BC295" s="144" t="str">
        <f t="shared" si="16"/>
        <v/>
      </c>
      <c r="BD295" s="145" t="str">
        <f t="shared" si="13"/>
        <v/>
      </c>
      <c r="BE295" s="144" t="str">
        <f t="shared" si="17"/>
        <v/>
      </c>
      <c r="BF295" s="145" t="str">
        <f t="shared" si="14"/>
        <v/>
      </c>
    </row>
    <row r="296" spans="53:58">
      <c r="BA296" s="142" t="str">
        <f t="shared" si="15"/>
        <v/>
      </c>
      <c r="BB296" s="145" t="str">
        <f t="shared" si="12"/>
        <v/>
      </c>
      <c r="BC296" s="144" t="str">
        <f t="shared" si="16"/>
        <v/>
      </c>
      <c r="BD296" s="145" t="str">
        <f t="shared" si="13"/>
        <v/>
      </c>
      <c r="BE296" s="144" t="str">
        <f t="shared" si="17"/>
        <v/>
      </c>
      <c r="BF296" s="145" t="str">
        <f t="shared" si="14"/>
        <v/>
      </c>
    </row>
    <row r="297" spans="53:58">
      <c r="BA297" s="142" t="str">
        <f t="shared" si="15"/>
        <v/>
      </c>
      <c r="BB297" s="145" t="str">
        <f t="shared" si="12"/>
        <v/>
      </c>
      <c r="BC297" s="144" t="str">
        <f t="shared" si="16"/>
        <v/>
      </c>
      <c r="BD297" s="145" t="str">
        <f t="shared" si="13"/>
        <v/>
      </c>
      <c r="BE297" s="144" t="str">
        <f t="shared" si="17"/>
        <v/>
      </c>
      <c r="BF297" s="145" t="str">
        <f t="shared" si="14"/>
        <v/>
      </c>
    </row>
    <row r="298" spans="53:58">
      <c r="BA298" s="142" t="str">
        <f t="shared" si="15"/>
        <v/>
      </c>
      <c r="BB298" s="145" t="str">
        <f t="shared" si="12"/>
        <v/>
      </c>
      <c r="BC298" s="144" t="str">
        <f t="shared" si="16"/>
        <v/>
      </c>
      <c r="BD298" s="145" t="str">
        <f t="shared" si="13"/>
        <v/>
      </c>
      <c r="BE298" s="144" t="str">
        <f t="shared" si="17"/>
        <v/>
      </c>
      <c r="BF298" s="145" t="str">
        <f t="shared" si="14"/>
        <v/>
      </c>
    </row>
    <row r="299" spans="53:58">
      <c r="BA299" s="142" t="str">
        <f t="shared" si="15"/>
        <v/>
      </c>
      <c r="BB299" s="145" t="str">
        <f t="shared" si="12"/>
        <v/>
      </c>
      <c r="BC299" s="144" t="str">
        <f t="shared" si="16"/>
        <v/>
      </c>
      <c r="BD299" s="145" t="str">
        <f t="shared" si="13"/>
        <v/>
      </c>
      <c r="BE299" s="144" t="str">
        <f t="shared" si="17"/>
        <v/>
      </c>
      <c r="BF299" s="145" t="str">
        <f t="shared" si="14"/>
        <v/>
      </c>
    </row>
    <row r="300" spans="53:58">
      <c r="BA300" s="142" t="str">
        <f t="shared" si="15"/>
        <v/>
      </c>
      <c r="BB300" s="145" t="str">
        <f t="shared" si="12"/>
        <v/>
      </c>
      <c r="BC300" s="144" t="str">
        <f t="shared" si="16"/>
        <v/>
      </c>
      <c r="BD300" s="145" t="str">
        <f t="shared" si="13"/>
        <v/>
      </c>
      <c r="BE300" s="144" t="str">
        <f t="shared" si="17"/>
        <v/>
      </c>
      <c r="BF300" s="145" t="str">
        <f t="shared" si="14"/>
        <v/>
      </c>
    </row>
    <row r="301" spans="53:58">
      <c r="BA301" s="142" t="str">
        <f t="shared" si="15"/>
        <v/>
      </c>
      <c r="BB301" s="145" t="str">
        <f t="shared" si="12"/>
        <v/>
      </c>
      <c r="BC301" s="144" t="str">
        <f t="shared" si="16"/>
        <v/>
      </c>
      <c r="BD301" s="145" t="str">
        <f t="shared" si="13"/>
        <v/>
      </c>
      <c r="BE301" s="144" t="str">
        <f t="shared" si="17"/>
        <v/>
      </c>
      <c r="BF301" s="145" t="str">
        <f t="shared" si="14"/>
        <v/>
      </c>
    </row>
    <row r="302" spans="53:58">
      <c r="BA302" s="142" t="str">
        <f t="shared" si="15"/>
        <v/>
      </c>
      <c r="BB302" s="145" t="str">
        <f t="shared" si="12"/>
        <v/>
      </c>
      <c r="BC302" s="144" t="str">
        <f t="shared" si="16"/>
        <v/>
      </c>
      <c r="BD302" s="145" t="str">
        <f t="shared" si="13"/>
        <v/>
      </c>
      <c r="BE302" s="144" t="str">
        <f t="shared" si="17"/>
        <v/>
      </c>
      <c r="BF302" s="145" t="str">
        <f t="shared" si="14"/>
        <v/>
      </c>
    </row>
    <row r="303" spans="53:58">
      <c r="BA303" s="142" t="str">
        <f t="shared" si="15"/>
        <v/>
      </c>
      <c r="BB303" s="145" t="str">
        <f t="shared" si="12"/>
        <v/>
      </c>
      <c r="BC303" s="144" t="str">
        <f t="shared" si="16"/>
        <v/>
      </c>
      <c r="BD303" s="145" t="str">
        <f t="shared" si="13"/>
        <v/>
      </c>
      <c r="BE303" s="144" t="str">
        <f t="shared" si="17"/>
        <v/>
      </c>
      <c r="BF303" s="145" t="str">
        <f t="shared" si="14"/>
        <v/>
      </c>
    </row>
    <row r="304" spans="53:58">
      <c r="BA304" s="142" t="str">
        <f t="shared" si="15"/>
        <v/>
      </c>
      <c r="BB304" s="145" t="str">
        <f t="shared" si="12"/>
        <v/>
      </c>
      <c r="BC304" s="144" t="str">
        <f t="shared" si="16"/>
        <v/>
      </c>
      <c r="BD304" s="145" t="str">
        <f t="shared" si="13"/>
        <v/>
      </c>
      <c r="BE304" s="144" t="str">
        <f t="shared" si="17"/>
        <v/>
      </c>
      <c r="BF304" s="145" t="str">
        <f t="shared" si="14"/>
        <v/>
      </c>
    </row>
    <row r="305" spans="53:58">
      <c r="BA305" s="142" t="str">
        <f t="shared" si="15"/>
        <v/>
      </c>
      <c r="BB305" s="145" t="str">
        <f t="shared" si="12"/>
        <v/>
      </c>
      <c r="BC305" s="144" t="str">
        <f t="shared" si="16"/>
        <v/>
      </c>
      <c r="BD305" s="145" t="str">
        <f t="shared" si="13"/>
        <v/>
      </c>
      <c r="BE305" s="144" t="str">
        <f t="shared" si="17"/>
        <v/>
      </c>
      <c r="BF305" s="145" t="str">
        <f t="shared" si="14"/>
        <v/>
      </c>
    </row>
    <row r="306" spans="53:58">
      <c r="BA306" s="142" t="str">
        <f t="shared" si="15"/>
        <v/>
      </c>
      <c r="BB306" s="145" t="str">
        <f t="shared" si="12"/>
        <v/>
      </c>
      <c r="BC306" s="144" t="str">
        <f t="shared" si="16"/>
        <v/>
      </c>
      <c r="BD306" s="145" t="str">
        <f t="shared" si="13"/>
        <v/>
      </c>
      <c r="BE306" s="144" t="str">
        <f t="shared" si="17"/>
        <v/>
      </c>
      <c r="BF306" s="145" t="str">
        <f t="shared" si="14"/>
        <v/>
      </c>
    </row>
    <row r="307" spans="53:58">
      <c r="BA307" s="142" t="str">
        <f t="shared" si="15"/>
        <v/>
      </c>
      <c r="BB307" s="145" t="str">
        <f t="shared" si="12"/>
        <v/>
      </c>
      <c r="BC307" s="144" t="str">
        <f t="shared" si="16"/>
        <v/>
      </c>
      <c r="BD307" s="145" t="str">
        <f t="shared" si="13"/>
        <v/>
      </c>
      <c r="BE307" s="144" t="str">
        <f t="shared" si="17"/>
        <v/>
      </c>
      <c r="BF307" s="145" t="str">
        <f t="shared" si="14"/>
        <v/>
      </c>
    </row>
    <row r="308" spans="53:58">
      <c r="BA308" s="142" t="str">
        <f t="shared" si="15"/>
        <v/>
      </c>
      <c r="BB308" s="145" t="str">
        <f t="shared" si="12"/>
        <v/>
      </c>
      <c r="BC308" s="144" t="str">
        <f t="shared" si="16"/>
        <v/>
      </c>
      <c r="BD308" s="145" t="str">
        <f t="shared" si="13"/>
        <v/>
      </c>
      <c r="BE308" s="144" t="str">
        <f t="shared" si="17"/>
        <v/>
      </c>
      <c r="BF308" s="145" t="str">
        <f t="shared" si="14"/>
        <v/>
      </c>
    </row>
    <row r="309" spans="53:58">
      <c r="BA309" s="142" t="str">
        <f t="shared" si="15"/>
        <v/>
      </c>
      <c r="BB309" s="145" t="str">
        <f t="shared" si="12"/>
        <v/>
      </c>
      <c r="BC309" s="144" t="str">
        <f t="shared" si="16"/>
        <v/>
      </c>
      <c r="BD309" s="145" t="str">
        <f t="shared" si="13"/>
        <v/>
      </c>
      <c r="BE309" s="144" t="str">
        <f t="shared" si="17"/>
        <v/>
      </c>
      <c r="BF309" s="145" t="str">
        <f t="shared" si="14"/>
        <v/>
      </c>
    </row>
    <row r="310" spans="53:58">
      <c r="BA310" s="142" t="str">
        <f t="shared" si="15"/>
        <v/>
      </c>
      <c r="BB310" s="145" t="str">
        <f t="shared" si="12"/>
        <v/>
      </c>
      <c r="BC310" s="144" t="str">
        <f t="shared" si="16"/>
        <v/>
      </c>
      <c r="BD310" s="145" t="str">
        <f t="shared" si="13"/>
        <v/>
      </c>
      <c r="BE310" s="144" t="str">
        <f t="shared" si="17"/>
        <v/>
      </c>
      <c r="BF310" s="145" t="str">
        <f t="shared" si="14"/>
        <v/>
      </c>
    </row>
    <row r="311" spans="53:58">
      <c r="BA311" s="142" t="str">
        <f t="shared" si="15"/>
        <v/>
      </c>
      <c r="BB311" s="145" t="str">
        <f t="shared" si="12"/>
        <v/>
      </c>
      <c r="BC311" s="144" t="str">
        <f t="shared" si="16"/>
        <v/>
      </c>
      <c r="BD311" s="145" t="str">
        <f t="shared" si="13"/>
        <v/>
      </c>
      <c r="BE311" s="144" t="str">
        <f t="shared" si="17"/>
        <v/>
      </c>
      <c r="BF311" s="145" t="str">
        <f t="shared" si="14"/>
        <v/>
      </c>
    </row>
    <row r="312" spans="53:58">
      <c r="BA312" s="142" t="str">
        <f t="shared" si="15"/>
        <v/>
      </c>
      <c r="BB312" s="145" t="str">
        <f t="shared" si="12"/>
        <v/>
      </c>
      <c r="BC312" s="144" t="str">
        <f t="shared" si="16"/>
        <v/>
      </c>
      <c r="BD312" s="145" t="str">
        <f t="shared" si="13"/>
        <v/>
      </c>
      <c r="BE312" s="144" t="str">
        <f t="shared" si="17"/>
        <v/>
      </c>
      <c r="BF312" s="145" t="str">
        <f t="shared" si="14"/>
        <v/>
      </c>
    </row>
    <row r="313" spans="53:58">
      <c r="BA313" s="142" t="str">
        <f t="shared" si="15"/>
        <v/>
      </c>
      <c r="BB313" s="145" t="str">
        <f t="shared" si="12"/>
        <v/>
      </c>
      <c r="BC313" s="144" t="str">
        <f t="shared" si="16"/>
        <v/>
      </c>
      <c r="BD313" s="145" t="str">
        <f t="shared" si="13"/>
        <v/>
      </c>
      <c r="BE313" s="144" t="str">
        <f t="shared" si="17"/>
        <v/>
      </c>
      <c r="BF313" s="145" t="str">
        <f t="shared" si="14"/>
        <v/>
      </c>
    </row>
    <row r="314" spans="53:58">
      <c r="BA314" s="142" t="str">
        <f t="shared" si="15"/>
        <v/>
      </c>
      <c r="BB314" s="145" t="str">
        <f t="shared" si="12"/>
        <v/>
      </c>
      <c r="BC314" s="144" t="str">
        <f t="shared" si="16"/>
        <v/>
      </c>
      <c r="BD314" s="145" t="str">
        <f t="shared" si="13"/>
        <v/>
      </c>
      <c r="BE314" s="144" t="str">
        <f t="shared" si="17"/>
        <v/>
      </c>
      <c r="BF314" s="145" t="str">
        <f t="shared" si="14"/>
        <v/>
      </c>
    </row>
    <row r="315" spans="53:58">
      <c r="BA315" s="142" t="str">
        <f t="shared" si="15"/>
        <v/>
      </c>
      <c r="BB315" s="145" t="str">
        <f t="shared" si="12"/>
        <v/>
      </c>
      <c r="BC315" s="144" t="str">
        <f t="shared" si="16"/>
        <v/>
      </c>
      <c r="BD315" s="145" t="str">
        <f t="shared" si="13"/>
        <v/>
      </c>
      <c r="BE315" s="144" t="str">
        <f t="shared" si="17"/>
        <v/>
      </c>
      <c r="BF315" s="145" t="str">
        <f t="shared" si="14"/>
        <v/>
      </c>
    </row>
    <row r="316" spans="53:58">
      <c r="BA316" s="142" t="str">
        <f t="shared" si="15"/>
        <v/>
      </c>
      <c r="BB316" s="145" t="str">
        <f t="shared" si="12"/>
        <v/>
      </c>
      <c r="BC316" s="144" t="str">
        <f t="shared" si="16"/>
        <v/>
      </c>
      <c r="BD316" s="145" t="str">
        <f t="shared" si="13"/>
        <v/>
      </c>
      <c r="BE316" s="144" t="str">
        <f t="shared" si="17"/>
        <v/>
      </c>
      <c r="BF316" s="145" t="str">
        <f t="shared" si="14"/>
        <v/>
      </c>
    </row>
    <row r="317" spans="53:58">
      <c r="BA317" s="142" t="str">
        <f t="shared" si="15"/>
        <v/>
      </c>
      <c r="BB317" s="145" t="str">
        <f t="shared" si="12"/>
        <v/>
      </c>
      <c r="BC317" s="144" t="str">
        <f t="shared" si="16"/>
        <v/>
      </c>
      <c r="BD317" s="145" t="str">
        <f t="shared" si="13"/>
        <v/>
      </c>
      <c r="BE317" s="144" t="str">
        <f t="shared" si="17"/>
        <v/>
      </c>
      <c r="BF317" s="145" t="str">
        <f t="shared" si="14"/>
        <v/>
      </c>
    </row>
    <row r="318" spans="53:58">
      <c r="BA318" s="142" t="str">
        <f t="shared" si="15"/>
        <v/>
      </c>
      <c r="BB318" s="145" t="str">
        <f t="shared" si="12"/>
        <v/>
      </c>
      <c r="BC318" s="144" t="str">
        <f t="shared" si="16"/>
        <v/>
      </c>
      <c r="BD318" s="145" t="str">
        <f t="shared" si="13"/>
        <v/>
      </c>
      <c r="BE318" s="144" t="str">
        <f t="shared" si="17"/>
        <v/>
      </c>
      <c r="BF318" s="145" t="str">
        <f t="shared" si="14"/>
        <v/>
      </c>
    </row>
    <row r="319" spans="53:58">
      <c r="BA319" s="142" t="str">
        <f t="shared" si="15"/>
        <v/>
      </c>
      <c r="BB319" s="145" t="str">
        <f t="shared" si="12"/>
        <v/>
      </c>
      <c r="BC319" s="144" t="str">
        <f t="shared" si="16"/>
        <v/>
      </c>
      <c r="BD319" s="145" t="str">
        <f t="shared" si="13"/>
        <v/>
      </c>
      <c r="BE319" s="144" t="str">
        <f t="shared" si="17"/>
        <v/>
      </c>
      <c r="BF319" s="145" t="str">
        <f t="shared" si="14"/>
        <v/>
      </c>
    </row>
    <row r="320" spans="53:58">
      <c r="BA320" s="142" t="str">
        <f t="shared" si="15"/>
        <v/>
      </c>
      <c r="BB320" s="145" t="str">
        <f>IF(BA320="","",IF(hSA=Ls,Cs-(Emission_Rate*(hSA-BA320)/(Abf*$BB$219/10000)),$BD$223-(Emission_Rate*(hSA-BA320)/(Abf*$BB$219/10000))))</f>
        <v/>
      </c>
      <c r="BC320" s="144" t="str">
        <f t="shared" si="16"/>
        <v/>
      </c>
      <c r="BD320" s="145" t="str">
        <f>IF(BC320="","",IF(hSA+hSB=Ls,Cs-(Emission_Rate*(hSA+hSB-BC320)/(Abf*$BD$219/10000)),$BF$223-(Emission_Rate*(hSA+hSB-BC320)/(Abf*$BD$219/10000))))</f>
        <v/>
      </c>
      <c r="BE320" s="144" t="str">
        <f t="shared" si="17"/>
        <v/>
      </c>
      <c r="BF320" s="145" t="str">
        <f>IF(BE320="","",Cs-(Emission_Rate*(Ls-BE320)/(Abf*$BF$219/10000)))</f>
        <v/>
      </c>
    </row>
    <row r="321" spans="53:58">
      <c r="BA321" s="142" t="str">
        <f t="shared" si="15"/>
        <v/>
      </c>
      <c r="BB321" s="145" t="str">
        <f>IF(BA321="","",IF(hSA=Ls,Cs-(Emission_Rate*(hSA-BA321)/(Abf*$BB$219/10000)),$BD$223-(Emission_Rate*(hSA-BA321)/(Abf*$BB$219/10000))))</f>
        <v/>
      </c>
      <c r="BC321" s="144" t="str">
        <f t="shared" si="16"/>
        <v/>
      </c>
      <c r="BD321" s="145" t="str">
        <f>IF(BC321="","",IF(hSA+hSB=Ls,Cs-(Emission_Rate*(hSA+hSB-BC321)/(Abf*$BD$219/10000)),$BF$223-(Emission_Rate*(hSA+hSB-BC321)/(Abf*$BD$219/10000))))</f>
        <v/>
      </c>
      <c r="BE321" s="144" t="str">
        <f t="shared" si="17"/>
        <v/>
      </c>
      <c r="BF321" s="145" t="str">
        <f>IF(BE321="","",Cs-(Emission_Rate*(Ls-BE321)/(Abf*$BF$219/10000)))</f>
        <v/>
      </c>
    </row>
    <row r="322" spans="53:58">
      <c r="BA322" s="142" t="str">
        <f t="shared" si="15"/>
        <v/>
      </c>
      <c r="BB322" s="145" t="str">
        <f>IF(BA322="","",IF(hSA=Ls,Cs-(Emission_Rate*(hSA-BA322)/(Abf*$BB$219/10000)),$BD$223-(Emission_Rate*(hSA-BA322)/(Abf*$BB$219/10000))))</f>
        <v/>
      </c>
      <c r="BC322" s="144" t="str">
        <f t="shared" si="16"/>
        <v/>
      </c>
      <c r="BD322" s="145" t="str">
        <f>IF(BC322="","",IF(hSA+hSB=Ls,Cs-(Emission_Rate*(hSA+hSB-BC322)/(Abf*$BD$219/10000)),$BF$223-(Emission_Rate*(hSA+hSB-BC322)/(Abf*$BD$219/10000))))</f>
        <v/>
      </c>
      <c r="BE322" s="144" t="str">
        <f t="shared" si="17"/>
        <v/>
      </c>
      <c r="BF322" s="145" t="str">
        <f>IF(BE322="","",Cs-(Emission_Rate*(Ls-BE322)/(Abf*$BF$219/10000)))</f>
        <v/>
      </c>
    </row>
    <row r="323" spans="53:58">
      <c r="BA323" s="142" t="str">
        <f t="shared" si="15"/>
        <v/>
      </c>
      <c r="BB323" s="145" t="str">
        <f>IF(BA323="","",IF(hSA=Ls,Cs-(Emission_Rate*(hSA-BA323)/(Abf*$BB$219/10000)),$BD$223-(Emission_Rate*(hSA-BA323)/(Abf*$BB$219/10000))))</f>
        <v/>
      </c>
      <c r="BC323" s="144" t="str">
        <f t="shared" si="16"/>
        <v/>
      </c>
      <c r="BD323" s="145" t="str">
        <f>IF(BC323="","",IF(hSA+hSB=Ls,Cs-(Emission_Rate*(hSA+hSB-BC323)/(Abf*$BD$219/10000)),$BF$223-(Emission_Rate*(hSA+hSB-BC323)/(Abf*$BD$219/10000))))</f>
        <v/>
      </c>
      <c r="BE323" s="144" t="str">
        <f t="shared" si="17"/>
        <v/>
      </c>
      <c r="BF323" s="145" t="str">
        <f>IF(BE323="","",Cs-(Emission_Rate*(Ls-BE323)/(Abf*$BF$219/10000)))</f>
        <v/>
      </c>
    </row>
  </sheetData>
  <sheetProtection algorithmName="SHA-512" hashValue="takcQOnOqktbnG34A6YIsr4pD0u2uoLBu/aS3c/C9aU3XPvqGOEESd6XrCF96bYsKeE8JGS5Kn4xIqkoaKnDIw==" saltValue="I6hajJZjZOvNJjSQ8ixAlA==" spinCount="100000" sheet="1" selectLockedCells="1"/>
  <mergeCells count="18">
    <mergeCell ref="A8:F8"/>
    <mergeCell ref="A134:H134"/>
    <mergeCell ref="B79:C79"/>
    <mergeCell ref="B111:D111"/>
    <mergeCell ref="B112:D112"/>
    <mergeCell ref="G87:H87"/>
    <mergeCell ref="G32:J34"/>
    <mergeCell ref="AJ153:AK153"/>
    <mergeCell ref="AG87:AH87"/>
    <mergeCell ref="AB79:AC79"/>
    <mergeCell ref="K148:L148"/>
    <mergeCell ref="K1:L4"/>
    <mergeCell ref="AA8:AF8"/>
    <mergeCell ref="AB111:AD111"/>
    <mergeCell ref="AB112:AD112"/>
    <mergeCell ref="AB134:AI134"/>
    <mergeCell ref="J89:K91"/>
    <mergeCell ref="K72:K73"/>
  </mergeCells>
  <phoneticPr fontId="0" type="noConversion"/>
  <dataValidations count="6">
    <dataValidation type="list" allowBlank="1" showInputMessage="1" showErrorMessage="1" errorTitle="Incorrect Soil Type" error="Please select from the drop down list." sqref="AF55 F55" xr:uid="{00000000-0002-0000-0100-000000000000}">
      <formula1>Soil_Type</formula1>
    </dataValidation>
    <dataValidation type="list" allowBlank="1" showInputMessage="1" showErrorMessage="1" sqref="AF67 F61 AF61 F67" xr:uid="{00000000-0002-0000-0100-000001000000}">
      <formula1>Soil_Type2</formula1>
    </dataValidation>
    <dataValidation type="list" allowBlank="1" showInputMessage="1" showErrorMessage="1" sqref="AF37:AH37 F37:G37" xr:uid="{00000000-0002-0000-0100-000002000000}">
      <formula1>Found_Type_List</formula1>
    </dataValidation>
    <dataValidation type="list" allowBlank="1" showErrorMessage="1" sqref="AF17 F17" xr:uid="{00000000-0002-0000-0100-000003000000}">
      <formula1>Chem_Search</formula1>
    </dataValidation>
    <dataValidation type="list" showInputMessage="1" showErrorMessage="1" sqref="AF10 F10" xr:uid="{00000000-0002-0000-0100-000004000000}">
      <formula1>Source_Medium_List</formula1>
    </dataValidation>
    <dataValidation type="list" allowBlank="1" showInputMessage="1" showErrorMessage="1" sqref="F36" xr:uid="{00000000-0002-0000-0100-000005000000}">
      <formula1>Bldg_Setting_List</formula1>
    </dataValidation>
  </dataValidations>
  <printOptions horizontalCentered="1" gridLinesSet="0"/>
  <pageMargins left="0.5" right="0.25" top="1" bottom="1" header="0.4" footer="0.4"/>
  <pageSetup scale="63" fitToHeight="4" orientation="landscape" horizontalDpi="300" verticalDpi="300" r:id="rId1"/>
  <headerFooter alignWithMargins="0">
    <oddFooter>&amp;L&amp;Z&amp;F&amp;RPage &amp;P of &amp;N</oddFooter>
  </headerFooter>
  <rowBreaks count="2" manualBreakCount="2">
    <brk id="46" max="10" man="1"/>
    <brk id="87" max="10" man="1"/>
  </rowBreaks>
  <ignoredErrors>
    <ignoredError sqref="AG86 F86:G86" unlockedFormula="1"/>
    <ignoredError sqref="H2:H3" formula="1"/>
  </ignoredErrors>
  <drawing r:id="rId2"/>
  <legacyDrawing r:id="rId3"/>
  <controls>
    <mc:AlternateContent xmlns:mc="http://schemas.openxmlformats.org/markup-compatibility/2006">
      <mc:Choice Requires="x14">
        <control shapeId="3138" r:id="rId4" name="CommandButton1">
          <controlPr locked="0" defaultSize="0" autoLine="0" autoPict="0" r:id="rId5">
            <anchor moveWithCells="1">
              <from>
                <xdr:col>7</xdr:col>
                <xdr:colOff>504825</xdr:colOff>
                <xdr:row>7</xdr:row>
                <xdr:rowOff>219075</xdr:rowOff>
              </from>
              <to>
                <xdr:col>9</xdr:col>
                <xdr:colOff>333375</xdr:colOff>
                <xdr:row>7</xdr:row>
                <xdr:rowOff>542925</xdr:rowOff>
              </to>
            </anchor>
          </controlPr>
        </control>
      </mc:Choice>
      <mc:Fallback>
        <control shapeId="3138" r:id="rId4" name="CommandButton1"/>
      </mc:Fallback>
    </mc:AlternateContent>
    <mc:AlternateContent xmlns:mc="http://schemas.openxmlformats.org/markup-compatibility/2006">
      <mc:Choice Requires="x14">
        <control shapeId="3073" r:id="rId6" name="Button 1">
          <controlPr defaultSize="0" print="0" autoFill="0" autoPict="0" macro="[0]!Reset">
            <anchor moveWithCells="1" sizeWithCells="1">
              <from>
                <xdr:col>7</xdr:col>
                <xdr:colOff>485775</xdr:colOff>
                <xdr:row>5</xdr:row>
                <xdr:rowOff>0</xdr:rowOff>
              </from>
              <to>
                <xdr:col>10</xdr:col>
                <xdr:colOff>571500</xdr:colOff>
                <xdr:row>6</xdr:row>
                <xdr:rowOff>38100</xdr:rowOff>
              </to>
            </anchor>
          </controlPr>
        </control>
      </mc:Choice>
    </mc:AlternateContent>
    <mc:AlternateContent xmlns:mc="http://schemas.openxmlformats.org/markup-compatibility/2006">
      <mc:Choice Requires="x14">
        <control shapeId="3078" r:id="rId7" name="Button 6">
          <controlPr defaultSize="0" print="0" autoFill="0" autoPict="0" macro="[0]!Reset_Exposure_Parameters">
            <anchor moveWithCells="1" sizeWithCells="1">
              <from>
                <xdr:col>2</xdr:col>
                <xdr:colOff>2028825</xdr:colOff>
                <xdr:row>76</xdr:row>
                <xdr:rowOff>66675</xdr:rowOff>
              </from>
              <to>
                <xdr:col>2</xdr:col>
                <xdr:colOff>2219325</xdr:colOff>
                <xdr:row>77</xdr:row>
                <xdr:rowOff>19050</xdr:rowOff>
              </to>
            </anchor>
          </controlPr>
        </control>
      </mc:Choice>
    </mc:AlternateContent>
    <mc:AlternateContent xmlns:mc="http://schemas.openxmlformats.org/markup-compatibility/2006">
      <mc:Choice Requires="x14">
        <control shapeId="3080" r:id="rId8" name="Button 8">
          <controlPr defaultSize="0" print="0" autoFill="0" autoPict="0" macro="[0]!Reset_Chemical_Properties">
            <anchor moveWithCells="1" sizeWithCells="1">
              <from>
                <xdr:col>2</xdr:col>
                <xdr:colOff>1905000</xdr:colOff>
                <xdr:row>22</xdr:row>
                <xdr:rowOff>38100</xdr:rowOff>
              </from>
              <to>
                <xdr:col>2</xdr:col>
                <xdr:colOff>2095500</xdr:colOff>
                <xdr:row>23</xdr:row>
                <xdr:rowOff>9525</xdr:rowOff>
              </to>
            </anchor>
          </controlPr>
        </control>
      </mc:Choice>
    </mc:AlternateContent>
    <mc:AlternateContent xmlns:mc="http://schemas.openxmlformats.org/markup-compatibility/2006">
      <mc:Choice Requires="x14">
        <control shapeId="3082" r:id="rId9" name="Button 10">
          <controlPr defaultSize="0" print="0" autoFill="0" autoPict="0" macro="[0]!Reset_Building_Characteristics">
            <anchor>
              <from>
                <xdr:col>2</xdr:col>
                <xdr:colOff>1800225</xdr:colOff>
                <xdr:row>26</xdr:row>
                <xdr:rowOff>66675</xdr:rowOff>
              </from>
              <to>
                <xdr:col>2</xdr:col>
                <xdr:colOff>2047875</xdr:colOff>
                <xdr:row>26</xdr:row>
                <xdr:rowOff>285750</xdr:rowOff>
              </to>
            </anchor>
          </controlPr>
        </control>
      </mc:Choice>
    </mc:AlternateContent>
    <mc:AlternateContent xmlns:mc="http://schemas.openxmlformats.org/markup-compatibility/2006">
      <mc:Choice Requires="x14">
        <control shapeId="3083" r:id="rId10" name="Button 11">
          <controlPr defaultSize="0" print="0" autoFill="0" autoPict="0" macro="[0]!Reset_Toxicity_Factors">
            <anchor moveWithCells="1" sizeWithCells="1">
              <from>
                <xdr:col>2</xdr:col>
                <xdr:colOff>800100</xdr:colOff>
                <xdr:row>15</xdr:row>
                <xdr:rowOff>38100</xdr:rowOff>
              </from>
              <to>
                <xdr:col>2</xdr:col>
                <xdr:colOff>990600</xdr:colOff>
                <xdr:row>16</xdr:row>
                <xdr:rowOff>9525</xdr:rowOff>
              </to>
            </anchor>
          </controlPr>
        </control>
      </mc:Choice>
    </mc:AlternateContent>
    <mc:AlternateContent xmlns:mc="http://schemas.openxmlformats.org/markup-compatibility/2006">
      <mc:Choice Requires="x14">
        <control shapeId="3085" r:id="rId11" name="Button 13">
          <controlPr defaultSize="0" print="0" autoFill="0" autoPict="0" macro="[0]!Reset_Vadose_Zone_Characteristics">
            <anchor moveWithCells="1" sizeWithCells="1">
              <from>
                <xdr:col>2</xdr:col>
                <xdr:colOff>2286000</xdr:colOff>
                <xdr:row>53</xdr:row>
                <xdr:rowOff>9525</xdr:rowOff>
              </from>
              <to>
                <xdr:col>2</xdr:col>
                <xdr:colOff>2476500</xdr:colOff>
                <xdr:row>54</xdr:row>
                <xdr:rowOff>9525</xdr:rowOff>
              </to>
            </anchor>
          </controlPr>
        </control>
      </mc:Choice>
    </mc:AlternateContent>
    <mc:AlternateContent xmlns:mc="http://schemas.openxmlformats.org/markup-compatibility/2006">
      <mc:Choice Requires="x14">
        <control shapeId="3136" r:id="rId12" name="Button 64">
          <controlPr defaultSize="0" print="0" autoFill="0" autoPict="0" macro="[0]!Reset_Chemical_Properties">
            <anchor moveWithCells="1" sizeWithCells="1">
              <from>
                <xdr:col>26</xdr:col>
                <xdr:colOff>0</xdr:colOff>
                <xdr:row>22</xdr:row>
                <xdr:rowOff>38100</xdr:rowOff>
              </from>
              <to>
                <xdr:col>26</xdr:col>
                <xdr:colOff>0</xdr:colOff>
                <xdr:row>23</xdr:row>
                <xdr:rowOff>9525</xdr:rowOff>
              </to>
            </anchor>
          </controlPr>
        </control>
      </mc:Choice>
    </mc:AlternateContent>
    <mc:AlternateContent xmlns:mc="http://schemas.openxmlformats.org/markup-compatibility/2006">
      <mc:Choice Requires="x14">
        <control shapeId="3137" r:id="rId13" name="Button 65">
          <controlPr defaultSize="0" print="0" autoFill="0" autoPict="0" macro="[0]!Reset_Toxicity_Factors">
            <anchor moveWithCells="1" sizeWithCells="1">
              <from>
                <xdr:col>26</xdr:col>
                <xdr:colOff>0</xdr:colOff>
                <xdr:row>15</xdr:row>
                <xdr:rowOff>38100</xdr:rowOff>
              </from>
              <to>
                <xdr:col>26</xdr:col>
                <xdr:colOff>0</xdr:colOff>
                <xdr:row>16</xdr:row>
                <xdr:rowOff>9525</xdr:rowOff>
              </to>
            </anchor>
          </controlPr>
        </control>
      </mc:Choice>
    </mc:AlternateContent>
    <mc:AlternateContent xmlns:mc="http://schemas.openxmlformats.org/markup-compatibility/2006">
      <mc:Choice Requires="x14">
        <control shapeId="3146" r:id="rId14" name="Button 74">
          <controlPr defaultSize="0" print="0" autoFill="0" autoPict="0" macro="[0]!Reset_Exposure_Parameters">
            <anchor moveWithCells="1" sizeWithCells="1">
              <from>
                <xdr:col>28</xdr:col>
                <xdr:colOff>2028825</xdr:colOff>
                <xdr:row>76</xdr:row>
                <xdr:rowOff>66675</xdr:rowOff>
              </from>
              <to>
                <xdr:col>28</xdr:col>
                <xdr:colOff>2219325</xdr:colOff>
                <xdr:row>77</xdr:row>
                <xdr:rowOff>19050</xdr:rowOff>
              </to>
            </anchor>
          </controlPr>
        </control>
      </mc:Choice>
    </mc:AlternateContent>
    <mc:AlternateContent xmlns:mc="http://schemas.openxmlformats.org/markup-compatibility/2006">
      <mc:Choice Requires="x14">
        <control shapeId="3282" r:id="rId15" name="Group Box 210">
          <controlPr defaultSize="0" autoFill="0" autoPict="0">
            <anchor moveWithCells="1">
              <from>
                <xdr:col>0</xdr:col>
                <xdr:colOff>66675</xdr:colOff>
                <xdr:row>30</xdr:row>
                <xdr:rowOff>66675</xdr:rowOff>
              </from>
              <to>
                <xdr:col>5</xdr:col>
                <xdr:colOff>285750</xdr:colOff>
                <xdr:row>33</xdr:row>
                <xdr:rowOff>57150</xdr:rowOff>
              </to>
            </anchor>
          </controlPr>
        </control>
      </mc:Choice>
    </mc:AlternateContent>
    <mc:AlternateContent xmlns:mc="http://schemas.openxmlformats.org/markup-compatibility/2006">
      <mc:Choice Requires="x14">
        <control shapeId="3283" r:id="rId16" name="Option Button 211">
          <controlPr defaultSize="0" autoFill="0" autoLine="0" autoPict="0">
            <anchor moveWithCells="1">
              <from>
                <xdr:col>1</xdr:col>
                <xdr:colOff>38100</xdr:colOff>
                <xdr:row>30</xdr:row>
                <xdr:rowOff>209550</xdr:rowOff>
              </from>
              <to>
                <xdr:col>4</xdr:col>
                <xdr:colOff>114300</xdr:colOff>
                <xdr:row>31</xdr:row>
                <xdr:rowOff>219075</xdr:rowOff>
              </to>
            </anchor>
          </controlPr>
        </control>
      </mc:Choice>
    </mc:AlternateContent>
    <mc:AlternateContent xmlns:mc="http://schemas.openxmlformats.org/markup-compatibility/2006">
      <mc:Choice Requires="x14">
        <control shapeId="3284" r:id="rId17" name="Option Button 212">
          <controlPr defaultSize="0" autoFill="0" autoLine="0" autoPict="0">
            <anchor moveWithCells="1">
              <from>
                <xdr:col>1</xdr:col>
                <xdr:colOff>57150</xdr:colOff>
                <xdr:row>31</xdr:row>
                <xdr:rowOff>209550</xdr:rowOff>
              </from>
              <to>
                <xdr:col>3</xdr:col>
                <xdr:colOff>981075</xdr:colOff>
                <xdr:row>32</xdr:row>
                <xdr:rowOff>200025</xdr:rowOff>
              </to>
            </anchor>
          </controlPr>
        </control>
      </mc:Choice>
    </mc:AlternateContent>
    <mc:AlternateContent xmlns:mc="http://schemas.openxmlformats.org/markup-compatibility/2006">
      <mc:Choice Requires="x14">
        <control shapeId="3285" r:id="rId18" name="Button 213">
          <controlPr defaultSize="0" print="0" autoFill="0" autoPict="0" macro="[0]!Reset_Building_Assumptions">
            <anchor moveWithCells="1" sizeWithCells="1">
              <from>
                <xdr:col>3</xdr:col>
                <xdr:colOff>57150</xdr:colOff>
                <xdr:row>32</xdr:row>
                <xdr:rowOff>19050</xdr:rowOff>
              </from>
              <to>
                <xdr:col>5</xdr:col>
                <xdr:colOff>238125</xdr:colOff>
                <xdr:row>33</xdr:row>
                <xdr:rowOff>38100</xdr:rowOff>
              </to>
            </anchor>
          </controlPr>
        </control>
      </mc:Choice>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100-000006000000}">
          <x14:formula1>
            <xm:f>PICK_LISTS!$C$3:$C$6</xm:f>
          </x14:formula1>
          <xm:sqref>G37 AH37</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8"/>
  <dimension ref="A1:F29"/>
  <sheetViews>
    <sheetView workbookViewId="0">
      <selection activeCell="B10" sqref="B10"/>
    </sheetView>
  </sheetViews>
  <sheetFormatPr defaultRowHeight="12.75"/>
  <cols>
    <col min="1" max="1" width="9.85546875" customWidth="1"/>
    <col min="2" max="2" width="37.7109375" customWidth="1"/>
  </cols>
  <sheetData>
    <row r="1" spans="1:6" ht="20.25">
      <c r="A1" s="348" t="s">
        <v>1781</v>
      </c>
      <c r="B1" s="399"/>
    </row>
    <row r="2" spans="1:6" ht="80.25" customHeight="1">
      <c r="A2" s="948" t="s">
        <v>1782</v>
      </c>
      <c r="B2" s="948"/>
      <c r="C2" s="948"/>
      <c r="D2" s="948"/>
      <c r="E2" s="948"/>
      <c r="F2" s="948"/>
    </row>
    <row r="3" spans="1:6" s="141" customFormat="1" ht="45" customHeight="1" thickBot="1">
      <c r="A3" s="400"/>
      <c r="B3" s="400"/>
      <c r="C3" s="400"/>
      <c r="D3" s="400"/>
      <c r="E3" s="400"/>
      <c r="F3" s="400"/>
    </row>
    <row r="4" spans="1:6" ht="13.5" thickBot="1">
      <c r="A4" s="492" t="s">
        <v>1641</v>
      </c>
      <c r="B4" s="492" t="s">
        <v>1780</v>
      </c>
    </row>
    <row r="5" spans="1:6">
      <c r="A5" s="202"/>
      <c r="B5" s="202"/>
    </row>
    <row r="6" spans="1:6">
      <c r="A6" s="202"/>
      <c r="B6" s="202"/>
    </row>
    <row r="7" spans="1:6">
      <c r="A7" s="202"/>
      <c r="B7" s="202"/>
    </row>
    <row r="8" spans="1:6">
      <c r="A8" s="202"/>
      <c r="B8" s="397"/>
    </row>
    <row r="9" spans="1:6">
      <c r="A9" s="202"/>
      <c r="B9" s="397"/>
    </row>
    <row r="10" spans="1:6">
      <c r="A10" s="202"/>
      <c r="B10" s="397"/>
    </row>
    <row r="11" spans="1:6">
      <c r="A11" s="202"/>
      <c r="B11" s="397"/>
    </row>
    <row r="12" spans="1:6">
      <c r="A12" s="202"/>
      <c r="B12" s="202"/>
    </row>
    <row r="13" spans="1:6">
      <c r="A13" s="202"/>
      <c r="B13" s="202"/>
    </row>
    <row r="14" spans="1:6">
      <c r="A14" s="202"/>
      <c r="B14" s="202"/>
    </row>
    <row r="15" spans="1:6">
      <c r="A15" s="202"/>
      <c r="B15" s="202"/>
    </row>
    <row r="16" spans="1:6">
      <c r="A16" s="202"/>
      <c r="B16" s="202"/>
    </row>
    <row r="17" spans="1:2">
      <c r="A17" s="202"/>
      <c r="B17" s="202"/>
    </row>
    <row r="18" spans="1:2">
      <c r="A18" s="202"/>
      <c r="B18" s="202"/>
    </row>
    <row r="19" spans="1:2">
      <c r="A19" s="395"/>
      <c r="B19" s="202"/>
    </row>
    <row r="20" spans="1:2">
      <c r="A20" s="395"/>
      <c r="B20" s="202"/>
    </row>
    <row r="21" spans="1:2">
      <c r="A21" s="395"/>
      <c r="B21" s="202"/>
    </row>
    <row r="22" spans="1:2">
      <c r="A22" s="395"/>
      <c r="B22" s="202"/>
    </row>
    <row r="23" spans="1:2">
      <c r="A23" s="395"/>
      <c r="B23" s="202"/>
    </row>
    <row r="24" spans="1:2">
      <c r="A24" s="395"/>
      <c r="B24" s="202"/>
    </row>
    <row r="25" spans="1:2">
      <c r="A25" s="395"/>
      <c r="B25" s="202"/>
    </row>
    <row r="26" spans="1:2">
      <c r="A26" s="395"/>
      <c r="B26" s="202"/>
    </row>
    <row r="27" spans="1:2">
      <c r="A27" s="395"/>
      <c r="B27" s="202"/>
    </row>
    <row r="28" spans="1:2">
      <c r="A28" s="395"/>
      <c r="B28" s="202"/>
    </row>
    <row r="29" spans="1:2">
      <c r="A29" s="396"/>
      <c r="B29" s="398"/>
    </row>
  </sheetData>
  <sheetProtection algorithmName="SHA-512" hashValue="B++nrJmfS8JEDVKv879XCvPltMXcMBBv7CR/ajBtj2ZlwdJ4H91TR4d2jUs7WAMfmIVbkgrfSzDYR2EI2k092A==" saltValue="XHiCsC6x9p9gDX/p6UqMZw==" spinCount="100000" sheet="1" objects="1" scenarios="1"/>
  <mergeCells count="1">
    <mergeCell ref="A2:F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3556" r:id="rId3" name="Button 4">
              <controlPr defaultSize="0" print="0" autoFill="0" autoPict="0" macro="[0]!Measured_Soil_Gas_Conc_Clear_Input_Click">
                <anchor moveWithCells="1" sizeWithCells="1">
                  <from>
                    <xdr:col>1</xdr:col>
                    <xdr:colOff>504825</xdr:colOff>
                    <xdr:row>2</xdr:row>
                    <xdr:rowOff>180975</xdr:rowOff>
                  </from>
                  <to>
                    <xdr:col>1</xdr:col>
                    <xdr:colOff>1609725</xdr:colOff>
                    <xdr:row>2</xdr:row>
                    <xdr:rowOff>447675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dimension ref="A1:I289"/>
  <sheetViews>
    <sheetView workbookViewId="0">
      <selection activeCell="C7" sqref="C7:C297"/>
    </sheetView>
  </sheetViews>
  <sheetFormatPr defaultRowHeight="12.75"/>
  <cols>
    <col min="1" max="1" width="40" bestFit="1" customWidth="1"/>
    <col min="2" max="2" width="10.28515625" bestFit="1" customWidth="1"/>
    <col min="3" max="3" width="28.7109375" style="614" customWidth="1"/>
    <col min="6" max="7" width="8.85546875" style="179"/>
  </cols>
  <sheetData>
    <row r="1" spans="1:9" ht="20.25">
      <c r="A1" s="348" t="s">
        <v>1764</v>
      </c>
      <c r="B1" s="348"/>
      <c r="C1"/>
    </row>
    <row r="2" spans="1:9" ht="70.5" customHeight="1">
      <c r="A2" s="949" t="s">
        <v>2345</v>
      </c>
      <c r="B2" s="950"/>
      <c r="C2" s="950"/>
      <c r="D2" s="950"/>
      <c r="E2" s="950"/>
      <c r="F2" s="363"/>
      <c r="G2" s="363"/>
      <c r="H2" s="363"/>
      <c r="I2" s="363"/>
    </row>
    <row r="3" spans="1:9" ht="34.5" customHeight="1">
      <c r="A3" s="362"/>
      <c r="B3" s="362"/>
      <c r="C3" s="613"/>
      <c r="D3" s="362"/>
      <c r="E3" s="362"/>
      <c r="F3" s="362"/>
      <c r="G3" s="362"/>
      <c r="H3" s="362"/>
      <c r="I3" s="362"/>
    </row>
    <row r="4" spans="1:9" ht="35.25" customHeight="1">
      <c r="A4" s="362"/>
      <c r="B4" s="362"/>
      <c r="C4" s="613"/>
      <c r="D4" s="362"/>
      <c r="E4" s="362"/>
      <c r="F4" s="362"/>
      <c r="G4" s="362"/>
      <c r="H4" s="362"/>
      <c r="I4" s="362"/>
    </row>
    <row r="5" spans="1:9" ht="13.5" thickBot="1"/>
    <row r="6" spans="1:9" ht="13.5" thickBot="1">
      <c r="A6" s="492" t="s">
        <v>2075</v>
      </c>
      <c r="B6" s="492" t="s">
        <v>2297</v>
      </c>
      <c r="C6" s="612" t="s">
        <v>1763</v>
      </c>
      <c r="F6" s="575"/>
      <c r="G6" s="576"/>
    </row>
    <row r="7" spans="1:9">
      <c r="A7" s="493" t="s">
        <v>72</v>
      </c>
      <c r="B7" s="493" t="s">
        <v>1360</v>
      </c>
      <c r="C7" s="494"/>
      <c r="F7" s="575"/>
      <c r="G7" s="576"/>
    </row>
    <row r="8" spans="1:9">
      <c r="A8" s="493" t="s">
        <v>55</v>
      </c>
      <c r="B8" s="493" t="s">
        <v>358</v>
      </c>
      <c r="C8" s="494"/>
      <c r="F8" s="575"/>
      <c r="G8" s="576"/>
    </row>
    <row r="9" spans="1:9">
      <c r="A9" s="493" t="s">
        <v>46</v>
      </c>
      <c r="B9" s="493" t="s">
        <v>361</v>
      </c>
      <c r="C9" s="494"/>
      <c r="F9" s="575"/>
      <c r="G9" s="576"/>
    </row>
    <row r="10" spans="1:9">
      <c r="A10" s="493" t="s">
        <v>54</v>
      </c>
      <c r="B10" s="493" t="s">
        <v>364</v>
      </c>
      <c r="C10" s="494"/>
      <c r="F10" s="575"/>
      <c r="G10" s="576"/>
    </row>
    <row r="11" spans="1:9">
      <c r="A11" s="493" t="s">
        <v>82</v>
      </c>
      <c r="B11" s="493" t="s">
        <v>365</v>
      </c>
      <c r="C11" s="494"/>
      <c r="F11" s="575"/>
      <c r="G11" s="576"/>
    </row>
    <row r="12" spans="1:9">
      <c r="A12" s="493" t="s">
        <v>91</v>
      </c>
      <c r="B12" s="493" t="s">
        <v>368</v>
      </c>
      <c r="C12" s="494"/>
      <c r="F12" s="575"/>
      <c r="G12" s="576"/>
    </row>
    <row r="13" spans="1:9">
      <c r="A13" s="493" t="s">
        <v>371</v>
      </c>
      <c r="B13" s="493" t="s">
        <v>372</v>
      </c>
      <c r="C13" s="494"/>
      <c r="F13" s="575"/>
      <c r="G13" s="576"/>
    </row>
    <row r="14" spans="1:9">
      <c r="A14" s="493" t="s">
        <v>93</v>
      </c>
      <c r="B14" s="493" t="s">
        <v>373</v>
      </c>
      <c r="C14" s="494"/>
      <c r="F14" s="575"/>
      <c r="G14" s="576"/>
    </row>
    <row r="15" spans="1:9">
      <c r="A15" s="493" t="s">
        <v>109</v>
      </c>
      <c r="B15" s="493" t="s">
        <v>382</v>
      </c>
      <c r="C15" s="494"/>
      <c r="F15" s="575"/>
      <c r="G15" s="576"/>
    </row>
    <row r="16" spans="1:9">
      <c r="A16" s="493" t="s">
        <v>384</v>
      </c>
      <c r="B16" s="493" t="s">
        <v>385</v>
      </c>
      <c r="C16" s="494"/>
      <c r="F16" s="575"/>
      <c r="G16" s="576"/>
    </row>
    <row r="17" spans="1:7">
      <c r="A17" s="493" t="s">
        <v>386</v>
      </c>
      <c r="B17" s="493" t="s">
        <v>387</v>
      </c>
      <c r="C17" s="494"/>
      <c r="F17" s="575"/>
      <c r="G17" s="576"/>
    </row>
    <row r="18" spans="1:7">
      <c r="A18" s="493" t="s">
        <v>403</v>
      </c>
      <c r="B18" s="493" t="s">
        <v>404</v>
      </c>
      <c r="C18" s="494"/>
      <c r="F18" s="575"/>
      <c r="G18" s="576"/>
    </row>
    <row r="19" spans="1:7">
      <c r="A19" s="493" t="s">
        <v>2105</v>
      </c>
      <c r="B19" s="493" t="s">
        <v>2104</v>
      </c>
      <c r="C19" s="494"/>
      <c r="F19" s="575"/>
      <c r="G19" s="576"/>
    </row>
    <row r="20" spans="1:7">
      <c r="A20" s="493" t="s">
        <v>2150</v>
      </c>
      <c r="B20" s="493" t="s">
        <v>1362</v>
      </c>
      <c r="C20" s="494"/>
      <c r="F20" s="575"/>
      <c r="G20" s="576"/>
    </row>
    <row r="21" spans="1:7">
      <c r="A21" s="493" t="s">
        <v>1732</v>
      </c>
      <c r="B21" s="493" t="s">
        <v>1315</v>
      </c>
      <c r="C21" s="494"/>
      <c r="F21" s="575"/>
      <c r="G21" s="576"/>
    </row>
    <row r="22" spans="1:7">
      <c r="A22" s="493" t="s">
        <v>1733</v>
      </c>
      <c r="B22" s="493" t="s">
        <v>1317</v>
      </c>
      <c r="C22" s="494"/>
      <c r="F22" s="575"/>
      <c r="G22" s="576"/>
    </row>
    <row r="23" spans="1:7">
      <c r="A23" s="493" t="s">
        <v>1734</v>
      </c>
      <c r="B23" s="493" t="s">
        <v>1319</v>
      </c>
      <c r="C23" s="494"/>
      <c r="F23" s="575"/>
      <c r="G23" s="576"/>
    </row>
    <row r="24" spans="1:7">
      <c r="A24" s="493" t="s">
        <v>1735</v>
      </c>
      <c r="B24" s="493" t="s">
        <v>1321</v>
      </c>
      <c r="C24" s="494"/>
      <c r="F24" s="575"/>
      <c r="G24" s="576"/>
    </row>
    <row r="25" spans="1:7">
      <c r="A25" s="493" t="s">
        <v>1736</v>
      </c>
      <c r="B25" s="493" t="s">
        <v>1323</v>
      </c>
      <c r="C25" s="494"/>
      <c r="F25" s="575"/>
      <c r="G25" s="576"/>
    </row>
    <row r="26" spans="1:7">
      <c r="A26" s="493" t="s">
        <v>1737</v>
      </c>
      <c r="B26" s="493" t="s">
        <v>1325</v>
      </c>
      <c r="C26" s="494"/>
      <c r="F26" s="575"/>
      <c r="G26" s="576"/>
    </row>
    <row r="27" spans="1:7">
      <c r="A27" s="493" t="s">
        <v>1738</v>
      </c>
      <c r="B27" s="493" t="s">
        <v>1327</v>
      </c>
      <c r="C27" s="494"/>
      <c r="F27" s="575"/>
      <c r="G27" s="576"/>
    </row>
    <row r="28" spans="1:7">
      <c r="A28" s="493" t="s">
        <v>2160</v>
      </c>
      <c r="B28" s="493" t="s">
        <v>2143</v>
      </c>
      <c r="C28" s="494"/>
      <c r="F28" s="575"/>
      <c r="G28" s="576"/>
    </row>
    <row r="29" spans="1:7">
      <c r="A29" s="493" t="s">
        <v>434</v>
      </c>
      <c r="B29" s="493" t="s">
        <v>435</v>
      </c>
      <c r="C29" s="494"/>
      <c r="F29" s="575"/>
      <c r="G29" s="576"/>
    </row>
    <row r="30" spans="1:7">
      <c r="A30" s="493" t="s">
        <v>2192</v>
      </c>
      <c r="B30" s="493" t="s">
        <v>441</v>
      </c>
      <c r="C30" s="494"/>
      <c r="F30" s="575"/>
      <c r="G30" s="576"/>
    </row>
    <row r="31" spans="1:7">
      <c r="A31" s="493" t="s">
        <v>2148</v>
      </c>
      <c r="B31" s="493" t="s">
        <v>1364</v>
      </c>
      <c r="C31" s="494"/>
      <c r="F31" s="575"/>
      <c r="G31" s="576"/>
    </row>
    <row r="32" spans="1:7">
      <c r="A32" s="493" t="s">
        <v>87</v>
      </c>
      <c r="B32" s="493" t="s">
        <v>446</v>
      </c>
      <c r="C32" s="494"/>
      <c r="F32" s="575"/>
      <c r="G32" s="576"/>
    </row>
    <row r="33" spans="1:7">
      <c r="A33" s="493" t="s">
        <v>49</v>
      </c>
      <c r="B33" s="493" t="s">
        <v>447</v>
      </c>
      <c r="C33" s="494"/>
      <c r="F33" s="575"/>
      <c r="G33" s="576"/>
    </row>
    <row r="34" spans="1:7">
      <c r="A34" s="493" t="s">
        <v>448</v>
      </c>
      <c r="B34" s="493" t="s">
        <v>449</v>
      </c>
      <c r="C34" s="494"/>
      <c r="F34" s="575"/>
      <c r="G34" s="576"/>
    </row>
    <row r="35" spans="1:7">
      <c r="A35" s="493" t="s">
        <v>454</v>
      </c>
      <c r="B35" s="493" t="s">
        <v>455</v>
      </c>
      <c r="C35" s="494"/>
      <c r="F35" s="575"/>
      <c r="G35" s="576"/>
    </row>
    <row r="36" spans="1:7">
      <c r="A36" s="493" t="s">
        <v>458</v>
      </c>
      <c r="B36" s="493" t="s">
        <v>459</v>
      </c>
      <c r="C36" s="494"/>
      <c r="F36" s="575"/>
      <c r="G36" s="576"/>
    </row>
    <row r="37" spans="1:7">
      <c r="A37" s="493" t="s">
        <v>467</v>
      </c>
      <c r="B37" s="493" t="s">
        <v>468</v>
      </c>
      <c r="C37" s="494"/>
      <c r="F37" s="575"/>
      <c r="G37" s="576"/>
    </row>
    <row r="38" spans="1:7">
      <c r="A38" s="493" t="s">
        <v>469</v>
      </c>
      <c r="B38" s="493" t="s">
        <v>470</v>
      </c>
      <c r="C38" s="494"/>
      <c r="F38" s="575"/>
      <c r="G38" s="576"/>
    </row>
    <row r="39" spans="1:7">
      <c r="A39" s="493" t="s">
        <v>99</v>
      </c>
      <c r="B39" s="493" t="s">
        <v>473</v>
      </c>
      <c r="C39" s="494"/>
      <c r="F39" s="575"/>
      <c r="G39" s="576"/>
    </row>
    <row r="40" spans="1:7">
      <c r="A40" s="493" t="s">
        <v>475</v>
      </c>
      <c r="B40" s="493" t="s">
        <v>476</v>
      </c>
      <c r="C40" s="494"/>
      <c r="F40" s="575"/>
      <c r="G40" s="576"/>
    </row>
    <row r="41" spans="1:7">
      <c r="A41" s="493" t="s">
        <v>1808</v>
      </c>
      <c r="B41" s="493" t="s">
        <v>1809</v>
      </c>
      <c r="C41" s="494"/>
      <c r="F41" s="575"/>
      <c r="G41" s="576"/>
    </row>
    <row r="42" spans="1:7">
      <c r="A42" s="493" t="s">
        <v>481</v>
      </c>
      <c r="B42" s="493" t="s">
        <v>482</v>
      </c>
      <c r="C42" s="494"/>
      <c r="F42" s="575"/>
      <c r="G42" s="576"/>
    </row>
    <row r="43" spans="1:7">
      <c r="A43" s="493" t="s">
        <v>485</v>
      </c>
      <c r="B43" s="493" t="s">
        <v>486</v>
      </c>
      <c r="C43" s="494"/>
      <c r="F43" s="575"/>
      <c r="G43" s="576"/>
    </row>
    <row r="44" spans="1:7">
      <c r="A44" s="493" t="s">
        <v>487</v>
      </c>
      <c r="B44" s="493" t="s">
        <v>488</v>
      </c>
      <c r="C44" s="494"/>
      <c r="F44" s="575"/>
      <c r="G44" s="576"/>
    </row>
    <row r="45" spans="1:7">
      <c r="A45" s="493" t="s">
        <v>1810</v>
      </c>
      <c r="B45" s="493" t="s">
        <v>1811</v>
      </c>
      <c r="C45" s="494"/>
      <c r="F45" s="575"/>
      <c r="G45" s="576"/>
    </row>
    <row r="46" spans="1:7">
      <c r="A46" s="493" t="s">
        <v>57</v>
      </c>
      <c r="B46" s="493" t="s">
        <v>489</v>
      </c>
      <c r="C46" s="494"/>
      <c r="F46" s="575"/>
      <c r="G46" s="576"/>
    </row>
    <row r="47" spans="1:7">
      <c r="A47" s="493" t="s">
        <v>56</v>
      </c>
      <c r="B47" s="493" t="s">
        <v>490</v>
      </c>
      <c r="C47" s="494"/>
      <c r="F47" s="575"/>
      <c r="G47" s="576"/>
    </row>
    <row r="48" spans="1:7">
      <c r="A48" s="493" t="s">
        <v>491</v>
      </c>
      <c r="B48" s="493" t="s">
        <v>492</v>
      </c>
      <c r="C48" s="494"/>
      <c r="F48" s="575"/>
      <c r="G48" s="576"/>
    </row>
    <row r="49" spans="1:7">
      <c r="A49" s="493" t="s">
        <v>493</v>
      </c>
      <c r="B49" s="493" t="s">
        <v>494</v>
      </c>
      <c r="C49" s="494"/>
      <c r="F49" s="575"/>
      <c r="G49" s="576"/>
    </row>
    <row r="50" spans="1:7">
      <c r="A50" s="493" t="s">
        <v>497</v>
      </c>
      <c r="B50" s="493" t="s">
        <v>498</v>
      </c>
      <c r="C50" s="494"/>
      <c r="F50" s="575"/>
      <c r="G50" s="576"/>
    </row>
    <row r="51" spans="1:7">
      <c r="A51" s="493" t="s">
        <v>164</v>
      </c>
      <c r="B51" s="493" t="s">
        <v>499</v>
      </c>
      <c r="C51" s="494"/>
      <c r="F51" s="575"/>
      <c r="G51" s="576"/>
    </row>
    <row r="52" spans="1:7">
      <c r="A52" s="493" t="s">
        <v>500</v>
      </c>
      <c r="B52" s="493" t="s">
        <v>501</v>
      </c>
      <c r="C52" s="494"/>
      <c r="F52" s="575"/>
      <c r="G52" s="576"/>
    </row>
    <row r="53" spans="1:7">
      <c r="A53" s="493" t="s">
        <v>503</v>
      </c>
      <c r="B53" s="493" t="s">
        <v>504</v>
      </c>
      <c r="C53" s="494"/>
      <c r="F53" s="575"/>
      <c r="G53" s="576"/>
    </row>
    <row r="54" spans="1:7">
      <c r="A54" s="493" t="s">
        <v>505</v>
      </c>
      <c r="B54" s="493" t="s">
        <v>506</v>
      </c>
      <c r="C54" s="494"/>
      <c r="F54" s="575"/>
      <c r="G54" s="576"/>
    </row>
    <row r="55" spans="1:7">
      <c r="A55" s="493" t="s">
        <v>172</v>
      </c>
      <c r="B55" s="493" t="s">
        <v>1635</v>
      </c>
      <c r="C55" s="494"/>
      <c r="F55" s="575"/>
      <c r="G55" s="576"/>
    </row>
    <row r="56" spans="1:7">
      <c r="A56" s="493" t="s">
        <v>176</v>
      </c>
      <c r="B56" s="493" t="s">
        <v>1636</v>
      </c>
      <c r="C56" s="494"/>
      <c r="F56" s="575"/>
      <c r="G56" s="576"/>
    </row>
    <row r="57" spans="1:7">
      <c r="A57" s="493" t="s">
        <v>177</v>
      </c>
      <c r="B57" s="493" t="s">
        <v>1637</v>
      </c>
      <c r="C57" s="494"/>
      <c r="F57" s="575"/>
      <c r="G57" s="576"/>
    </row>
    <row r="58" spans="1:7">
      <c r="A58" s="493" t="s">
        <v>2485</v>
      </c>
      <c r="B58" s="493" t="s">
        <v>2492</v>
      </c>
      <c r="C58" s="494"/>
      <c r="F58" s="575"/>
      <c r="G58" s="576"/>
    </row>
    <row r="59" spans="1:7">
      <c r="A59" s="493" t="s">
        <v>2486</v>
      </c>
      <c r="B59" s="493" t="s">
        <v>2493</v>
      </c>
      <c r="C59" s="494"/>
      <c r="F59" s="575"/>
      <c r="G59" s="576"/>
    </row>
    <row r="60" spans="1:7">
      <c r="A60" s="493" t="s">
        <v>2487</v>
      </c>
      <c r="B60" s="493" t="s">
        <v>2494</v>
      </c>
      <c r="C60" s="494"/>
      <c r="F60" s="575"/>
      <c r="G60" s="576"/>
    </row>
    <row r="61" spans="1:7">
      <c r="A61" s="493" t="s">
        <v>2488</v>
      </c>
      <c r="B61" s="493" t="s">
        <v>2495</v>
      </c>
      <c r="C61" s="494"/>
      <c r="F61" s="575"/>
      <c r="G61" s="576"/>
    </row>
    <row r="62" spans="1:7">
      <c r="A62" s="493" t="s">
        <v>2489</v>
      </c>
      <c r="B62" s="493" t="s">
        <v>2496</v>
      </c>
      <c r="C62" s="494"/>
      <c r="F62" s="575"/>
      <c r="G62" s="576"/>
    </row>
    <row r="63" spans="1:7">
      <c r="A63" s="493" t="s">
        <v>2490</v>
      </c>
      <c r="B63" s="493" t="s">
        <v>2497</v>
      </c>
      <c r="C63" s="494"/>
      <c r="F63" s="575"/>
      <c r="G63" s="576"/>
    </row>
    <row r="64" spans="1:7">
      <c r="A64" s="493" t="s">
        <v>2491</v>
      </c>
      <c r="B64" s="493" t="s">
        <v>2498</v>
      </c>
      <c r="C64" s="494"/>
      <c r="F64" s="575"/>
      <c r="G64" s="576"/>
    </row>
    <row r="65" spans="1:7">
      <c r="A65" s="493" t="s">
        <v>525</v>
      </c>
      <c r="B65" s="493" t="s">
        <v>526</v>
      </c>
      <c r="C65" s="494"/>
      <c r="F65" s="575"/>
      <c r="G65" s="576"/>
    </row>
    <row r="66" spans="1:7">
      <c r="A66" s="493" t="s">
        <v>527</v>
      </c>
      <c r="B66" s="493" t="s">
        <v>528</v>
      </c>
      <c r="C66" s="494"/>
      <c r="F66" s="575"/>
      <c r="G66" s="576"/>
    </row>
    <row r="67" spans="1:7">
      <c r="A67" s="493" t="s">
        <v>2193</v>
      </c>
      <c r="B67" s="493" t="s">
        <v>2198</v>
      </c>
      <c r="C67" s="494"/>
      <c r="F67" s="575"/>
      <c r="G67" s="576"/>
    </row>
    <row r="68" spans="1:7">
      <c r="A68" s="493" t="s">
        <v>535</v>
      </c>
      <c r="B68" s="493" t="s">
        <v>536</v>
      </c>
      <c r="C68" s="494"/>
      <c r="F68" s="575"/>
      <c r="G68" s="576"/>
    </row>
    <row r="69" spans="1:7">
      <c r="A69" s="493" t="s">
        <v>44</v>
      </c>
      <c r="B69" s="493" t="s">
        <v>541</v>
      </c>
      <c r="C69" s="494"/>
      <c r="F69" s="575"/>
      <c r="G69" s="576"/>
    </row>
    <row r="70" spans="1:7">
      <c r="A70" s="493" t="s">
        <v>548</v>
      </c>
      <c r="B70" s="493" t="s">
        <v>549</v>
      </c>
      <c r="C70" s="494"/>
      <c r="F70" s="575"/>
      <c r="G70" s="576"/>
    </row>
    <row r="71" spans="1:7">
      <c r="A71" s="493" t="s">
        <v>550</v>
      </c>
      <c r="B71" s="493" t="s">
        <v>551</v>
      </c>
      <c r="C71" s="494"/>
      <c r="F71" s="575"/>
      <c r="G71" s="576"/>
    </row>
    <row r="72" spans="1:7">
      <c r="A72" s="493" t="s">
        <v>554</v>
      </c>
      <c r="B72" s="493" t="s">
        <v>555</v>
      </c>
      <c r="C72" s="494"/>
      <c r="F72" s="575"/>
      <c r="G72" s="576"/>
    </row>
    <row r="73" spans="1:7">
      <c r="A73" s="493" t="s">
        <v>556</v>
      </c>
      <c r="B73" s="493" t="s">
        <v>557</v>
      </c>
      <c r="C73" s="494"/>
      <c r="F73" s="575"/>
      <c r="G73" s="576"/>
    </row>
    <row r="74" spans="1:7">
      <c r="A74" s="493" t="s">
        <v>560</v>
      </c>
      <c r="B74" s="493" t="s">
        <v>561</v>
      </c>
      <c r="C74" s="494"/>
      <c r="F74" s="575"/>
      <c r="G74" s="576"/>
    </row>
    <row r="75" spans="1:7">
      <c r="A75" s="493" t="s">
        <v>96</v>
      </c>
      <c r="B75" s="493" t="s">
        <v>568</v>
      </c>
      <c r="C75" s="494"/>
      <c r="F75" s="575"/>
      <c r="G75" s="576"/>
    </row>
    <row r="76" spans="1:7">
      <c r="A76" s="493" t="s">
        <v>573</v>
      </c>
      <c r="B76" s="493" t="s">
        <v>574</v>
      </c>
      <c r="C76" s="494"/>
      <c r="F76" s="575"/>
      <c r="G76" s="576"/>
    </row>
    <row r="77" spans="1:7">
      <c r="A77" s="493" t="s">
        <v>167</v>
      </c>
      <c r="B77" s="493" t="s">
        <v>575</v>
      </c>
      <c r="C77" s="494"/>
      <c r="F77" s="575"/>
      <c r="G77" s="576"/>
    </row>
    <row r="78" spans="1:7">
      <c r="A78" s="493" t="s">
        <v>60</v>
      </c>
      <c r="B78" s="493" t="s">
        <v>576</v>
      </c>
      <c r="C78" s="494"/>
      <c r="F78" s="575"/>
      <c r="G78" s="576"/>
    </row>
    <row r="79" spans="1:7">
      <c r="A79" s="493" t="s">
        <v>1814</v>
      </c>
      <c r="B79" s="493" t="s">
        <v>1815</v>
      </c>
      <c r="C79" s="494"/>
      <c r="F79" s="575"/>
      <c r="G79" s="576"/>
    </row>
    <row r="80" spans="1:7">
      <c r="A80" s="493" t="s">
        <v>47</v>
      </c>
      <c r="B80" s="493" t="s">
        <v>577</v>
      </c>
      <c r="C80" s="494"/>
      <c r="F80" s="575"/>
      <c r="G80" s="576"/>
    </row>
    <row r="81" spans="1:7">
      <c r="A81" s="493" t="s">
        <v>578</v>
      </c>
      <c r="B81" s="493" t="s">
        <v>579</v>
      </c>
      <c r="C81" s="494"/>
      <c r="F81" s="575"/>
      <c r="G81" s="576"/>
    </row>
    <row r="82" spans="1:7">
      <c r="A82" s="493" t="s">
        <v>580</v>
      </c>
      <c r="B82" s="493" t="s">
        <v>581</v>
      </c>
      <c r="C82" s="494"/>
      <c r="F82" s="575"/>
      <c r="G82" s="576"/>
    </row>
    <row r="83" spans="1:7">
      <c r="A83" s="493" t="s">
        <v>2151</v>
      </c>
      <c r="B83" s="493" t="s">
        <v>582</v>
      </c>
      <c r="C83" s="494"/>
      <c r="F83" s="575"/>
      <c r="G83" s="576"/>
    </row>
    <row r="84" spans="1:7">
      <c r="A84" s="493" t="s">
        <v>168</v>
      </c>
      <c r="B84" s="493" t="s">
        <v>587</v>
      </c>
      <c r="C84" s="494"/>
      <c r="F84" s="575"/>
      <c r="G84" s="576"/>
    </row>
    <row r="85" spans="1:7">
      <c r="A85" s="493" t="s">
        <v>588</v>
      </c>
      <c r="B85" s="493" t="s">
        <v>589</v>
      </c>
      <c r="C85" s="494"/>
      <c r="F85" s="575"/>
      <c r="G85" s="576"/>
    </row>
    <row r="86" spans="1:7">
      <c r="A86" s="493" t="s">
        <v>592</v>
      </c>
      <c r="B86" s="493" t="s">
        <v>593</v>
      </c>
      <c r="C86" s="494"/>
      <c r="F86" s="575"/>
      <c r="G86" s="576"/>
    </row>
    <row r="87" spans="1:7">
      <c r="A87" s="493" t="s">
        <v>594</v>
      </c>
      <c r="B87" s="493" t="s">
        <v>595</v>
      </c>
      <c r="C87" s="494"/>
      <c r="F87" s="575"/>
      <c r="G87" s="576"/>
    </row>
    <row r="88" spans="1:7">
      <c r="A88" s="493" t="s">
        <v>616</v>
      </c>
      <c r="B88" s="493" t="s">
        <v>617</v>
      </c>
      <c r="C88" s="494"/>
      <c r="F88" s="575"/>
      <c r="G88" s="576"/>
    </row>
    <row r="89" spans="1:7">
      <c r="A89" s="493" t="s">
        <v>630</v>
      </c>
      <c r="B89" s="493" t="s">
        <v>631</v>
      </c>
      <c r="C89" s="494"/>
      <c r="F89" s="575"/>
      <c r="G89" s="576"/>
    </row>
    <row r="90" spans="1:7">
      <c r="A90" s="493" t="s">
        <v>81</v>
      </c>
      <c r="B90" s="493" t="s">
        <v>632</v>
      </c>
      <c r="C90" s="494"/>
      <c r="F90" s="575"/>
      <c r="G90" s="576"/>
    </row>
    <row r="91" spans="1:7">
      <c r="A91" s="493" t="s">
        <v>2065</v>
      </c>
      <c r="B91" s="493" t="s">
        <v>643</v>
      </c>
      <c r="C91" s="494"/>
      <c r="F91" s="575"/>
      <c r="G91" s="576"/>
    </row>
    <row r="92" spans="1:7">
      <c r="A92" s="493" t="s">
        <v>2152</v>
      </c>
      <c r="B92" s="493" t="s">
        <v>645</v>
      </c>
      <c r="C92" s="494"/>
      <c r="F92" s="575"/>
      <c r="G92" s="576"/>
    </row>
    <row r="93" spans="1:7">
      <c r="A93" s="493" t="s">
        <v>2156</v>
      </c>
      <c r="B93" s="493" t="s">
        <v>647</v>
      </c>
      <c r="C93" s="494"/>
      <c r="F93" s="575"/>
      <c r="G93" s="576"/>
    </row>
    <row r="94" spans="1:7">
      <c r="A94" s="493" t="s">
        <v>2153</v>
      </c>
      <c r="B94" s="493" t="s">
        <v>649</v>
      </c>
      <c r="C94" s="494"/>
      <c r="F94" s="575"/>
      <c r="G94" s="576"/>
    </row>
    <row r="95" spans="1:7">
      <c r="A95" s="493" t="s">
        <v>663</v>
      </c>
      <c r="B95" s="493" t="s">
        <v>664</v>
      </c>
      <c r="C95" s="494"/>
      <c r="F95" s="575"/>
      <c r="G95" s="576"/>
    </row>
    <row r="96" spans="1:7">
      <c r="A96" s="493" t="s">
        <v>667</v>
      </c>
      <c r="B96" s="493" t="s">
        <v>668</v>
      </c>
      <c r="C96" s="494"/>
      <c r="F96" s="575"/>
      <c r="G96" s="576"/>
    </row>
    <row r="97" spans="1:7">
      <c r="A97" s="493" t="s">
        <v>1817</v>
      </c>
      <c r="B97" s="493" t="s">
        <v>1818</v>
      </c>
      <c r="C97" s="494"/>
      <c r="F97" s="575"/>
      <c r="G97" s="576"/>
    </row>
    <row r="98" spans="1:7">
      <c r="A98" s="493" t="s">
        <v>669</v>
      </c>
      <c r="B98" s="493" t="s">
        <v>670</v>
      </c>
      <c r="C98" s="494"/>
      <c r="F98" s="575"/>
      <c r="G98" s="576"/>
    </row>
    <row r="99" spans="1:7">
      <c r="A99" s="493" t="s">
        <v>678</v>
      </c>
      <c r="B99" s="493" t="s">
        <v>679</v>
      </c>
      <c r="C99" s="494"/>
      <c r="F99" s="575"/>
      <c r="G99" s="576"/>
    </row>
    <row r="100" spans="1:7">
      <c r="A100" s="493" t="s">
        <v>107</v>
      </c>
      <c r="B100" s="493" t="s">
        <v>939</v>
      </c>
      <c r="C100" s="494"/>
      <c r="F100" s="575"/>
      <c r="G100" s="576"/>
    </row>
    <row r="101" spans="1:7">
      <c r="A101" s="493" t="s">
        <v>2108</v>
      </c>
      <c r="B101" s="493" t="s">
        <v>2109</v>
      </c>
      <c r="C101" s="494"/>
      <c r="F101" s="575"/>
      <c r="G101" s="576"/>
    </row>
    <row r="102" spans="1:7">
      <c r="A102" s="493" t="s">
        <v>695</v>
      </c>
      <c r="B102" s="493" t="s">
        <v>696</v>
      </c>
      <c r="C102" s="494"/>
      <c r="F102" s="575"/>
      <c r="G102" s="576"/>
    </row>
    <row r="103" spans="1:7">
      <c r="A103" s="493" t="s">
        <v>2157</v>
      </c>
      <c r="B103" s="493" t="s">
        <v>2163</v>
      </c>
      <c r="C103" s="494"/>
      <c r="F103" s="575"/>
      <c r="G103" s="576"/>
    </row>
    <row r="104" spans="1:7">
      <c r="A104" s="493" t="s">
        <v>697</v>
      </c>
      <c r="B104" s="493" t="s">
        <v>698</v>
      </c>
      <c r="C104" s="494"/>
      <c r="F104" s="575"/>
      <c r="G104" s="576"/>
    </row>
    <row r="105" spans="1:7">
      <c r="A105" s="493" t="s">
        <v>699</v>
      </c>
      <c r="B105" s="493" t="s">
        <v>700</v>
      </c>
      <c r="C105" s="494"/>
      <c r="F105" s="575"/>
      <c r="G105" s="576"/>
    </row>
    <row r="106" spans="1:7">
      <c r="A106" s="493" t="s">
        <v>701</v>
      </c>
      <c r="B106" s="493" t="s">
        <v>702</v>
      </c>
      <c r="C106" s="494"/>
      <c r="F106" s="575"/>
      <c r="G106" s="576"/>
    </row>
    <row r="107" spans="1:7">
      <c r="A107" s="493" t="s">
        <v>703</v>
      </c>
      <c r="B107" s="493" t="s">
        <v>704</v>
      </c>
      <c r="C107" s="494"/>
      <c r="F107" s="575"/>
      <c r="G107" s="576"/>
    </row>
    <row r="108" spans="1:7">
      <c r="A108" s="493" t="s">
        <v>710</v>
      </c>
      <c r="B108" s="493" t="s">
        <v>711</v>
      </c>
      <c r="C108" s="494"/>
      <c r="F108" s="575"/>
      <c r="G108" s="576"/>
    </row>
    <row r="109" spans="1:7">
      <c r="A109" s="493" t="s">
        <v>712</v>
      </c>
      <c r="B109" s="493" t="s">
        <v>713</v>
      </c>
      <c r="C109" s="494"/>
      <c r="F109" s="575"/>
      <c r="G109" s="576"/>
    </row>
    <row r="110" spans="1:7">
      <c r="A110" s="493" t="s">
        <v>714</v>
      </c>
      <c r="B110" s="493" t="s">
        <v>715</v>
      </c>
      <c r="C110" s="494"/>
      <c r="F110" s="575"/>
      <c r="G110" s="576"/>
    </row>
    <row r="111" spans="1:7">
      <c r="A111" s="493" t="s">
        <v>160</v>
      </c>
      <c r="B111" s="493" t="s">
        <v>718</v>
      </c>
      <c r="C111" s="494"/>
      <c r="F111" s="575"/>
      <c r="G111" s="576"/>
    </row>
    <row r="112" spans="1:7">
      <c r="A112" s="493" t="s">
        <v>166</v>
      </c>
      <c r="B112" s="493" t="s">
        <v>719</v>
      </c>
      <c r="C112" s="494"/>
      <c r="F112" s="575"/>
      <c r="G112" s="576"/>
    </row>
    <row r="113" spans="1:7">
      <c r="A113" s="493" t="s">
        <v>62</v>
      </c>
      <c r="B113" s="493" t="s">
        <v>724</v>
      </c>
      <c r="C113" s="494"/>
      <c r="F113" s="575"/>
      <c r="G113" s="576"/>
    </row>
    <row r="114" spans="1:7">
      <c r="A114" s="493" t="s">
        <v>155</v>
      </c>
      <c r="B114" s="493" t="s">
        <v>725</v>
      </c>
      <c r="C114" s="494"/>
      <c r="F114" s="575"/>
      <c r="G114" s="576"/>
    </row>
    <row r="115" spans="1:7">
      <c r="A115" s="493" t="s">
        <v>161</v>
      </c>
      <c r="B115" s="493" t="s">
        <v>726</v>
      </c>
      <c r="C115" s="494"/>
      <c r="F115" s="575"/>
      <c r="G115" s="576"/>
    </row>
    <row r="116" spans="1:7">
      <c r="A116" s="493" t="s">
        <v>156</v>
      </c>
      <c r="B116" s="493" t="s">
        <v>727</v>
      </c>
      <c r="C116" s="494"/>
      <c r="F116" s="575"/>
      <c r="G116" s="576"/>
    </row>
    <row r="117" spans="1:7">
      <c r="A117" s="493" t="s">
        <v>728</v>
      </c>
      <c r="B117" s="493" t="s">
        <v>729</v>
      </c>
      <c r="C117" s="494"/>
      <c r="F117" s="575"/>
      <c r="G117" s="576"/>
    </row>
    <row r="118" spans="1:7">
      <c r="A118" s="493" t="s">
        <v>730</v>
      </c>
      <c r="B118" s="493" t="s">
        <v>731</v>
      </c>
      <c r="C118" s="494"/>
      <c r="F118" s="575"/>
      <c r="G118" s="576"/>
    </row>
    <row r="119" spans="1:7">
      <c r="A119" s="493" t="s">
        <v>162</v>
      </c>
      <c r="B119" s="493" t="s">
        <v>737</v>
      </c>
      <c r="C119" s="494"/>
      <c r="F119" s="575"/>
      <c r="G119" s="576"/>
    </row>
    <row r="120" spans="1:7">
      <c r="A120" s="493" t="s">
        <v>738</v>
      </c>
      <c r="B120" s="493" t="s">
        <v>739</v>
      </c>
      <c r="C120" s="494"/>
      <c r="F120" s="575"/>
      <c r="G120" s="576"/>
    </row>
    <row r="121" spans="1:7">
      <c r="A121" s="493" t="s">
        <v>165</v>
      </c>
      <c r="B121" s="493" t="s">
        <v>742</v>
      </c>
      <c r="C121" s="494"/>
      <c r="F121" s="575"/>
      <c r="G121" s="576"/>
    </row>
    <row r="122" spans="1:7">
      <c r="A122" s="577" t="s">
        <v>745</v>
      </c>
      <c r="B122" s="493" t="s">
        <v>746</v>
      </c>
      <c r="C122" s="494"/>
      <c r="F122" s="575"/>
      <c r="G122" s="576"/>
    </row>
    <row r="123" spans="1:7">
      <c r="A123" s="240" t="s">
        <v>756</v>
      </c>
      <c r="B123" s="202" t="s">
        <v>757</v>
      </c>
      <c r="C123" s="494"/>
      <c r="F123" s="575"/>
      <c r="G123" s="576"/>
    </row>
    <row r="124" spans="1:7">
      <c r="A124" s="240" t="s">
        <v>764</v>
      </c>
      <c r="B124" s="202" t="s">
        <v>765</v>
      </c>
      <c r="C124" s="494"/>
      <c r="F124" s="575"/>
      <c r="G124" s="576"/>
    </row>
    <row r="125" spans="1:7">
      <c r="A125" s="240" t="s">
        <v>766</v>
      </c>
      <c r="B125" s="202" t="s">
        <v>767</v>
      </c>
      <c r="C125" s="494"/>
      <c r="F125" s="575"/>
      <c r="G125" s="576"/>
    </row>
    <row r="126" spans="1:7">
      <c r="A126" s="240" t="s">
        <v>768</v>
      </c>
      <c r="B126" s="202" t="s">
        <v>769</v>
      </c>
      <c r="C126" s="494"/>
      <c r="F126" s="575"/>
      <c r="G126" s="576"/>
    </row>
    <row r="127" spans="1:7">
      <c r="A127" s="240" t="s">
        <v>770</v>
      </c>
      <c r="B127" s="202" t="s">
        <v>771</v>
      </c>
      <c r="C127" s="494"/>
      <c r="F127" s="575"/>
      <c r="G127" s="576"/>
    </row>
    <row r="128" spans="1:7">
      <c r="A128" s="240" t="s">
        <v>786</v>
      </c>
      <c r="B128" s="202" t="s">
        <v>787</v>
      </c>
      <c r="C128" s="494"/>
      <c r="F128" s="575"/>
      <c r="G128" s="576"/>
    </row>
    <row r="129" spans="1:7">
      <c r="A129" s="240" t="s">
        <v>790</v>
      </c>
      <c r="B129" s="202" t="s">
        <v>791</v>
      </c>
      <c r="C129" s="494"/>
      <c r="F129" s="575"/>
      <c r="G129" s="576"/>
    </row>
    <row r="130" spans="1:7">
      <c r="A130" s="240" t="s">
        <v>792</v>
      </c>
      <c r="B130" s="202" t="s">
        <v>793</v>
      </c>
      <c r="C130" s="494"/>
      <c r="F130" s="575"/>
      <c r="G130" s="576"/>
    </row>
    <row r="131" spans="1:7">
      <c r="A131" s="240" t="s">
        <v>794</v>
      </c>
      <c r="B131" s="202" t="s">
        <v>795</v>
      </c>
      <c r="C131" s="494"/>
      <c r="F131" s="575"/>
      <c r="G131" s="576"/>
    </row>
    <row r="132" spans="1:7">
      <c r="A132" s="240" t="s">
        <v>2154</v>
      </c>
      <c r="B132" s="202" t="s">
        <v>802</v>
      </c>
      <c r="C132" s="494"/>
      <c r="F132" s="575"/>
      <c r="G132" s="576"/>
    </row>
    <row r="133" spans="1:7">
      <c r="A133" s="240" t="s">
        <v>803</v>
      </c>
      <c r="B133" s="202" t="s">
        <v>804</v>
      </c>
      <c r="C133" s="494"/>
      <c r="F133" s="575"/>
      <c r="G133" s="576"/>
    </row>
    <row r="134" spans="1:7">
      <c r="A134" s="240" t="s">
        <v>829</v>
      </c>
      <c r="B134" s="202" t="s">
        <v>830</v>
      </c>
      <c r="C134" s="494"/>
      <c r="F134" s="575"/>
      <c r="G134" s="576"/>
    </row>
    <row r="135" spans="1:7">
      <c r="A135" s="240" t="s">
        <v>853</v>
      </c>
      <c r="B135" s="202" t="s">
        <v>854</v>
      </c>
      <c r="C135" s="494"/>
      <c r="F135" s="575"/>
      <c r="G135" s="576"/>
    </row>
    <row r="136" spans="1:7">
      <c r="A136" s="240" t="s">
        <v>100</v>
      </c>
      <c r="B136" s="202" t="s">
        <v>861</v>
      </c>
      <c r="C136" s="494"/>
      <c r="F136" s="575"/>
      <c r="G136" s="576"/>
    </row>
    <row r="137" spans="1:7">
      <c r="A137" s="240" t="s">
        <v>866</v>
      </c>
      <c r="B137" s="202" t="s">
        <v>867</v>
      </c>
      <c r="C137" s="494"/>
      <c r="F137" s="575"/>
      <c r="G137" s="576"/>
    </row>
    <row r="138" spans="1:7">
      <c r="A138" s="240" t="s">
        <v>868</v>
      </c>
      <c r="B138" s="202" t="s">
        <v>869</v>
      </c>
      <c r="C138" s="494"/>
      <c r="F138" s="575"/>
      <c r="G138" s="576"/>
    </row>
    <row r="139" spans="1:7">
      <c r="A139" s="240" t="s">
        <v>859</v>
      </c>
      <c r="B139" s="202" t="s">
        <v>860</v>
      </c>
      <c r="C139" s="494"/>
      <c r="F139" s="575"/>
      <c r="G139" s="576"/>
    </row>
    <row r="140" spans="1:7">
      <c r="A140" s="240" t="s">
        <v>874</v>
      </c>
      <c r="B140" s="202" t="s">
        <v>875</v>
      </c>
      <c r="C140" s="494"/>
      <c r="F140" s="575"/>
      <c r="G140" s="576"/>
    </row>
    <row r="141" spans="1:7">
      <c r="A141" s="240" t="s">
        <v>876</v>
      </c>
      <c r="B141" s="202" t="s">
        <v>877</v>
      </c>
      <c r="C141" s="494"/>
      <c r="F141" s="575"/>
      <c r="G141" s="576"/>
    </row>
    <row r="142" spans="1:7">
      <c r="A142" s="240" t="s">
        <v>878</v>
      </c>
      <c r="B142" s="202" t="s">
        <v>879</v>
      </c>
      <c r="C142" s="494"/>
      <c r="F142" s="575"/>
      <c r="G142" s="576"/>
    </row>
    <row r="143" spans="1:7">
      <c r="A143" s="240" t="s">
        <v>880</v>
      </c>
      <c r="B143" s="202" t="s">
        <v>881</v>
      </c>
      <c r="C143" s="494"/>
      <c r="F143" s="575"/>
      <c r="G143" s="576"/>
    </row>
    <row r="144" spans="1:7">
      <c r="A144" s="240" t="s">
        <v>2110</v>
      </c>
      <c r="B144" s="202" t="s">
        <v>882</v>
      </c>
      <c r="C144" s="494"/>
      <c r="F144" s="575"/>
      <c r="G144" s="576"/>
    </row>
    <row r="145" spans="1:7">
      <c r="A145" s="240" t="s">
        <v>883</v>
      </c>
      <c r="B145" s="202" t="s">
        <v>884</v>
      </c>
      <c r="C145" s="494"/>
      <c r="F145" s="575"/>
      <c r="G145" s="576"/>
    </row>
    <row r="146" spans="1:7">
      <c r="A146" s="240" t="s">
        <v>885</v>
      </c>
      <c r="B146" s="202" t="s">
        <v>886</v>
      </c>
      <c r="C146" s="494"/>
      <c r="F146" s="575"/>
      <c r="G146" s="576"/>
    </row>
    <row r="147" spans="1:7">
      <c r="A147" s="240" t="s">
        <v>84</v>
      </c>
      <c r="B147" s="202" t="s">
        <v>889</v>
      </c>
      <c r="C147" s="494"/>
      <c r="F147" s="575"/>
      <c r="G147" s="576"/>
    </row>
    <row r="148" spans="1:7">
      <c r="A148" s="240" t="s">
        <v>892</v>
      </c>
      <c r="B148" s="202" t="s">
        <v>893</v>
      </c>
      <c r="C148" s="494"/>
      <c r="F148" s="575"/>
      <c r="G148" s="576"/>
    </row>
    <row r="149" spans="1:7">
      <c r="A149" s="240" t="s">
        <v>898</v>
      </c>
      <c r="B149" s="202" t="s">
        <v>899</v>
      </c>
      <c r="C149" s="494"/>
      <c r="F149" s="575"/>
      <c r="G149" s="576"/>
    </row>
    <row r="150" spans="1:7">
      <c r="A150" s="240" t="s">
        <v>902</v>
      </c>
      <c r="B150" s="202" t="s">
        <v>903</v>
      </c>
      <c r="C150" s="494"/>
      <c r="F150" s="575"/>
      <c r="G150" s="576"/>
    </row>
    <row r="151" spans="1:7">
      <c r="A151" s="240" t="s">
        <v>73</v>
      </c>
      <c r="B151" s="202" t="s">
        <v>1384</v>
      </c>
      <c r="C151" s="494"/>
      <c r="F151" s="575"/>
      <c r="G151" s="576"/>
    </row>
    <row r="152" spans="1:7">
      <c r="A152" s="240" t="s">
        <v>931</v>
      </c>
      <c r="B152" s="202" t="s">
        <v>932</v>
      </c>
      <c r="C152" s="494"/>
      <c r="F152" s="575"/>
      <c r="G152" s="576"/>
    </row>
    <row r="153" spans="1:7">
      <c r="A153" s="240" t="s">
        <v>933</v>
      </c>
      <c r="B153" s="202" t="s">
        <v>934</v>
      </c>
      <c r="C153" s="494"/>
      <c r="F153" s="575"/>
      <c r="G153" s="576"/>
    </row>
    <row r="154" spans="1:7">
      <c r="A154" s="240" t="s">
        <v>97</v>
      </c>
      <c r="B154" s="202" t="s">
        <v>941</v>
      </c>
      <c r="C154" s="494"/>
      <c r="F154" s="575"/>
      <c r="G154" s="576"/>
    </row>
    <row r="155" spans="1:7">
      <c r="A155" s="240" t="s">
        <v>944</v>
      </c>
      <c r="B155" s="202" t="s">
        <v>945</v>
      </c>
      <c r="C155" s="494"/>
      <c r="F155" s="575"/>
      <c r="G155" s="576"/>
    </row>
    <row r="156" spans="1:7">
      <c r="A156" s="240" t="s">
        <v>954</v>
      </c>
      <c r="B156" s="202" t="s">
        <v>955</v>
      </c>
      <c r="C156" s="494"/>
      <c r="F156" s="575"/>
      <c r="G156" s="576"/>
    </row>
    <row r="157" spans="1:7">
      <c r="A157" s="240" t="s">
        <v>2138</v>
      </c>
      <c r="B157" s="202" t="s">
        <v>2139</v>
      </c>
      <c r="C157" s="494"/>
      <c r="F157" s="575"/>
      <c r="G157" s="576"/>
    </row>
    <row r="158" spans="1:7">
      <c r="A158" s="240" t="s">
        <v>64</v>
      </c>
      <c r="B158" s="202" t="s">
        <v>963</v>
      </c>
      <c r="C158" s="494"/>
      <c r="F158" s="575"/>
      <c r="G158" s="576"/>
    </row>
    <row r="159" spans="1:7">
      <c r="A159" s="240" t="s">
        <v>964</v>
      </c>
      <c r="B159" s="202" t="s">
        <v>965</v>
      </c>
      <c r="C159" s="494"/>
      <c r="F159" s="575"/>
      <c r="G159" s="576"/>
    </row>
    <row r="160" spans="1:7">
      <c r="A160" s="240" t="s">
        <v>1739</v>
      </c>
      <c r="B160" s="202" t="s">
        <v>1329</v>
      </c>
      <c r="C160" s="494"/>
      <c r="F160" s="575"/>
      <c r="G160" s="576"/>
    </row>
    <row r="161" spans="1:7">
      <c r="A161" s="240" t="s">
        <v>966</v>
      </c>
      <c r="B161" s="202" t="s">
        <v>967</v>
      </c>
      <c r="C161" s="494"/>
      <c r="F161" s="575"/>
      <c r="G161" s="576"/>
    </row>
    <row r="162" spans="1:7">
      <c r="A162" s="240" t="s">
        <v>101</v>
      </c>
      <c r="B162" s="202" t="s">
        <v>970</v>
      </c>
      <c r="C162" s="494"/>
      <c r="F162" s="575"/>
      <c r="G162" s="576"/>
    </row>
    <row r="163" spans="1:7">
      <c r="A163" s="240" t="s">
        <v>1742</v>
      </c>
      <c r="B163" s="202" t="s">
        <v>1335</v>
      </c>
      <c r="C163" s="494"/>
      <c r="F163" s="575"/>
      <c r="G163" s="576"/>
    </row>
    <row r="164" spans="1:7">
      <c r="A164" s="240" t="s">
        <v>1741</v>
      </c>
      <c r="B164" s="202" t="s">
        <v>1333</v>
      </c>
      <c r="C164" s="494"/>
      <c r="F164" s="575"/>
      <c r="G164" s="576"/>
    </row>
    <row r="165" spans="1:7">
      <c r="A165" s="240" t="s">
        <v>1740</v>
      </c>
      <c r="B165" s="202" t="s">
        <v>1331</v>
      </c>
      <c r="C165" s="494"/>
      <c r="F165" s="575"/>
      <c r="G165" s="576"/>
    </row>
    <row r="166" spans="1:7">
      <c r="A166" s="240" t="s">
        <v>1743</v>
      </c>
      <c r="B166" s="202" t="s">
        <v>1337</v>
      </c>
      <c r="C166" s="494"/>
      <c r="F166" s="575"/>
      <c r="G166" s="576"/>
    </row>
    <row r="167" spans="1:7">
      <c r="A167" s="240" t="s">
        <v>971</v>
      </c>
      <c r="B167" s="202" t="s">
        <v>972</v>
      </c>
      <c r="C167" s="494"/>
      <c r="F167" s="575"/>
      <c r="G167" s="576"/>
    </row>
    <row r="168" spans="1:7">
      <c r="A168" s="240" t="s">
        <v>65</v>
      </c>
      <c r="B168" s="202" t="s">
        <v>981</v>
      </c>
      <c r="C168" s="494"/>
      <c r="F168" s="575"/>
      <c r="G168" s="576"/>
    </row>
    <row r="169" spans="1:7">
      <c r="A169" s="240" t="s">
        <v>48</v>
      </c>
      <c r="B169" s="202" t="s">
        <v>982</v>
      </c>
      <c r="C169" s="494"/>
      <c r="F169" s="575"/>
      <c r="G169" s="576"/>
    </row>
    <row r="170" spans="1:7">
      <c r="A170" s="240" t="s">
        <v>987</v>
      </c>
      <c r="B170" s="202" t="s">
        <v>988</v>
      </c>
      <c r="C170" s="494"/>
      <c r="F170" s="575"/>
      <c r="G170" s="576"/>
    </row>
    <row r="171" spans="1:7">
      <c r="A171" s="240" t="s">
        <v>989</v>
      </c>
      <c r="B171" s="202" t="s">
        <v>990</v>
      </c>
      <c r="C171" s="494"/>
      <c r="F171" s="575"/>
      <c r="G171" s="576"/>
    </row>
    <row r="172" spans="1:7">
      <c r="A172" s="240" t="s">
        <v>993</v>
      </c>
      <c r="B172" s="202" t="s">
        <v>994</v>
      </c>
      <c r="C172" s="494"/>
      <c r="F172" s="575"/>
      <c r="G172" s="576"/>
    </row>
    <row r="173" spans="1:7">
      <c r="A173" s="240" t="s">
        <v>997</v>
      </c>
      <c r="B173" s="202" t="s">
        <v>998</v>
      </c>
      <c r="C173" s="494"/>
      <c r="F173" s="575"/>
      <c r="G173" s="576"/>
    </row>
    <row r="174" spans="1:7">
      <c r="A174" s="240" t="s">
        <v>1001</v>
      </c>
      <c r="B174" s="202" t="s">
        <v>1002</v>
      </c>
      <c r="C174" s="494"/>
      <c r="F174" s="575"/>
      <c r="G174" s="576"/>
    </row>
    <row r="175" spans="1:7">
      <c r="A175" s="240" t="s">
        <v>2067</v>
      </c>
      <c r="B175" s="202" t="s">
        <v>651</v>
      </c>
      <c r="C175" s="494"/>
      <c r="F175" s="575"/>
      <c r="G175" s="576"/>
    </row>
    <row r="176" spans="1:7">
      <c r="A176" s="240" t="s">
        <v>1003</v>
      </c>
      <c r="B176" s="202" t="s">
        <v>1004</v>
      </c>
      <c r="C176" s="494"/>
      <c r="F176" s="575"/>
      <c r="G176" s="576"/>
    </row>
    <row r="177" spans="1:7">
      <c r="A177" s="240" t="s">
        <v>1005</v>
      </c>
      <c r="B177" s="202" t="s">
        <v>1006</v>
      </c>
      <c r="C177" s="494"/>
      <c r="F177" s="575"/>
      <c r="G177" s="576"/>
    </row>
    <row r="178" spans="1:7">
      <c r="A178" s="240" t="s">
        <v>1019</v>
      </c>
      <c r="B178" s="202" t="s">
        <v>1020</v>
      </c>
      <c r="C178" s="494"/>
      <c r="F178" s="575"/>
      <c r="G178" s="576"/>
    </row>
    <row r="179" spans="1:7">
      <c r="A179" s="240" t="s">
        <v>1023</v>
      </c>
      <c r="B179" s="202" t="s">
        <v>1024</v>
      </c>
      <c r="C179" s="494"/>
      <c r="F179" s="575"/>
      <c r="G179" s="576"/>
    </row>
    <row r="180" spans="1:7">
      <c r="A180" s="240" t="s">
        <v>1025</v>
      </c>
      <c r="B180" s="202" t="s">
        <v>1026</v>
      </c>
      <c r="C180" s="494"/>
      <c r="F180" s="575"/>
      <c r="G180" s="576"/>
    </row>
    <row r="181" spans="1:7">
      <c r="A181" s="240" t="s">
        <v>2194</v>
      </c>
      <c r="B181" s="202" t="s">
        <v>2199</v>
      </c>
      <c r="C181" s="494"/>
      <c r="F181" s="575"/>
      <c r="G181" s="576"/>
    </row>
    <row r="182" spans="1:7">
      <c r="A182" s="240" t="s">
        <v>113</v>
      </c>
      <c r="B182" s="202" t="s">
        <v>1077</v>
      </c>
      <c r="C182" s="494"/>
      <c r="F182" s="575"/>
      <c r="G182" s="576"/>
    </row>
    <row r="183" spans="1:7">
      <c r="A183" s="240" t="s">
        <v>1083</v>
      </c>
      <c r="B183" s="202" t="s">
        <v>1084</v>
      </c>
      <c r="C183" s="494"/>
      <c r="F183" s="575"/>
      <c r="G183" s="576"/>
    </row>
    <row r="184" spans="1:7">
      <c r="A184" s="240" t="s">
        <v>104</v>
      </c>
      <c r="B184" s="202" t="s">
        <v>1089</v>
      </c>
      <c r="C184" s="494"/>
      <c r="F184" s="575"/>
      <c r="G184" s="576"/>
    </row>
    <row r="185" spans="1:7">
      <c r="A185" s="240" t="s">
        <v>1092</v>
      </c>
      <c r="B185" s="202" t="s">
        <v>1093</v>
      </c>
      <c r="C185" s="494"/>
      <c r="F185" s="575"/>
      <c r="G185" s="576"/>
    </row>
    <row r="186" spans="1:7">
      <c r="A186" s="240" t="s">
        <v>1101</v>
      </c>
      <c r="B186" s="202" t="s">
        <v>1102</v>
      </c>
      <c r="C186" s="494"/>
      <c r="F186" s="575"/>
      <c r="G186" s="576"/>
    </row>
    <row r="187" spans="1:7">
      <c r="A187" s="240" t="s">
        <v>1103</v>
      </c>
      <c r="B187" s="202" t="s">
        <v>1104</v>
      </c>
      <c r="C187" s="494"/>
      <c r="F187" s="575"/>
      <c r="G187" s="576"/>
    </row>
    <row r="188" spans="1:7">
      <c r="A188" s="240" t="s">
        <v>1105</v>
      </c>
      <c r="B188" s="202" t="s">
        <v>1106</v>
      </c>
      <c r="C188" s="494"/>
      <c r="F188" s="575"/>
      <c r="G188" s="576"/>
    </row>
    <row r="189" spans="1:7">
      <c r="A189" s="240" t="s">
        <v>1107</v>
      </c>
      <c r="B189" s="202" t="s">
        <v>1108</v>
      </c>
      <c r="C189" s="494"/>
      <c r="F189" s="575"/>
      <c r="G189" s="576"/>
    </row>
    <row r="190" spans="1:7">
      <c r="A190" s="240" t="s">
        <v>1109</v>
      </c>
      <c r="B190" s="202" t="s">
        <v>1110</v>
      </c>
      <c r="C190" s="494"/>
      <c r="F190" s="575"/>
      <c r="G190" s="576"/>
    </row>
    <row r="191" spans="1:7">
      <c r="A191" s="240" t="s">
        <v>1825</v>
      </c>
      <c r="B191" s="202" t="s">
        <v>1826</v>
      </c>
      <c r="C191" s="494"/>
      <c r="F191" s="575"/>
      <c r="G191" s="576"/>
    </row>
    <row r="192" spans="1:7">
      <c r="A192" s="240" t="s">
        <v>1111</v>
      </c>
      <c r="B192" s="202" t="s">
        <v>1112</v>
      </c>
      <c r="C192" s="494"/>
      <c r="F192" s="575"/>
      <c r="G192" s="576"/>
    </row>
    <row r="193" spans="1:7">
      <c r="A193" s="240" t="s">
        <v>1113</v>
      </c>
      <c r="B193" s="202" t="s">
        <v>1114</v>
      </c>
      <c r="C193" s="494"/>
      <c r="F193" s="575"/>
      <c r="G193" s="576"/>
    </row>
    <row r="194" spans="1:7">
      <c r="A194" s="240" t="s">
        <v>1115</v>
      </c>
      <c r="B194" s="202" t="s">
        <v>1116</v>
      </c>
      <c r="C194" s="494"/>
      <c r="F194" s="575"/>
      <c r="G194" s="576"/>
    </row>
    <row r="195" spans="1:7">
      <c r="A195" s="240" t="s">
        <v>1121</v>
      </c>
      <c r="B195" s="202" t="s">
        <v>1122</v>
      </c>
      <c r="C195" s="494"/>
      <c r="F195" s="575"/>
      <c r="G195" s="576"/>
    </row>
    <row r="196" spans="1:7">
      <c r="A196" s="240" t="s">
        <v>1125</v>
      </c>
      <c r="B196" s="202" t="s">
        <v>1126</v>
      </c>
      <c r="C196" s="494"/>
      <c r="F196" s="575"/>
      <c r="G196" s="576"/>
    </row>
    <row r="197" spans="1:7">
      <c r="A197" s="240" t="s">
        <v>1137</v>
      </c>
      <c r="B197" s="202" t="s">
        <v>1138</v>
      </c>
      <c r="C197" s="494"/>
      <c r="F197" s="575"/>
      <c r="G197" s="576"/>
    </row>
    <row r="198" spans="1:7">
      <c r="A198" s="240" t="s">
        <v>2155</v>
      </c>
      <c r="B198" s="202" t="s">
        <v>1388</v>
      </c>
      <c r="C198" s="494"/>
      <c r="F198" s="575"/>
      <c r="G198" s="576"/>
    </row>
    <row r="199" spans="1:7">
      <c r="A199" s="240" t="s">
        <v>169</v>
      </c>
      <c r="B199" s="202" t="s">
        <v>1390</v>
      </c>
      <c r="C199" s="494"/>
      <c r="F199" s="575"/>
      <c r="G199" s="576"/>
    </row>
    <row r="200" spans="1:7">
      <c r="A200" s="240" t="s">
        <v>1147</v>
      </c>
      <c r="B200" s="202" t="s">
        <v>1148</v>
      </c>
      <c r="C200" s="494"/>
      <c r="F200" s="575"/>
      <c r="G200" s="576"/>
    </row>
    <row r="201" spans="1:7">
      <c r="A201" s="240" t="s">
        <v>1153</v>
      </c>
      <c r="B201" s="202" t="s">
        <v>1154</v>
      </c>
      <c r="C201" s="494"/>
      <c r="F201" s="575"/>
      <c r="G201" s="576"/>
    </row>
    <row r="202" spans="1:7">
      <c r="A202" s="240" t="s">
        <v>1155</v>
      </c>
      <c r="B202" s="202" t="s">
        <v>1156</v>
      </c>
      <c r="C202" s="494"/>
      <c r="F202" s="575"/>
      <c r="G202" s="576"/>
    </row>
    <row r="203" spans="1:7">
      <c r="A203" s="240" t="s">
        <v>1167</v>
      </c>
      <c r="B203" s="202" t="s">
        <v>1168</v>
      </c>
      <c r="C203" s="494"/>
      <c r="F203" s="575"/>
      <c r="G203" s="576"/>
    </row>
    <row r="204" spans="1:7">
      <c r="A204" s="240" t="s">
        <v>1169</v>
      </c>
      <c r="B204" s="202" t="s">
        <v>2165</v>
      </c>
      <c r="C204" s="494"/>
      <c r="F204" s="575"/>
      <c r="G204" s="576"/>
    </row>
    <row r="205" spans="1:7">
      <c r="A205" s="240" t="s">
        <v>74</v>
      </c>
      <c r="B205" s="202" t="s">
        <v>1392</v>
      </c>
      <c r="C205" s="494"/>
      <c r="F205" s="575"/>
      <c r="G205" s="576"/>
    </row>
    <row r="206" spans="1:7">
      <c r="A206" s="240" t="s">
        <v>1174</v>
      </c>
      <c r="B206" s="202" t="s">
        <v>1175</v>
      </c>
      <c r="C206" s="494"/>
      <c r="F206" s="575"/>
      <c r="G206" s="576"/>
    </row>
    <row r="207" spans="1:7">
      <c r="A207" s="240" t="s">
        <v>83</v>
      </c>
      <c r="B207" s="202" t="s">
        <v>1191</v>
      </c>
      <c r="C207" s="494"/>
      <c r="F207" s="575"/>
      <c r="G207" s="576"/>
    </row>
    <row r="208" spans="1:7">
      <c r="A208" s="240" t="s">
        <v>1202</v>
      </c>
      <c r="B208" s="202" t="s">
        <v>1203</v>
      </c>
      <c r="C208" s="494"/>
      <c r="F208" s="575"/>
      <c r="G208" s="576"/>
    </row>
    <row r="209" spans="1:7">
      <c r="A209" s="240" t="s">
        <v>170</v>
      </c>
      <c r="B209" s="202" t="s">
        <v>1204</v>
      </c>
      <c r="C209" s="494"/>
      <c r="F209" s="575"/>
      <c r="G209" s="576"/>
    </row>
    <row r="210" spans="1:7">
      <c r="A210" s="240" t="s">
        <v>1217</v>
      </c>
      <c r="B210" s="202" t="s">
        <v>1218</v>
      </c>
      <c r="C210" s="494"/>
      <c r="F210" s="575"/>
      <c r="G210" s="576"/>
    </row>
    <row r="211" spans="1:7">
      <c r="A211" s="240" t="s">
        <v>1209</v>
      </c>
      <c r="B211" s="202" t="s">
        <v>1210</v>
      </c>
      <c r="C211" s="494"/>
      <c r="F211" s="575"/>
      <c r="G211" s="576"/>
    </row>
    <row r="212" spans="1:7">
      <c r="A212" s="240" t="s">
        <v>1221</v>
      </c>
      <c r="B212" s="202" t="s">
        <v>1222</v>
      </c>
      <c r="C212" s="494"/>
      <c r="F212" s="575"/>
      <c r="G212" s="576"/>
    </row>
    <row r="213" spans="1:7">
      <c r="A213" s="240" t="s">
        <v>174</v>
      </c>
      <c r="B213" s="202" t="s">
        <v>1231</v>
      </c>
      <c r="C213" s="494"/>
      <c r="F213" s="575"/>
      <c r="G213" s="576"/>
    </row>
    <row r="214" spans="1:7">
      <c r="A214" s="240" t="s">
        <v>1234</v>
      </c>
      <c r="B214" s="202" t="s">
        <v>1235</v>
      </c>
      <c r="C214" s="494"/>
      <c r="F214" s="575"/>
      <c r="G214" s="576"/>
    </row>
    <row r="215" spans="1:7">
      <c r="A215" s="240" t="s">
        <v>1256</v>
      </c>
      <c r="B215" s="202" t="s">
        <v>1257</v>
      </c>
      <c r="C215" s="494"/>
      <c r="F215" s="575"/>
      <c r="G215" s="576"/>
    </row>
    <row r="216" spans="1:7">
      <c r="A216" s="240" t="s">
        <v>1260</v>
      </c>
      <c r="B216" s="202" t="s">
        <v>1261</v>
      </c>
      <c r="C216" s="494"/>
      <c r="F216" s="575"/>
      <c r="G216" s="576"/>
    </row>
    <row r="217" spans="1:7">
      <c r="A217" s="240" t="s">
        <v>1264</v>
      </c>
      <c r="B217" s="202" t="s">
        <v>1265</v>
      </c>
      <c r="C217" s="494"/>
      <c r="F217" s="575"/>
      <c r="G217" s="576"/>
    </row>
    <row r="218" spans="1:7">
      <c r="A218" s="240" t="s">
        <v>1746</v>
      </c>
      <c r="B218" s="202" t="s">
        <v>1343</v>
      </c>
      <c r="C218" s="494"/>
      <c r="F218" s="575"/>
      <c r="G218" s="576"/>
    </row>
    <row r="219" spans="1:7">
      <c r="A219" s="240" t="s">
        <v>1747</v>
      </c>
      <c r="B219" s="202" t="s">
        <v>1345</v>
      </c>
      <c r="C219" s="494"/>
      <c r="F219" s="575"/>
      <c r="G219" s="576"/>
    </row>
    <row r="220" spans="1:7">
      <c r="A220" s="240" t="s">
        <v>1745</v>
      </c>
      <c r="B220" s="202" t="s">
        <v>1341</v>
      </c>
      <c r="C220" s="494"/>
      <c r="F220" s="575"/>
      <c r="G220" s="576"/>
    </row>
    <row r="221" spans="1:7">
      <c r="A221" s="240" t="s">
        <v>1744</v>
      </c>
      <c r="B221" s="202" t="s">
        <v>1339</v>
      </c>
      <c r="C221" s="494"/>
      <c r="F221" s="575"/>
      <c r="G221" s="576"/>
    </row>
    <row r="222" spans="1:7">
      <c r="A222" s="240" t="s">
        <v>1748</v>
      </c>
      <c r="B222" s="202" t="s">
        <v>1347</v>
      </c>
      <c r="C222" s="494"/>
      <c r="F222" s="575"/>
      <c r="G222" s="576"/>
    </row>
    <row r="223" spans="1:7">
      <c r="A223" s="240" t="s">
        <v>1266</v>
      </c>
      <c r="B223" s="202" t="s">
        <v>1267</v>
      </c>
      <c r="C223" s="494"/>
      <c r="F223" s="575"/>
      <c r="G223" s="576"/>
    </row>
    <row r="224" spans="1:7">
      <c r="A224" s="240" t="s">
        <v>1268</v>
      </c>
      <c r="B224" s="202" t="s">
        <v>1269</v>
      </c>
      <c r="C224" s="494"/>
      <c r="F224" s="575"/>
      <c r="G224" s="576"/>
    </row>
    <row r="225" spans="1:7">
      <c r="A225" s="240" t="s">
        <v>1272</v>
      </c>
      <c r="B225" s="202" t="s">
        <v>1273</v>
      </c>
      <c r="C225" s="494"/>
      <c r="F225" s="575"/>
      <c r="G225" s="576"/>
    </row>
    <row r="226" spans="1:7">
      <c r="A226" s="240" t="s">
        <v>1293</v>
      </c>
      <c r="B226" s="202" t="s">
        <v>1294</v>
      </c>
      <c r="C226" s="494"/>
      <c r="F226" s="575"/>
      <c r="G226" s="576"/>
    </row>
    <row r="227" spans="1:7">
      <c r="A227" s="240" t="s">
        <v>1297</v>
      </c>
      <c r="B227" s="202" t="s">
        <v>1298</v>
      </c>
      <c r="C227" s="494"/>
      <c r="F227" s="575"/>
      <c r="G227" s="576"/>
    </row>
    <row r="228" spans="1:7">
      <c r="A228" s="240" t="s">
        <v>1301</v>
      </c>
      <c r="B228" s="202" t="s">
        <v>1302</v>
      </c>
      <c r="C228" s="494"/>
      <c r="F228" s="575"/>
      <c r="G228" s="576"/>
    </row>
    <row r="229" spans="1:7">
      <c r="A229" s="240" t="s">
        <v>1400</v>
      </c>
      <c r="B229" s="202" t="s">
        <v>1401</v>
      </c>
      <c r="C229" s="494"/>
      <c r="F229" s="575"/>
      <c r="G229" s="576"/>
    </row>
    <row r="230" spans="1:7">
      <c r="A230" s="240" t="s">
        <v>1412</v>
      </c>
      <c r="B230" s="202" t="s">
        <v>1413</v>
      </c>
      <c r="C230" s="494"/>
      <c r="F230" s="575"/>
      <c r="G230" s="576"/>
    </row>
    <row r="231" spans="1:7">
      <c r="A231" s="240" t="s">
        <v>1420</v>
      </c>
      <c r="B231" s="202" t="s">
        <v>1421</v>
      </c>
      <c r="C231" s="494"/>
      <c r="F231" s="575"/>
      <c r="G231" s="576"/>
    </row>
    <row r="232" spans="1:7">
      <c r="A232" s="240" t="s">
        <v>1422</v>
      </c>
      <c r="B232" s="202" t="s">
        <v>1423</v>
      </c>
      <c r="C232" s="494"/>
      <c r="F232" s="575"/>
      <c r="G232" s="576"/>
    </row>
    <row r="233" spans="1:7">
      <c r="A233" s="240" t="s">
        <v>1424</v>
      </c>
      <c r="B233" s="202" t="s">
        <v>1425</v>
      </c>
      <c r="C233" s="494"/>
      <c r="F233" s="575"/>
      <c r="G233" s="576"/>
    </row>
    <row r="234" spans="1:7">
      <c r="A234" s="240" t="s">
        <v>1430</v>
      </c>
      <c r="B234" s="202" t="s">
        <v>1431</v>
      </c>
      <c r="C234" s="494"/>
      <c r="F234" s="575"/>
      <c r="G234" s="576"/>
    </row>
    <row r="235" spans="1:7">
      <c r="A235" s="240" t="s">
        <v>1432</v>
      </c>
      <c r="B235" s="202" t="s">
        <v>1433</v>
      </c>
      <c r="C235" s="494"/>
      <c r="F235" s="575"/>
      <c r="G235" s="576"/>
    </row>
    <row r="236" spans="1:7">
      <c r="A236" s="240" t="s">
        <v>106</v>
      </c>
      <c r="B236" s="202" t="s">
        <v>1396</v>
      </c>
      <c r="C236" s="494"/>
      <c r="F236" s="575"/>
      <c r="G236" s="576"/>
    </row>
    <row r="237" spans="1:7">
      <c r="A237" s="240" t="s">
        <v>1436</v>
      </c>
      <c r="B237" s="202" t="s">
        <v>1437</v>
      </c>
      <c r="C237" s="494"/>
      <c r="F237" s="575"/>
      <c r="G237" s="576"/>
    </row>
    <row r="238" spans="1:7">
      <c r="A238" s="240" t="s">
        <v>1445</v>
      </c>
      <c r="B238" s="202" t="s">
        <v>1446</v>
      </c>
      <c r="C238" s="494"/>
      <c r="F238" s="575"/>
      <c r="G238" s="576"/>
    </row>
    <row r="239" spans="1:7">
      <c r="A239" s="240" t="s">
        <v>85</v>
      </c>
      <c r="B239" s="202" t="s">
        <v>1485</v>
      </c>
      <c r="C239" s="494"/>
      <c r="F239" s="575"/>
      <c r="G239" s="576"/>
    </row>
    <row r="240" spans="1:7">
      <c r="A240" s="240" t="s">
        <v>2162</v>
      </c>
      <c r="B240" s="202" t="s">
        <v>2166</v>
      </c>
      <c r="C240" s="494"/>
      <c r="F240" s="575"/>
      <c r="G240" s="576"/>
    </row>
    <row r="241" spans="1:7">
      <c r="A241" s="240" t="s">
        <v>2149</v>
      </c>
      <c r="B241" s="202" t="s">
        <v>834</v>
      </c>
      <c r="C241" s="494"/>
      <c r="F241" s="575"/>
      <c r="G241" s="576"/>
    </row>
    <row r="242" spans="1:7">
      <c r="A242" s="240" t="s">
        <v>1499</v>
      </c>
      <c r="B242" s="202" t="s">
        <v>1500</v>
      </c>
      <c r="C242" s="494"/>
      <c r="F242" s="575"/>
      <c r="G242" s="576"/>
    </row>
    <row r="243" spans="1:7">
      <c r="A243" s="240" t="s">
        <v>1505</v>
      </c>
      <c r="B243" s="202" t="s">
        <v>1506</v>
      </c>
      <c r="C243" s="494"/>
      <c r="F243" s="575"/>
      <c r="G243" s="576"/>
    </row>
    <row r="244" spans="1:7">
      <c r="A244" s="240" t="s">
        <v>1749</v>
      </c>
      <c r="B244" s="202" t="s">
        <v>1355</v>
      </c>
      <c r="C244" s="494"/>
      <c r="F244" s="575"/>
      <c r="G244" s="576"/>
    </row>
    <row r="245" spans="1:7">
      <c r="A245" s="240" t="s">
        <v>150</v>
      </c>
      <c r="B245" s="202" t="s">
        <v>1507</v>
      </c>
      <c r="C245" s="494"/>
      <c r="F245" s="575"/>
      <c r="G245" s="576"/>
    </row>
    <row r="246" spans="1:7">
      <c r="A246" s="240" t="s">
        <v>152</v>
      </c>
      <c r="B246" s="202" t="s">
        <v>1508</v>
      </c>
      <c r="C246" s="494"/>
      <c r="F246" s="575"/>
      <c r="G246" s="576"/>
    </row>
    <row r="247" spans="1:7">
      <c r="A247" s="240" t="s">
        <v>105</v>
      </c>
      <c r="B247" s="202" t="s">
        <v>1509</v>
      </c>
      <c r="C247" s="494"/>
      <c r="F247" s="575"/>
      <c r="G247" s="576"/>
    </row>
    <row r="248" spans="1:7">
      <c r="A248" s="240" t="s">
        <v>1512</v>
      </c>
      <c r="B248" s="202" t="s">
        <v>1513</v>
      </c>
      <c r="C248" s="494"/>
      <c r="F248" s="575"/>
      <c r="G248" s="576"/>
    </row>
    <row r="249" spans="1:7">
      <c r="A249" s="240" t="s">
        <v>2158</v>
      </c>
      <c r="B249" s="202" t="s">
        <v>1043</v>
      </c>
      <c r="C249" s="494"/>
      <c r="F249" s="575"/>
      <c r="G249" s="576"/>
    </row>
    <row r="250" spans="1:7">
      <c r="A250" s="240" t="s">
        <v>1516</v>
      </c>
      <c r="B250" s="202" t="s">
        <v>1517</v>
      </c>
      <c r="C250" s="494"/>
      <c r="F250" s="575"/>
      <c r="G250" s="576"/>
    </row>
    <row r="251" spans="1:7">
      <c r="A251" s="240" t="s">
        <v>2066</v>
      </c>
      <c r="B251" s="202" t="s">
        <v>1820</v>
      </c>
      <c r="C251" s="494"/>
      <c r="F251" s="575"/>
      <c r="G251" s="576"/>
    </row>
    <row r="252" spans="1:7">
      <c r="A252" s="240" t="s">
        <v>1912</v>
      </c>
      <c r="B252" s="202" t="s">
        <v>1913</v>
      </c>
      <c r="C252" s="494"/>
      <c r="F252" s="575"/>
      <c r="G252" s="576"/>
    </row>
    <row r="253" spans="1:7">
      <c r="A253" s="240" t="s">
        <v>1914</v>
      </c>
      <c r="B253" s="202" t="s">
        <v>1915</v>
      </c>
      <c r="C253" s="494"/>
      <c r="F253" s="575"/>
      <c r="G253" s="576"/>
    </row>
    <row r="254" spans="1:7">
      <c r="A254" s="240" t="s">
        <v>2161</v>
      </c>
      <c r="B254" s="202" t="s">
        <v>660</v>
      </c>
      <c r="C254" s="494"/>
      <c r="F254" s="575"/>
      <c r="G254" s="576"/>
    </row>
    <row r="255" spans="1:7">
      <c r="A255" s="240" t="s">
        <v>1534</v>
      </c>
      <c r="B255" s="202" t="s">
        <v>1535</v>
      </c>
      <c r="C255" s="494"/>
      <c r="F255" s="575"/>
      <c r="G255" s="576"/>
    </row>
    <row r="256" spans="1:7">
      <c r="A256" s="240" t="s">
        <v>95</v>
      </c>
      <c r="B256" s="202" t="s">
        <v>1536</v>
      </c>
      <c r="C256" s="494"/>
      <c r="F256" s="575"/>
      <c r="G256" s="576"/>
    </row>
    <row r="257" spans="1:7">
      <c r="A257" s="240" t="s">
        <v>1545</v>
      </c>
      <c r="B257" s="202" t="s">
        <v>1546</v>
      </c>
      <c r="C257" s="494"/>
      <c r="F257" s="575"/>
      <c r="G257" s="576"/>
    </row>
    <row r="258" spans="1:7">
      <c r="A258" s="240" t="s">
        <v>1549</v>
      </c>
      <c r="B258" s="202" t="s">
        <v>1550</v>
      </c>
      <c r="C258" s="494"/>
      <c r="F258" s="575"/>
      <c r="G258" s="576"/>
    </row>
    <row r="259" spans="1:7">
      <c r="A259" s="240" t="s">
        <v>153</v>
      </c>
      <c r="B259" s="202" t="s">
        <v>1556</v>
      </c>
      <c r="C259" s="494"/>
      <c r="F259" s="575"/>
      <c r="G259" s="576"/>
    </row>
    <row r="260" spans="1:7">
      <c r="A260" s="240" t="s">
        <v>1563</v>
      </c>
      <c r="B260" s="202" t="s">
        <v>1564</v>
      </c>
      <c r="C260" s="494"/>
      <c r="F260" s="575"/>
      <c r="G260" s="576"/>
    </row>
    <row r="261" spans="1:7">
      <c r="A261" s="240" t="s">
        <v>158</v>
      </c>
      <c r="B261" s="202" t="s">
        <v>1565</v>
      </c>
      <c r="C261" s="494"/>
      <c r="F261" s="575"/>
      <c r="G261" s="576"/>
    </row>
    <row r="262" spans="1:7">
      <c r="A262" s="240" t="s">
        <v>151</v>
      </c>
      <c r="B262" s="202" t="s">
        <v>1566</v>
      </c>
      <c r="C262" s="494"/>
      <c r="F262" s="575"/>
      <c r="G262" s="576"/>
    </row>
    <row r="263" spans="1:7">
      <c r="A263" s="240" t="s">
        <v>154</v>
      </c>
      <c r="B263" s="202" t="s">
        <v>1567</v>
      </c>
      <c r="C263" s="494"/>
      <c r="F263" s="575"/>
      <c r="G263" s="576"/>
    </row>
    <row r="264" spans="1:7">
      <c r="A264" s="240" t="s">
        <v>68</v>
      </c>
      <c r="B264" s="202" t="s">
        <v>1568</v>
      </c>
      <c r="C264" s="494"/>
      <c r="F264" s="575"/>
      <c r="G264" s="576"/>
    </row>
    <row r="265" spans="1:7">
      <c r="A265" s="240" t="s">
        <v>61</v>
      </c>
      <c r="B265" s="202" t="s">
        <v>1569</v>
      </c>
      <c r="C265" s="494"/>
      <c r="F265" s="575"/>
      <c r="G265" s="576"/>
    </row>
    <row r="266" spans="1:7">
      <c r="A266" s="240" t="s">
        <v>1578</v>
      </c>
      <c r="B266" s="202" t="s">
        <v>1579</v>
      </c>
      <c r="C266" s="494"/>
      <c r="F266" s="575"/>
      <c r="G266" s="576"/>
    </row>
    <row r="267" spans="1:7">
      <c r="A267" s="240" t="s">
        <v>157</v>
      </c>
      <c r="B267" s="202" t="s">
        <v>1580</v>
      </c>
      <c r="C267" s="494"/>
      <c r="F267" s="575"/>
      <c r="G267" s="576"/>
    </row>
    <row r="268" spans="1:7">
      <c r="A268" s="240" t="s">
        <v>1581</v>
      </c>
      <c r="B268" s="202" t="s">
        <v>1582</v>
      </c>
      <c r="C268" s="494"/>
      <c r="F268" s="575"/>
      <c r="G268" s="576"/>
    </row>
    <row r="269" spans="1:7">
      <c r="A269" s="240" t="s">
        <v>1585</v>
      </c>
      <c r="B269" s="202" t="s">
        <v>1586</v>
      </c>
      <c r="C269" s="494"/>
      <c r="F269" s="575"/>
      <c r="G269" s="576"/>
    </row>
    <row r="270" spans="1:7">
      <c r="A270" s="240" t="s">
        <v>2195</v>
      </c>
      <c r="B270" s="202" t="s">
        <v>2200</v>
      </c>
      <c r="C270" s="494"/>
      <c r="F270" s="575"/>
      <c r="G270" s="576"/>
    </row>
    <row r="271" spans="1:7">
      <c r="A271" s="240" t="s">
        <v>1587</v>
      </c>
      <c r="B271" s="202" t="s">
        <v>1588</v>
      </c>
      <c r="C271" s="494"/>
      <c r="F271" s="575"/>
      <c r="G271" s="576"/>
    </row>
    <row r="272" spans="1:7">
      <c r="A272" s="240" t="s">
        <v>1924</v>
      </c>
      <c r="B272" s="202" t="s">
        <v>1925</v>
      </c>
      <c r="C272" s="494"/>
      <c r="F272" s="575"/>
      <c r="G272" s="576"/>
    </row>
    <row r="273" spans="1:7">
      <c r="A273" s="240" t="s">
        <v>159</v>
      </c>
      <c r="B273" s="202" t="s">
        <v>1591</v>
      </c>
      <c r="C273" s="494"/>
      <c r="F273" s="575"/>
      <c r="G273" s="576"/>
    </row>
    <row r="274" spans="1:7">
      <c r="A274" s="240" t="s">
        <v>163</v>
      </c>
      <c r="B274" s="202" t="s">
        <v>1592</v>
      </c>
      <c r="C274" s="494"/>
      <c r="F274" s="575"/>
      <c r="G274" s="576"/>
    </row>
    <row r="275" spans="1:7">
      <c r="A275" s="240" t="s">
        <v>2196</v>
      </c>
      <c r="B275" s="202" t="s">
        <v>2201</v>
      </c>
      <c r="C275" s="494"/>
      <c r="F275" s="575"/>
      <c r="G275" s="576"/>
    </row>
    <row r="276" spans="1:7">
      <c r="A276" s="240" t="s">
        <v>1543</v>
      </c>
      <c r="B276" s="202" t="s">
        <v>1544</v>
      </c>
      <c r="C276" s="494"/>
      <c r="F276" s="575"/>
      <c r="G276" s="576"/>
    </row>
    <row r="277" spans="1:7">
      <c r="A277" s="240" t="s">
        <v>2197</v>
      </c>
      <c r="B277" s="202" t="s">
        <v>2202</v>
      </c>
      <c r="C277" s="494"/>
      <c r="F277" s="575"/>
      <c r="G277" s="576"/>
    </row>
    <row r="278" spans="1:7">
      <c r="A278" s="240" t="s">
        <v>1612</v>
      </c>
      <c r="B278" s="202" t="s">
        <v>1613</v>
      </c>
      <c r="C278" s="494"/>
      <c r="F278" s="575"/>
      <c r="G278" s="576"/>
    </row>
    <row r="279" spans="1:7">
      <c r="A279" s="240" t="s">
        <v>1616</v>
      </c>
      <c r="B279" s="202" t="s">
        <v>1617</v>
      </c>
      <c r="C279" s="494"/>
      <c r="F279" s="575"/>
      <c r="G279" s="576"/>
    </row>
    <row r="280" spans="1:7">
      <c r="A280" s="240" t="s">
        <v>1618</v>
      </c>
      <c r="B280" s="202" t="s">
        <v>1619</v>
      </c>
      <c r="C280" s="494"/>
      <c r="F280" s="575"/>
      <c r="G280" s="576"/>
    </row>
    <row r="281" spans="1:7">
      <c r="A281" s="240" t="s">
        <v>1620</v>
      </c>
      <c r="B281" s="202" t="s">
        <v>1621</v>
      </c>
      <c r="C281" s="494"/>
      <c r="F281" s="575"/>
      <c r="G281" s="576"/>
    </row>
    <row r="282" spans="1:7">
      <c r="A282" s="240" t="s">
        <v>171</v>
      </c>
      <c r="B282" s="202" t="s">
        <v>1627</v>
      </c>
      <c r="C282" s="494"/>
      <c r="F282" s="575"/>
      <c r="G282" s="576"/>
    </row>
    <row r="283" spans="1:7">
      <c r="A283" s="240" t="s">
        <v>175</v>
      </c>
      <c r="B283" s="202" t="s">
        <v>1628</v>
      </c>
      <c r="C283" s="494"/>
      <c r="F283" s="575"/>
      <c r="G283" s="576"/>
    </row>
    <row r="284" spans="1:7">
      <c r="A284" s="240" t="s">
        <v>1625</v>
      </c>
      <c r="B284" s="202" t="s">
        <v>1626</v>
      </c>
      <c r="C284" s="494"/>
      <c r="F284" s="575"/>
      <c r="G284" s="576"/>
    </row>
    <row r="285" spans="1:7">
      <c r="A285" s="240" t="s">
        <v>2411</v>
      </c>
      <c r="B285" s="202" t="s">
        <v>2412</v>
      </c>
      <c r="C285" s="494"/>
      <c r="F285" s="575"/>
      <c r="G285" s="576"/>
    </row>
    <row r="286" spans="1:7">
      <c r="A286" s="240" t="s">
        <v>2428</v>
      </c>
      <c r="B286" s="202" t="s">
        <v>2429</v>
      </c>
      <c r="C286" s="494"/>
      <c r="F286" s="575"/>
      <c r="G286" s="576"/>
    </row>
    <row r="287" spans="1:7">
      <c r="A287" s="240" t="s">
        <v>2438</v>
      </c>
      <c r="B287" s="202" t="s">
        <v>2439</v>
      </c>
      <c r="C287" s="494"/>
      <c r="F287" s="575"/>
      <c r="G287" s="576"/>
    </row>
    <row r="288" spans="1:7">
      <c r="A288" s="240" t="s">
        <v>2440</v>
      </c>
      <c r="B288" s="202" t="s">
        <v>2441</v>
      </c>
      <c r="C288" s="494"/>
      <c r="F288" s="575"/>
      <c r="G288" s="576"/>
    </row>
    <row r="289" spans="1:3">
      <c r="A289" s="578" t="s">
        <v>1928</v>
      </c>
      <c r="B289" s="398" t="s">
        <v>1624</v>
      </c>
      <c r="C289" s="494"/>
    </row>
  </sheetData>
  <sheetProtection algorithmName="SHA-512" hashValue="MGp92KnL5YnL5R1ahFCX8oqoUt55nhDEpLnChrBUk/Eo7W0Lk017DUHJ2QX4tqEALTajyAAVukZ77+O5knowkQ==" saltValue="PNcAChMRCIK/rHhc+2+Wfw==" spinCount="100000" sheet="1" objects="1" scenarios="1" selectLockedCells="1"/>
  <mergeCells count="1">
    <mergeCell ref="A2:E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Multi_Chem_Calculate_Click">
                <anchor moveWithCells="1" sizeWithCells="1">
                  <from>
                    <xdr:col>0</xdr:col>
                    <xdr:colOff>28575</xdr:colOff>
                    <xdr:row>2</xdr:row>
                    <xdr:rowOff>38100</xdr:rowOff>
                  </from>
                  <to>
                    <xdr:col>0</xdr:col>
                    <xdr:colOff>1790700</xdr:colOff>
                    <xdr:row>2</xdr:row>
                    <xdr:rowOff>371475</xdr:rowOff>
                  </to>
                </anchor>
              </controlPr>
            </control>
          </mc:Choice>
        </mc:AlternateContent>
        <mc:AlternateContent xmlns:mc="http://schemas.openxmlformats.org/markup-compatibility/2006">
          <mc:Choice Requires="x14">
            <control shapeId="6146" r:id="rId4" name="Button 2">
              <controlPr defaultSize="0" print="0" autoFill="0" autoPict="0" macro="[0]!Multi_Chem_Clear_Input_Click">
                <anchor moveWithCells="1" sizeWithCells="1">
                  <from>
                    <xdr:col>0</xdr:col>
                    <xdr:colOff>28575</xdr:colOff>
                    <xdr:row>2</xdr:row>
                    <xdr:rowOff>409575</xdr:rowOff>
                  </from>
                  <to>
                    <xdr:col>0</xdr:col>
                    <xdr:colOff>1790700</xdr:colOff>
                    <xdr:row>3</xdr:row>
                    <xdr:rowOff>209550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7"/>
  <dimension ref="A1:JS131"/>
  <sheetViews>
    <sheetView workbookViewId="0">
      <pane xSplit="5" ySplit="4" topLeftCell="F5" activePane="bottomRight" state="frozen"/>
      <selection pane="topRight" activeCell="F1" sqref="F1"/>
      <selection pane="bottomLeft" activeCell="A5" sqref="A5"/>
      <selection pane="bottomRight" activeCell="F1" sqref="F1:FD1048576"/>
    </sheetView>
  </sheetViews>
  <sheetFormatPr defaultColWidth="8.85546875" defaultRowHeight="12.75"/>
  <cols>
    <col min="1" max="1" width="5.7109375" customWidth="1"/>
    <col min="2" max="2" width="5.28515625" customWidth="1"/>
    <col min="3" max="3" width="41.140625" bestFit="1" customWidth="1"/>
    <col min="4" max="4" width="14.85546875" bestFit="1" customWidth="1"/>
    <col min="5" max="5" width="16.5703125" customWidth="1"/>
    <col min="6" max="6" width="21.85546875" customWidth="1"/>
    <col min="7" max="7" width="19.85546875" customWidth="1"/>
    <col min="8" max="8" width="19.7109375" customWidth="1"/>
    <col min="9" max="9" width="20" customWidth="1"/>
    <col min="10" max="10" width="20.7109375" customWidth="1"/>
    <col min="11" max="73" width="17.7109375" bestFit="1" customWidth="1"/>
    <col min="74" max="132" width="17.7109375" customWidth="1"/>
    <col min="133" max="160" width="9.140625" customWidth="1"/>
    <col min="161" max="16384" width="8.85546875" style="614"/>
  </cols>
  <sheetData>
    <row r="1" spans="1:278" ht="20.25">
      <c r="A1" s="348" t="s">
        <v>1762</v>
      </c>
    </row>
    <row r="2" spans="1:278" ht="54.75" customHeight="1">
      <c r="A2" s="952" t="s">
        <v>2076</v>
      </c>
      <c r="B2" s="953"/>
      <c r="C2" s="953"/>
      <c r="D2" s="953"/>
      <c r="E2" s="953"/>
    </row>
    <row r="3" spans="1:278" ht="24" customHeight="1">
      <c r="A3" s="500"/>
      <c r="B3" s="500"/>
      <c r="C3" s="500"/>
      <c r="D3" s="500"/>
      <c r="E3" s="500"/>
    </row>
    <row r="4" spans="1:278" s="615" customFormat="1">
      <c r="A4" s="501"/>
      <c r="B4" s="501"/>
      <c r="C4" s="501"/>
      <c r="D4" s="501"/>
      <c r="E4" s="501"/>
      <c r="F4"/>
      <c r="G4"/>
      <c r="H4"/>
      <c r="I4"/>
      <c r="J4"/>
      <c r="K4"/>
      <c r="L4"/>
      <c r="M4"/>
      <c r="N4"/>
      <c r="O4"/>
      <c r="P4"/>
      <c r="Q4"/>
      <c r="R4"/>
      <c r="S4"/>
      <c r="T4"/>
      <c r="U4"/>
      <c r="V4"/>
      <c r="W4"/>
      <c r="X4"/>
      <c r="Y4"/>
      <c r="Z4"/>
      <c r="AA4"/>
      <c r="AB4"/>
      <c r="AC4"/>
      <c r="AD4"/>
      <c r="AE4"/>
      <c r="AF4"/>
      <c r="AG4"/>
      <c r="AH4"/>
      <c r="AI4"/>
      <c r="AJ4"/>
      <c r="AK4"/>
      <c r="AL4"/>
      <c r="AM4"/>
      <c r="AN4"/>
      <c r="AO4"/>
      <c r="AP4"/>
      <c r="AQ4"/>
      <c r="AR4"/>
      <c r="AS4"/>
      <c r="AT4"/>
      <c r="AU4"/>
      <c r="AV4"/>
      <c r="AW4"/>
      <c r="AX4"/>
      <c r="AY4"/>
      <c r="AZ4"/>
      <c r="BA4"/>
      <c r="BB4"/>
      <c r="BC4"/>
      <c r="BD4"/>
      <c r="BE4"/>
      <c r="BF4"/>
      <c r="BG4"/>
      <c r="BH4"/>
      <c r="BI4"/>
      <c r="BJ4"/>
      <c r="BK4"/>
      <c r="BL4"/>
      <c r="BM4"/>
      <c r="BN4"/>
      <c r="BO4"/>
      <c r="BP4"/>
      <c r="BQ4"/>
      <c r="BR4"/>
      <c r="BS4"/>
      <c r="BT4"/>
      <c r="BU4"/>
      <c r="BV4"/>
      <c r="BW4"/>
      <c r="BX4"/>
      <c r="BY4"/>
      <c r="BZ4"/>
      <c r="CA4"/>
      <c r="CB4"/>
      <c r="CC4"/>
      <c r="CD4"/>
      <c r="CE4"/>
      <c r="CF4"/>
      <c r="CG4"/>
      <c r="CH4"/>
      <c r="CI4"/>
      <c r="CJ4"/>
      <c r="CK4"/>
      <c r="CL4"/>
      <c r="CM4"/>
      <c r="CN4"/>
      <c r="CO4"/>
      <c r="CP4"/>
      <c r="CQ4"/>
      <c r="CR4"/>
      <c r="CS4"/>
      <c r="CT4"/>
      <c r="CU4"/>
      <c r="CV4"/>
      <c r="CW4"/>
      <c r="CX4"/>
      <c r="CY4"/>
      <c r="CZ4"/>
      <c r="DA4"/>
      <c r="DB4"/>
      <c r="DC4"/>
      <c r="DD4"/>
      <c r="DE4"/>
      <c r="DF4"/>
      <c r="DG4"/>
      <c r="DH4"/>
      <c r="DI4"/>
      <c r="DJ4"/>
      <c r="DK4"/>
      <c r="DL4"/>
      <c r="DM4"/>
      <c r="DN4"/>
      <c r="DO4"/>
      <c r="DP4"/>
      <c r="DQ4"/>
      <c r="DR4"/>
      <c r="DS4"/>
      <c r="DT4"/>
      <c r="DU4"/>
      <c r="DV4"/>
      <c r="DW4"/>
      <c r="DX4"/>
      <c r="DY4"/>
      <c r="DZ4"/>
      <c r="EA4"/>
      <c r="EB4"/>
      <c r="EC4"/>
      <c r="ED4"/>
      <c r="EE4"/>
      <c r="EF4"/>
      <c r="EG4"/>
      <c r="EH4"/>
      <c r="EI4"/>
      <c r="EJ4"/>
      <c r="EK4"/>
      <c r="EL4"/>
      <c r="EM4"/>
      <c r="EN4"/>
      <c r="EO4"/>
      <c r="EP4"/>
      <c r="EQ4"/>
      <c r="ER4"/>
      <c r="ES4"/>
      <c r="ET4"/>
      <c r="EU4"/>
      <c r="EV4"/>
      <c r="EW4"/>
      <c r="EX4"/>
      <c r="EY4"/>
      <c r="EZ4"/>
      <c r="FA4"/>
      <c r="FB4"/>
      <c r="FC4"/>
      <c r="FD4"/>
      <c r="FE4" s="615" t="s">
        <v>48</v>
      </c>
      <c r="FF4" s="615" t="s">
        <v>987</v>
      </c>
      <c r="FG4" s="615" t="s">
        <v>989</v>
      </c>
      <c r="FH4" s="615" t="s">
        <v>993</v>
      </c>
      <c r="FI4" s="615" t="s">
        <v>997</v>
      </c>
      <c r="FJ4" s="615" t="s">
        <v>1001</v>
      </c>
      <c r="FK4" s="615" t="s">
        <v>2067</v>
      </c>
      <c r="FL4" s="615" t="s">
        <v>1003</v>
      </c>
      <c r="FM4" s="615" t="s">
        <v>1005</v>
      </c>
      <c r="FN4" s="615" t="s">
        <v>1019</v>
      </c>
      <c r="FO4" s="615" t="s">
        <v>1023</v>
      </c>
      <c r="FP4" s="615" t="s">
        <v>1025</v>
      </c>
      <c r="FQ4" s="615" t="s">
        <v>2194</v>
      </c>
      <c r="FR4" s="615" t="s">
        <v>113</v>
      </c>
      <c r="FS4" s="615" t="s">
        <v>1083</v>
      </c>
      <c r="FT4" s="615" t="s">
        <v>104</v>
      </c>
      <c r="FU4" s="615" t="s">
        <v>1092</v>
      </c>
      <c r="FV4" s="615" t="s">
        <v>1101</v>
      </c>
      <c r="FW4" s="615" t="s">
        <v>1103</v>
      </c>
      <c r="FX4" s="615" t="s">
        <v>1105</v>
      </c>
      <c r="FY4" s="615" t="s">
        <v>1107</v>
      </c>
      <c r="FZ4" s="615" t="s">
        <v>1109</v>
      </c>
      <c r="GA4" s="615" t="s">
        <v>1825</v>
      </c>
      <c r="GB4" s="615" t="s">
        <v>1111</v>
      </c>
      <c r="GC4" s="615" t="s">
        <v>1113</v>
      </c>
      <c r="GD4" s="615" t="s">
        <v>1115</v>
      </c>
      <c r="GE4" s="615" t="s">
        <v>1121</v>
      </c>
      <c r="GF4" s="615" t="s">
        <v>1125</v>
      </c>
      <c r="GG4" s="615" t="s">
        <v>1137</v>
      </c>
      <c r="GH4" s="615" t="s">
        <v>2155</v>
      </c>
      <c r="GI4" s="615" t="s">
        <v>169</v>
      </c>
      <c r="GJ4" s="615" t="s">
        <v>1147</v>
      </c>
      <c r="GK4" s="615" t="s">
        <v>1153</v>
      </c>
      <c r="GL4" s="615" t="s">
        <v>1155</v>
      </c>
      <c r="GM4" s="615" t="s">
        <v>1167</v>
      </c>
      <c r="GN4" s="615" t="s">
        <v>1169</v>
      </c>
      <c r="GO4" s="615" t="s">
        <v>74</v>
      </c>
      <c r="GP4" s="615" t="s">
        <v>1174</v>
      </c>
      <c r="GQ4" s="615" t="s">
        <v>83</v>
      </c>
      <c r="GR4" s="615" t="s">
        <v>1202</v>
      </c>
      <c r="GS4" s="615" t="s">
        <v>170</v>
      </c>
      <c r="GT4" s="615" t="s">
        <v>1217</v>
      </c>
      <c r="GU4" s="615" t="s">
        <v>1209</v>
      </c>
      <c r="GV4" s="615" t="s">
        <v>1221</v>
      </c>
      <c r="GW4" s="615" t="s">
        <v>174</v>
      </c>
      <c r="GX4" s="615" t="s">
        <v>1234</v>
      </c>
      <c r="GY4" s="615" t="s">
        <v>1256</v>
      </c>
      <c r="GZ4" s="615" t="s">
        <v>1260</v>
      </c>
      <c r="HA4" s="615" t="s">
        <v>1264</v>
      </c>
      <c r="HB4" s="615" t="s">
        <v>1746</v>
      </c>
      <c r="HC4" s="615" t="s">
        <v>1747</v>
      </c>
      <c r="HD4" s="615" t="s">
        <v>1745</v>
      </c>
      <c r="HE4" s="615" t="s">
        <v>1744</v>
      </c>
      <c r="HF4" s="615" t="s">
        <v>1748</v>
      </c>
      <c r="HG4" s="615" t="s">
        <v>1266</v>
      </c>
      <c r="HH4" s="615" t="s">
        <v>1268</v>
      </c>
      <c r="HI4" s="615" t="s">
        <v>1272</v>
      </c>
      <c r="HJ4" s="615" t="s">
        <v>2159</v>
      </c>
      <c r="HK4" s="615" t="s">
        <v>1293</v>
      </c>
      <c r="HL4" s="615" t="s">
        <v>1297</v>
      </c>
      <c r="HM4" s="615" t="s">
        <v>1301</v>
      </c>
      <c r="HN4" s="615" t="s">
        <v>1400</v>
      </c>
      <c r="HO4" s="615" t="s">
        <v>1412</v>
      </c>
      <c r="HP4" s="615" t="s">
        <v>1420</v>
      </c>
      <c r="HQ4" s="615" t="s">
        <v>1422</v>
      </c>
      <c r="HR4" s="615" t="s">
        <v>1424</v>
      </c>
      <c r="HS4" s="615" t="s">
        <v>1430</v>
      </c>
      <c r="HT4" s="615" t="s">
        <v>1432</v>
      </c>
      <c r="HU4" s="615" t="s">
        <v>106</v>
      </c>
      <c r="HV4" s="615" t="s">
        <v>1436</v>
      </c>
      <c r="HW4" s="615" t="s">
        <v>1445</v>
      </c>
      <c r="HX4" s="615" t="s">
        <v>85</v>
      </c>
      <c r="HY4" s="615" t="s">
        <v>2162</v>
      </c>
      <c r="HZ4" s="615" t="s">
        <v>2149</v>
      </c>
      <c r="IA4" s="615" t="s">
        <v>1499</v>
      </c>
      <c r="IB4" s="615" t="s">
        <v>1505</v>
      </c>
      <c r="IC4" s="615" t="s">
        <v>1749</v>
      </c>
      <c r="ID4" s="615" t="s">
        <v>150</v>
      </c>
      <c r="IE4" s="615" t="s">
        <v>152</v>
      </c>
      <c r="IF4" s="615" t="s">
        <v>105</v>
      </c>
      <c r="IG4" s="615" t="s">
        <v>1512</v>
      </c>
      <c r="IH4" s="615" t="s">
        <v>2158</v>
      </c>
      <c r="II4" s="615" t="s">
        <v>1516</v>
      </c>
      <c r="IJ4" s="615" t="s">
        <v>2066</v>
      </c>
      <c r="IK4" s="615" t="s">
        <v>1912</v>
      </c>
      <c r="IL4" s="615" t="s">
        <v>1914</v>
      </c>
      <c r="IM4" s="615" t="s">
        <v>2161</v>
      </c>
      <c r="IN4" s="615" t="s">
        <v>1534</v>
      </c>
      <c r="IO4" s="615" t="s">
        <v>95</v>
      </c>
      <c r="IP4" s="615" t="s">
        <v>1545</v>
      </c>
      <c r="IQ4" s="615" t="s">
        <v>1549</v>
      </c>
      <c r="IR4" s="615" t="s">
        <v>153</v>
      </c>
      <c r="IS4" s="615" t="s">
        <v>1563</v>
      </c>
      <c r="IT4" s="615" t="s">
        <v>158</v>
      </c>
      <c r="IU4" s="615" t="s">
        <v>151</v>
      </c>
      <c r="IV4" s="615" t="s">
        <v>154</v>
      </c>
      <c r="IW4" s="615" t="s">
        <v>68</v>
      </c>
      <c r="IX4" s="615" t="s">
        <v>61</v>
      </c>
      <c r="IY4" s="615" t="s">
        <v>1578</v>
      </c>
      <c r="IZ4" s="615" t="s">
        <v>157</v>
      </c>
      <c r="JA4" s="615" t="s">
        <v>1581</v>
      </c>
      <c r="JB4" s="615" t="s">
        <v>1585</v>
      </c>
      <c r="JC4" s="615" t="s">
        <v>2195</v>
      </c>
      <c r="JD4" s="615" t="s">
        <v>1587</v>
      </c>
      <c r="JE4" s="615" t="s">
        <v>1924</v>
      </c>
      <c r="JF4" s="615" t="s">
        <v>159</v>
      </c>
      <c r="JG4" s="615" t="s">
        <v>163</v>
      </c>
      <c r="JH4" s="615" t="s">
        <v>2196</v>
      </c>
      <c r="JI4" s="615" t="s">
        <v>1543</v>
      </c>
      <c r="JJ4" s="615" t="s">
        <v>2197</v>
      </c>
      <c r="JK4" s="615" t="s">
        <v>1612</v>
      </c>
      <c r="JL4" s="615" t="s">
        <v>1616</v>
      </c>
      <c r="JM4" s="615" t="s">
        <v>1618</v>
      </c>
      <c r="JN4" s="615" t="s">
        <v>1620</v>
      </c>
      <c r="JO4" s="615" t="s">
        <v>171</v>
      </c>
      <c r="JP4" s="615" t="s">
        <v>175</v>
      </c>
      <c r="JQ4" s="615" t="s">
        <v>1625</v>
      </c>
      <c r="JR4" s="615" t="s">
        <v>1928</v>
      </c>
    </row>
    <row r="5" spans="1:278" ht="18.75" thickBot="1">
      <c r="A5" s="701" t="s">
        <v>124</v>
      </c>
      <c r="B5" s="702"/>
      <c r="C5" s="703"/>
      <c r="D5" s="324" t="s">
        <v>136</v>
      </c>
      <c r="E5" s="324" t="s">
        <v>137</v>
      </c>
      <c r="FE5" s="616" t="s">
        <v>267</v>
      </c>
      <c r="FF5" s="616" t="s">
        <v>267</v>
      </c>
      <c r="FG5" s="616" t="s">
        <v>267</v>
      </c>
      <c r="FH5" s="616" t="s">
        <v>267</v>
      </c>
      <c r="FI5" s="616" t="s">
        <v>267</v>
      </c>
      <c r="FJ5" s="616" t="s">
        <v>267</v>
      </c>
      <c r="FK5" s="616" t="s">
        <v>267</v>
      </c>
      <c r="FL5" s="616" t="s">
        <v>267</v>
      </c>
      <c r="FM5" s="616" t="s">
        <v>267</v>
      </c>
      <c r="FN5" s="616" t="s">
        <v>267</v>
      </c>
      <c r="FO5" s="616" t="s">
        <v>267</v>
      </c>
      <c r="FP5" s="616" t="s">
        <v>267</v>
      </c>
      <c r="FQ5" s="616" t="s">
        <v>267</v>
      </c>
      <c r="FR5" s="616" t="s">
        <v>267</v>
      </c>
      <c r="FS5" s="616" t="s">
        <v>267</v>
      </c>
      <c r="FT5" s="616" t="s">
        <v>267</v>
      </c>
      <c r="FU5" s="616" t="s">
        <v>267</v>
      </c>
      <c r="FV5" s="616" t="s">
        <v>267</v>
      </c>
      <c r="FW5" s="616" t="s">
        <v>267</v>
      </c>
      <c r="FX5" s="616" t="s">
        <v>267</v>
      </c>
      <c r="FY5" s="616" t="s">
        <v>267</v>
      </c>
      <c r="FZ5" s="616" t="s">
        <v>267</v>
      </c>
      <c r="GA5" s="616" t="s">
        <v>267</v>
      </c>
      <c r="GB5" s="616" t="s">
        <v>267</v>
      </c>
      <c r="GC5" s="616" t="s">
        <v>267</v>
      </c>
      <c r="GD5" s="616" t="s">
        <v>267</v>
      </c>
      <c r="GE5" s="616" t="s">
        <v>267</v>
      </c>
      <c r="GF5" s="616" t="s">
        <v>267</v>
      </c>
      <c r="GG5" s="616" t="s">
        <v>267</v>
      </c>
      <c r="GH5" s="616" t="s">
        <v>267</v>
      </c>
      <c r="GI5" s="616" t="s">
        <v>267</v>
      </c>
      <c r="GJ5" s="616" t="s">
        <v>267</v>
      </c>
      <c r="GK5" s="616" t="s">
        <v>267</v>
      </c>
      <c r="GL5" s="616" t="s">
        <v>267</v>
      </c>
      <c r="GM5" s="616" t="s">
        <v>267</v>
      </c>
      <c r="GN5" s="616" t="s">
        <v>267</v>
      </c>
      <c r="GO5" s="616" t="s">
        <v>267</v>
      </c>
      <c r="GP5" s="616" t="s">
        <v>267</v>
      </c>
      <c r="GQ5" s="616" t="s">
        <v>267</v>
      </c>
      <c r="GR5" s="616" t="s">
        <v>267</v>
      </c>
      <c r="GS5" s="616" t="s">
        <v>267</v>
      </c>
      <c r="GT5" s="616" t="s">
        <v>267</v>
      </c>
      <c r="GU5" s="616" t="s">
        <v>267</v>
      </c>
      <c r="GV5" s="616" t="s">
        <v>267</v>
      </c>
      <c r="GW5" s="616" t="s">
        <v>267</v>
      </c>
      <c r="GX5" s="616" t="s">
        <v>267</v>
      </c>
      <c r="GY5" s="616" t="s">
        <v>267</v>
      </c>
      <c r="GZ5" s="616" t="s">
        <v>267</v>
      </c>
      <c r="HA5" s="616" t="s">
        <v>267</v>
      </c>
      <c r="HB5" s="616" t="s">
        <v>267</v>
      </c>
      <c r="HC5" s="616" t="s">
        <v>267</v>
      </c>
      <c r="HD5" s="616" t="s">
        <v>267</v>
      </c>
      <c r="HE5" s="616" t="s">
        <v>267</v>
      </c>
      <c r="HF5" s="616" t="s">
        <v>267</v>
      </c>
      <c r="HG5" s="616" t="s">
        <v>267</v>
      </c>
      <c r="HH5" s="616" t="s">
        <v>267</v>
      </c>
      <c r="HI5" s="616" t="s">
        <v>267</v>
      </c>
      <c r="HJ5" s="616" t="s">
        <v>267</v>
      </c>
      <c r="HK5" s="616" t="s">
        <v>267</v>
      </c>
      <c r="HL5" s="616" t="s">
        <v>267</v>
      </c>
      <c r="HM5" s="616" t="s">
        <v>267</v>
      </c>
      <c r="HN5" s="616" t="s">
        <v>267</v>
      </c>
      <c r="HO5" s="616" t="s">
        <v>267</v>
      </c>
      <c r="HP5" s="616" t="s">
        <v>267</v>
      </c>
      <c r="HQ5" s="616" t="s">
        <v>267</v>
      </c>
      <c r="HR5" s="616" t="s">
        <v>267</v>
      </c>
      <c r="HS5" s="616" t="s">
        <v>267</v>
      </c>
      <c r="HT5" s="616" t="s">
        <v>267</v>
      </c>
      <c r="HU5" s="616" t="s">
        <v>267</v>
      </c>
      <c r="HV5" s="616" t="s">
        <v>267</v>
      </c>
      <c r="HW5" s="616" t="s">
        <v>267</v>
      </c>
      <c r="HX5" s="616" t="s">
        <v>267</v>
      </c>
      <c r="HY5" s="616" t="s">
        <v>267</v>
      </c>
      <c r="HZ5" s="616" t="s">
        <v>267</v>
      </c>
      <c r="IA5" s="616" t="s">
        <v>267</v>
      </c>
      <c r="IB5" s="616" t="s">
        <v>267</v>
      </c>
      <c r="IC5" s="616" t="s">
        <v>267</v>
      </c>
      <c r="ID5" s="616" t="s">
        <v>267</v>
      </c>
      <c r="IE5" s="616" t="s">
        <v>267</v>
      </c>
      <c r="IF5" s="616" t="s">
        <v>267</v>
      </c>
      <c r="IG5" s="616" t="s">
        <v>267</v>
      </c>
      <c r="IH5" s="616" t="s">
        <v>267</v>
      </c>
      <c r="II5" s="616" t="s">
        <v>267</v>
      </c>
      <c r="IJ5" s="616" t="s">
        <v>267</v>
      </c>
      <c r="IK5" s="616" t="s">
        <v>267</v>
      </c>
      <c r="IL5" s="616" t="s">
        <v>267</v>
      </c>
      <c r="IM5" s="616" t="s">
        <v>267</v>
      </c>
      <c r="IN5" s="616" t="s">
        <v>267</v>
      </c>
      <c r="IO5" s="616" t="s">
        <v>267</v>
      </c>
      <c r="IP5" s="616" t="s">
        <v>267</v>
      </c>
      <c r="IQ5" s="616" t="s">
        <v>267</v>
      </c>
      <c r="IR5" s="616" t="s">
        <v>267</v>
      </c>
      <c r="IS5" s="616" t="s">
        <v>267</v>
      </c>
      <c r="IT5" s="616" t="s">
        <v>267</v>
      </c>
      <c r="IU5" s="616" t="s">
        <v>267</v>
      </c>
      <c r="IV5" s="616" t="s">
        <v>267</v>
      </c>
      <c r="IW5" s="616" t="s">
        <v>267</v>
      </c>
      <c r="IX5" s="616" t="s">
        <v>267</v>
      </c>
      <c r="IY5" s="616" t="s">
        <v>267</v>
      </c>
      <c r="IZ5" s="616" t="s">
        <v>267</v>
      </c>
      <c r="JA5" s="616" t="s">
        <v>267</v>
      </c>
      <c r="JB5" s="616" t="s">
        <v>267</v>
      </c>
      <c r="JC5" s="616" t="s">
        <v>267</v>
      </c>
      <c r="JD5" s="616" t="s">
        <v>267</v>
      </c>
      <c r="JE5" s="616" t="s">
        <v>267</v>
      </c>
      <c r="JF5" s="616" t="s">
        <v>267</v>
      </c>
      <c r="JG5" s="616" t="s">
        <v>267</v>
      </c>
      <c r="JH5" s="616" t="s">
        <v>267</v>
      </c>
      <c r="JI5" s="616" t="s">
        <v>267</v>
      </c>
      <c r="JJ5" s="616" t="s">
        <v>267</v>
      </c>
      <c r="JK5" s="616" t="s">
        <v>267</v>
      </c>
      <c r="JL5" s="616" t="s">
        <v>267</v>
      </c>
      <c r="JM5" s="616" t="s">
        <v>267</v>
      </c>
      <c r="JN5" s="616" t="s">
        <v>267</v>
      </c>
      <c r="JO5" s="616" t="s">
        <v>267</v>
      </c>
      <c r="JP5" s="616" t="s">
        <v>267</v>
      </c>
      <c r="JQ5" s="616" t="s">
        <v>267</v>
      </c>
      <c r="JR5" s="616" t="s">
        <v>267</v>
      </c>
    </row>
    <row r="6" spans="1:278" ht="16.5" thickTop="1" thickBot="1">
      <c r="A6" s="41"/>
      <c r="B6" s="98" t="s">
        <v>289</v>
      </c>
      <c r="C6" s="170"/>
      <c r="D6" s="26"/>
      <c r="E6" s="26" t="s">
        <v>295</v>
      </c>
      <c r="FE6" s="349" t="s">
        <v>294</v>
      </c>
      <c r="FF6" s="349" t="s">
        <v>294</v>
      </c>
      <c r="FG6" s="349" t="s">
        <v>294</v>
      </c>
      <c r="FH6" s="349" t="s">
        <v>294</v>
      </c>
      <c r="FI6" s="349" t="s">
        <v>294</v>
      </c>
      <c r="FJ6" s="349" t="s">
        <v>294</v>
      </c>
      <c r="FK6" s="349" t="s">
        <v>294</v>
      </c>
      <c r="FL6" s="349" t="s">
        <v>294</v>
      </c>
      <c r="FM6" s="349" t="s">
        <v>294</v>
      </c>
      <c r="FN6" s="349" t="s">
        <v>294</v>
      </c>
      <c r="FO6" s="349" t="s">
        <v>294</v>
      </c>
      <c r="FP6" s="349" t="s">
        <v>294</v>
      </c>
      <c r="FQ6" s="349" t="s">
        <v>294</v>
      </c>
      <c r="FR6" s="349" t="s">
        <v>294</v>
      </c>
      <c r="FS6" s="349" t="s">
        <v>294</v>
      </c>
      <c r="FT6" s="349" t="s">
        <v>294</v>
      </c>
      <c r="FU6" s="349" t="s">
        <v>294</v>
      </c>
      <c r="FV6" s="349" t="s">
        <v>294</v>
      </c>
      <c r="FW6" s="349" t="s">
        <v>294</v>
      </c>
      <c r="FX6" s="349" t="s">
        <v>294</v>
      </c>
      <c r="FY6" s="349" t="s">
        <v>294</v>
      </c>
      <c r="FZ6" s="349" t="s">
        <v>294</v>
      </c>
      <c r="GA6" s="349" t="s">
        <v>294</v>
      </c>
      <c r="GB6" s="349" t="s">
        <v>294</v>
      </c>
      <c r="GC6" s="349" t="s">
        <v>294</v>
      </c>
      <c r="GD6" s="349" t="s">
        <v>294</v>
      </c>
      <c r="GE6" s="349" t="s">
        <v>294</v>
      </c>
      <c r="GF6" s="349" t="s">
        <v>294</v>
      </c>
      <c r="GG6" s="349" t="s">
        <v>294</v>
      </c>
      <c r="GH6" s="349" t="s">
        <v>294</v>
      </c>
      <c r="GI6" s="349" t="s">
        <v>294</v>
      </c>
      <c r="GJ6" s="349" t="s">
        <v>294</v>
      </c>
      <c r="GK6" s="349" t="s">
        <v>294</v>
      </c>
      <c r="GL6" s="349" t="s">
        <v>294</v>
      </c>
      <c r="GM6" s="349" t="s">
        <v>294</v>
      </c>
      <c r="GN6" s="349" t="s">
        <v>294</v>
      </c>
      <c r="GO6" s="349" t="s">
        <v>294</v>
      </c>
      <c r="GP6" s="349" t="s">
        <v>294</v>
      </c>
      <c r="GQ6" s="349" t="s">
        <v>294</v>
      </c>
      <c r="GR6" s="349" t="s">
        <v>294</v>
      </c>
      <c r="GS6" s="349" t="s">
        <v>294</v>
      </c>
      <c r="GT6" s="349" t="s">
        <v>294</v>
      </c>
      <c r="GU6" s="349" t="s">
        <v>294</v>
      </c>
      <c r="GV6" s="349" t="s">
        <v>294</v>
      </c>
      <c r="GW6" s="349" t="s">
        <v>294</v>
      </c>
      <c r="GX6" s="349" t="s">
        <v>294</v>
      </c>
      <c r="GY6" s="349" t="s">
        <v>294</v>
      </c>
      <c r="GZ6" s="349" t="s">
        <v>294</v>
      </c>
      <c r="HA6" s="349" t="s">
        <v>294</v>
      </c>
      <c r="HB6" s="349" t="s">
        <v>294</v>
      </c>
      <c r="HC6" s="349" t="s">
        <v>294</v>
      </c>
      <c r="HD6" s="349" t="s">
        <v>294</v>
      </c>
      <c r="HE6" s="349" t="s">
        <v>294</v>
      </c>
      <c r="HF6" s="349" t="s">
        <v>294</v>
      </c>
      <c r="HG6" s="349" t="s">
        <v>294</v>
      </c>
      <c r="HH6" s="349" t="s">
        <v>294</v>
      </c>
      <c r="HI6" s="349" t="s">
        <v>294</v>
      </c>
      <c r="HJ6" s="349" t="s">
        <v>294</v>
      </c>
      <c r="HK6" s="349" t="s">
        <v>294</v>
      </c>
      <c r="HL6" s="349" t="s">
        <v>294</v>
      </c>
      <c r="HM6" s="349" t="s">
        <v>294</v>
      </c>
      <c r="HN6" s="349" t="s">
        <v>294</v>
      </c>
      <c r="HO6" s="349" t="s">
        <v>294</v>
      </c>
      <c r="HP6" s="349" t="s">
        <v>294</v>
      </c>
      <c r="HQ6" s="349" t="s">
        <v>294</v>
      </c>
      <c r="HR6" s="349" t="s">
        <v>294</v>
      </c>
      <c r="HS6" s="349" t="s">
        <v>294</v>
      </c>
      <c r="HT6" s="349" t="s">
        <v>294</v>
      </c>
      <c r="HU6" s="349" t="s">
        <v>294</v>
      </c>
      <c r="HV6" s="349" t="s">
        <v>294</v>
      </c>
      <c r="HW6" s="349" t="s">
        <v>294</v>
      </c>
      <c r="HX6" s="349" t="s">
        <v>294</v>
      </c>
      <c r="HY6" s="349" t="s">
        <v>294</v>
      </c>
      <c r="HZ6" s="349" t="s">
        <v>294</v>
      </c>
      <c r="IA6" s="349" t="s">
        <v>294</v>
      </c>
      <c r="IB6" s="349" t="s">
        <v>294</v>
      </c>
      <c r="IC6" s="349" t="s">
        <v>294</v>
      </c>
      <c r="ID6" s="349" t="s">
        <v>294</v>
      </c>
      <c r="IE6" s="349" t="s">
        <v>294</v>
      </c>
      <c r="IF6" s="349" t="s">
        <v>294</v>
      </c>
      <c r="IG6" s="349" t="s">
        <v>294</v>
      </c>
      <c r="IH6" s="349" t="s">
        <v>294</v>
      </c>
      <c r="II6" s="349" t="s">
        <v>294</v>
      </c>
      <c r="IJ6" s="349" t="s">
        <v>294</v>
      </c>
      <c r="IK6" s="349" t="s">
        <v>294</v>
      </c>
      <c r="IL6" s="349" t="s">
        <v>294</v>
      </c>
      <c r="IM6" s="349" t="s">
        <v>294</v>
      </c>
      <c r="IN6" s="349" t="s">
        <v>294</v>
      </c>
      <c r="IO6" s="349" t="s">
        <v>294</v>
      </c>
      <c r="IP6" s="349" t="s">
        <v>294</v>
      </c>
      <c r="IQ6" s="349" t="s">
        <v>294</v>
      </c>
      <c r="IR6" s="349" t="s">
        <v>294</v>
      </c>
      <c r="IS6" s="349" t="s">
        <v>294</v>
      </c>
      <c r="IT6" s="349" t="s">
        <v>294</v>
      </c>
      <c r="IU6" s="349" t="s">
        <v>294</v>
      </c>
      <c r="IV6" s="349" t="s">
        <v>294</v>
      </c>
      <c r="IW6" s="349" t="s">
        <v>294</v>
      </c>
      <c r="IX6" s="349" t="s">
        <v>294</v>
      </c>
      <c r="IY6" s="349" t="s">
        <v>294</v>
      </c>
      <c r="IZ6" s="349" t="s">
        <v>294</v>
      </c>
      <c r="JA6" s="349" t="s">
        <v>294</v>
      </c>
      <c r="JB6" s="349" t="s">
        <v>294</v>
      </c>
      <c r="JC6" s="349" t="s">
        <v>294</v>
      </c>
      <c r="JD6" s="349" t="s">
        <v>294</v>
      </c>
      <c r="JE6" s="349" t="s">
        <v>294</v>
      </c>
      <c r="JF6" s="349" t="s">
        <v>294</v>
      </c>
      <c r="JG6" s="349" t="s">
        <v>294</v>
      </c>
      <c r="JH6" s="349" t="s">
        <v>294</v>
      </c>
      <c r="JI6" s="349" t="s">
        <v>294</v>
      </c>
      <c r="JJ6" s="349" t="s">
        <v>294</v>
      </c>
      <c r="JK6" s="349" t="s">
        <v>294</v>
      </c>
      <c r="JL6" s="349" t="s">
        <v>294</v>
      </c>
      <c r="JM6" s="349" t="s">
        <v>294</v>
      </c>
      <c r="JN6" s="349" t="s">
        <v>294</v>
      </c>
      <c r="JO6" s="349" t="s">
        <v>294</v>
      </c>
      <c r="JP6" s="349" t="s">
        <v>294</v>
      </c>
      <c r="JQ6" s="349" t="s">
        <v>294</v>
      </c>
      <c r="JR6" s="349" t="s">
        <v>294</v>
      </c>
    </row>
    <row r="7" spans="1:278" ht="15.75" thickTop="1">
      <c r="A7" s="45"/>
      <c r="B7" s="98" t="str">
        <f>IF(Source="Groundwater","Groundwater concentration","Soil gas concentration")</f>
        <v>Groundwater concentration</v>
      </c>
      <c r="C7" s="170"/>
      <c r="D7" s="26" t="str">
        <f>IF(Source="Groundwater","(ug/L)","(ug/m3)")</f>
        <v>(ug/L)</v>
      </c>
      <c r="E7" s="26" t="s">
        <v>296</v>
      </c>
      <c r="FE7" s="350"/>
      <c r="FF7" s="350"/>
      <c r="FG7" s="350"/>
      <c r="FH7" s="350"/>
      <c r="FI7" s="350"/>
      <c r="FJ7" s="350"/>
      <c r="FK7" s="350"/>
      <c r="FL7" s="350"/>
      <c r="FM7" s="350"/>
      <c r="FN7" s="350"/>
      <c r="FO7" s="350"/>
      <c r="FP7" s="350"/>
      <c r="FQ7" s="350"/>
      <c r="FR7" s="350"/>
      <c r="FS7" s="350"/>
      <c r="FT7" s="350"/>
      <c r="FU7" s="350"/>
      <c r="FV7" s="350"/>
      <c r="FW7" s="350"/>
      <c r="FX7" s="350"/>
      <c r="FY7" s="350"/>
      <c r="FZ7" s="350"/>
      <c r="GA7" s="350"/>
      <c r="GB7" s="350"/>
      <c r="GC7" s="350"/>
      <c r="GD7" s="350"/>
      <c r="GE7" s="350"/>
      <c r="GF7" s="350"/>
      <c r="GG7" s="350"/>
      <c r="GH7" s="350"/>
      <c r="GI7" s="350"/>
      <c r="GJ7" s="350"/>
      <c r="GK7" s="350"/>
      <c r="GL7" s="350"/>
      <c r="GM7" s="350"/>
      <c r="GN7" s="350"/>
      <c r="GO7" s="350"/>
      <c r="GP7" s="350"/>
      <c r="GQ7" s="350"/>
      <c r="GR7" s="350"/>
      <c r="GS7" s="350"/>
      <c r="GT7" s="350"/>
      <c r="GU7" s="350"/>
      <c r="GV7" s="350"/>
      <c r="GW7" s="350"/>
      <c r="GX7" s="350"/>
      <c r="GY7" s="350"/>
      <c r="GZ7" s="350"/>
      <c r="HA7" s="350"/>
      <c r="HB7" s="350"/>
      <c r="HC7" s="350"/>
      <c r="HD7" s="350"/>
      <c r="HE7" s="350"/>
      <c r="HF7" s="350"/>
      <c r="HG7" s="350"/>
      <c r="HH7" s="350"/>
      <c r="HI7" s="350"/>
      <c r="HJ7" s="350"/>
      <c r="HK7" s="350"/>
      <c r="HL7" s="350"/>
      <c r="HM7" s="350"/>
      <c r="HN7" s="350"/>
      <c r="HO7" s="350"/>
      <c r="HP7" s="350"/>
      <c r="HQ7" s="350"/>
      <c r="HR7" s="350"/>
      <c r="HS7" s="350"/>
      <c r="HT7" s="350"/>
      <c r="HU7" s="350"/>
      <c r="HV7" s="350"/>
      <c r="HW7" s="350"/>
      <c r="HX7" s="350"/>
      <c r="HY7" s="350"/>
      <c r="HZ7" s="350"/>
      <c r="IA7" s="350"/>
      <c r="IB7" s="350"/>
      <c r="IC7" s="350"/>
      <c r="ID7" s="350"/>
      <c r="IE7" s="350"/>
      <c r="IF7" s="350"/>
      <c r="IG7" s="350"/>
      <c r="IH7" s="350"/>
      <c r="II7" s="350"/>
      <c r="IJ7" s="350"/>
      <c r="IK7" s="350"/>
      <c r="IL7" s="350"/>
      <c r="IM7" s="350"/>
      <c r="IN7" s="350"/>
      <c r="IO7" s="350"/>
      <c r="IP7" s="350"/>
      <c r="IQ7" s="350"/>
      <c r="IR7" s="350"/>
      <c r="IS7" s="350"/>
      <c r="IT7" s="350"/>
      <c r="IU7" s="350"/>
      <c r="IV7" s="350"/>
      <c r="IW7" s="350"/>
      <c r="IX7" s="350"/>
      <c r="IY7" s="350"/>
      <c r="IZ7" s="350"/>
      <c r="JA7" s="350"/>
      <c r="JB7" s="350"/>
      <c r="JC7" s="350"/>
      <c r="JD7" s="350"/>
      <c r="JE7" s="350"/>
      <c r="JF7" s="350"/>
      <c r="JG7" s="350"/>
      <c r="JH7" s="350"/>
      <c r="JI7" s="350"/>
      <c r="JJ7" s="350"/>
      <c r="JK7" s="350"/>
      <c r="JL7" s="350"/>
      <c r="JM7" s="350"/>
      <c r="JN7" s="350"/>
      <c r="JO7" s="350"/>
      <c r="JP7" s="350"/>
      <c r="JQ7" s="350"/>
      <c r="JR7" s="350"/>
    </row>
    <row r="8" spans="1:278" ht="15">
      <c r="A8" s="45"/>
      <c r="B8" s="98" t="str">
        <f>IF(Source="Groundwater","Depth below grade to water table","Depth below grade to soil gas sample")</f>
        <v>Depth below grade to water table</v>
      </c>
      <c r="C8" s="170"/>
      <c r="D8" s="26" t="s">
        <v>185</v>
      </c>
      <c r="E8" s="26" t="s">
        <v>231</v>
      </c>
      <c r="FE8" s="351">
        <v>5</v>
      </c>
      <c r="FF8" s="351">
        <v>5</v>
      </c>
      <c r="FG8" s="351">
        <v>5</v>
      </c>
      <c r="FH8" s="351">
        <v>5</v>
      </c>
      <c r="FI8" s="351">
        <v>5</v>
      </c>
      <c r="FJ8" s="351">
        <v>5</v>
      </c>
      <c r="FK8" s="351">
        <v>5</v>
      </c>
      <c r="FL8" s="351">
        <v>5</v>
      </c>
      <c r="FM8" s="351">
        <v>5</v>
      </c>
      <c r="FN8" s="351">
        <v>5</v>
      </c>
      <c r="FO8" s="351">
        <v>5</v>
      </c>
      <c r="FP8" s="351">
        <v>5</v>
      </c>
      <c r="FQ8" s="351">
        <v>5</v>
      </c>
      <c r="FR8" s="351">
        <v>5</v>
      </c>
      <c r="FS8" s="351">
        <v>5</v>
      </c>
      <c r="FT8" s="351">
        <v>5</v>
      </c>
      <c r="FU8" s="351">
        <v>5</v>
      </c>
      <c r="FV8" s="351">
        <v>5</v>
      </c>
      <c r="FW8" s="351">
        <v>5</v>
      </c>
      <c r="FX8" s="351">
        <v>5</v>
      </c>
      <c r="FY8" s="351">
        <v>5</v>
      </c>
      <c r="FZ8" s="351">
        <v>5</v>
      </c>
      <c r="GA8" s="351">
        <v>5</v>
      </c>
      <c r="GB8" s="351">
        <v>5</v>
      </c>
      <c r="GC8" s="351">
        <v>5</v>
      </c>
      <c r="GD8" s="351">
        <v>5</v>
      </c>
      <c r="GE8" s="351">
        <v>5</v>
      </c>
      <c r="GF8" s="351">
        <v>5</v>
      </c>
      <c r="GG8" s="351">
        <v>5</v>
      </c>
      <c r="GH8" s="351">
        <v>5</v>
      </c>
      <c r="GI8" s="351">
        <v>5</v>
      </c>
      <c r="GJ8" s="351">
        <v>5</v>
      </c>
      <c r="GK8" s="351">
        <v>5</v>
      </c>
      <c r="GL8" s="351">
        <v>5</v>
      </c>
      <c r="GM8" s="351">
        <v>5</v>
      </c>
      <c r="GN8" s="351">
        <v>5</v>
      </c>
      <c r="GO8" s="351">
        <v>5</v>
      </c>
      <c r="GP8" s="351">
        <v>5</v>
      </c>
      <c r="GQ8" s="351">
        <v>5</v>
      </c>
      <c r="GR8" s="351">
        <v>5</v>
      </c>
      <c r="GS8" s="351">
        <v>5</v>
      </c>
      <c r="GT8" s="351">
        <v>5</v>
      </c>
      <c r="GU8" s="351">
        <v>5</v>
      </c>
      <c r="GV8" s="351">
        <v>5</v>
      </c>
      <c r="GW8" s="351">
        <v>5</v>
      </c>
      <c r="GX8" s="351">
        <v>5</v>
      </c>
      <c r="GY8" s="351">
        <v>5</v>
      </c>
      <c r="GZ8" s="351">
        <v>5</v>
      </c>
      <c r="HA8" s="351">
        <v>5</v>
      </c>
      <c r="HB8" s="351">
        <v>5</v>
      </c>
      <c r="HC8" s="351">
        <v>5</v>
      </c>
      <c r="HD8" s="351">
        <v>5</v>
      </c>
      <c r="HE8" s="351">
        <v>5</v>
      </c>
      <c r="HF8" s="351">
        <v>5</v>
      </c>
      <c r="HG8" s="351">
        <v>5</v>
      </c>
      <c r="HH8" s="351">
        <v>5</v>
      </c>
      <c r="HI8" s="351">
        <v>5</v>
      </c>
      <c r="HJ8" s="351">
        <v>5</v>
      </c>
      <c r="HK8" s="351">
        <v>5</v>
      </c>
      <c r="HL8" s="351">
        <v>5</v>
      </c>
      <c r="HM8" s="351">
        <v>5</v>
      </c>
      <c r="HN8" s="351">
        <v>5</v>
      </c>
      <c r="HO8" s="351">
        <v>5</v>
      </c>
      <c r="HP8" s="351">
        <v>5</v>
      </c>
      <c r="HQ8" s="351">
        <v>5</v>
      </c>
      <c r="HR8" s="351">
        <v>5</v>
      </c>
      <c r="HS8" s="351">
        <v>5</v>
      </c>
      <c r="HT8" s="351">
        <v>5</v>
      </c>
      <c r="HU8" s="351">
        <v>5</v>
      </c>
      <c r="HV8" s="351">
        <v>5</v>
      </c>
      <c r="HW8" s="351">
        <v>5</v>
      </c>
      <c r="HX8" s="351">
        <v>5</v>
      </c>
      <c r="HY8" s="351">
        <v>5</v>
      </c>
      <c r="HZ8" s="351">
        <v>5</v>
      </c>
      <c r="IA8" s="351">
        <v>5</v>
      </c>
      <c r="IB8" s="351">
        <v>5</v>
      </c>
      <c r="IC8" s="351">
        <v>5</v>
      </c>
      <c r="ID8" s="351">
        <v>5</v>
      </c>
      <c r="IE8" s="351">
        <v>5</v>
      </c>
      <c r="IF8" s="351">
        <v>5</v>
      </c>
      <c r="IG8" s="351">
        <v>5</v>
      </c>
      <c r="IH8" s="351">
        <v>5</v>
      </c>
      <c r="II8" s="351">
        <v>5</v>
      </c>
      <c r="IJ8" s="351">
        <v>5</v>
      </c>
      <c r="IK8" s="351">
        <v>5</v>
      </c>
      <c r="IL8" s="351">
        <v>5</v>
      </c>
      <c r="IM8" s="351">
        <v>5</v>
      </c>
      <c r="IN8" s="351">
        <v>5</v>
      </c>
      <c r="IO8" s="351">
        <v>5</v>
      </c>
      <c r="IP8" s="351">
        <v>5</v>
      </c>
      <c r="IQ8" s="351">
        <v>5</v>
      </c>
      <c r="IR8" s="351">
        <v>5</v>
      </c>
      <c r="IS8" s="351">
        <v>5</v>
      </c>
      <c r="IT8" s="351">
        <v>5</v>
      </c>
      <c r="IU8" s="351">
        <v>5</v>
      </c>
      <c r="IV8" s="351">
        <v>5</v>
      </c>
      <c r="IW8" s="351">
        <v>5</v>
      </c>
      <c r="IX8" s="351">
        <v>5</v>
      </c>
      <c r="IY8" s="351">
        <v>5</v>
      </c>
      <c r="IZ8" s="351">
        <v>5</v>
      </c>
      <c r="JA8" s="351">
        <v>5</v>
      </c>
      <c r="JB8" s="351">
        <v>5</v>
      </c>
      <c r="JC8" s="351">
        <v>5</v>
      </c>
      <c r="JD8" s="351">
        <v>5</v>
      </c>
      <c r="JE8" s="351">
        <v>5</v>
      </c>
      <c r="JF8" s="351">
        <v>5</v>
      </c>
      <c r="JG8" s="351">
        <v>5</v>
      </c>
      <c r="JH8" s="351">
        <v>5</v>
      </c>
      <c r="JI8" s="351">
        <v>5</v>
      </c>
      <c r="JJ8" s="351">
        <v>5</v>
      </c>
      <c r="JK8" s="351">
        <v>5</v>
      </c>
      <c r="JL8" s="351">
        <v>5</v>
      </c>
      <c r="JM8" s="351">
        <v>5</v>
      </c>
      <c r="JN8" s="351">
        <v>5</v>
      </c>
      <c r="JO8" s="351">
        <v>5</v>
      </c>
      <c r="JP8" s="351">
        <v>5</v>
      </c>
      <c r="JQ8" s="351">
        <v>5</v>
      </c>
      <c r="JR8" s="351">
        <v>5</v>
      </c>
    </row>
    <row r="9" spans="1:278" ht="15.75">
      <c r="A9" s="45"/>
      <c r="B9" s="98" t="str">
        <f>IF(Source="Groundwater","Average groundwater temperature","Average vadose zone temperature")</f>
        <v>Average groundwater temperature</v>
      </c>
      <c r="C9" s="170"/>
      <c r="D9" s="49" t="s">
        <v>329</v>
      </c>
      <c r="E9" s="49" t="s">
        <v>123</v>
      </c>
      <c r="FE9" s="352">
        <v>25</v>
      </c>
      <c r="FF9" s="352">
        <v>25</v>
      </c>
      <c r="FG9" s="352">
        <v>25</v>
      </c>
      <c r="FH9" s="352">
        <v>25</v>
      </c>
      <c r="FI9" s="352">
        <v>25</v>
      </c>
      <c r="FJ9" s="352">
        <v>25</v>
      </c>
      <c r="FK9" s="352">
        <v>25</v>
      </c>
      <c r="FL9" s="352">
        <v>25</v>
      </c>
      <c r="FM9" s="352">
        <v>25</v>
      </c>
      <c r="FN9" s="352">
        <v>25</v>
      </c>
      <c r="FO9" s="352">
        <v>25</v>
      </c>
      <c r="FP9" s="352">
        <v>25</v>
      </c>
      <c r="FQ9" s="352">
        <v>25</v>
      </c>
      <c r="FR9" s="352">
        <v>25</v>
      </c>
      <c r="FS9" s="352">
        <v>25</v>
      </c>
      <c r="FT9" s="352">
        <v>25</v>
      </c>
      <c r="FU9" s="352">
        <v>25</v>
      </c>
      <c r="FV9" s="352">
        <v>25</v>
      </c>
      <c r="FW9" s="352">
        <v>25</v>
      </c>
      <c r="FX9" s="352">
        <v>25</v>
      </c>
      <c r="FY9" s="352">
        <v>25</v>
      </c>
      <c r="FZ9" s="352">
        <v>25</v>
      </c>
      <c r="GA9" s="352">
        <v>25</v>
      </c>
      <c r="GB9" s="352">
        <v>25</v>
      </c>
      <c r="GC9" s="352">
        <v>25</v>
      </c>
      <c r="GD9" s="352">
        <v>25</v>
      </c>
      <c r="GE9" s="352">
        <v>25</v>
      </c>
      <c r="GF9" s="352">
        <v>25</v>
      </c>
      <c r="GG9" s="352">
        <v>25</v>
      </c>
      <c r="GH9" s="352">
        <v>25</v>
      </c>
      <c r="GI9" s="352">
        <v>25</v>
      </c>
      <c r="GJ9" s="352">
        <v>25</v>
      </c>
      <c r="GK9" s="352">
        <v>25</v>
      </c>
      <c r="GL9" s="352">
        <v>25</v>
      </c>
      <c r="GM9" s="352">
        <v>25</v>
      </c>
      <c r="GN9" s="352">
        <v>25</v>
      </c>
      <c r="GO9" s="352">
        <v>25</v>
      </c>
      <c r="GP9" s="352">
        <v>25</v>
      </c>
      <c r="GQ9" s="352">
        <v>25</v>
      </c>
      <c r="GR9" s="352">
        <v>25</v>
      </c>
      <c r="GS9" s="352">
        <v>25</v>
      </c>
      <c r="GT9" s="352">
        <v>25</v>
      </c>
      <c r="GU9" s="352">
        <v>25</v>
      </c>
      <c r="GV9" s="352">
        <v>25</v>
      </c>
      <c r="GW9" s="352">
        <v>25</v>
      </c>
      <c r="GX9" s="352">
        <v>25</v>
      </c>
      <c r="GY9" s="352">
        <v>25</v>
      </c>
      <c r="GZ9" s="352">
        <v>25</v>
      </c>
      <c r="HA9" s="352">
        <v>25</v>
      </c>
      <c r="HB9" s="352">
        <v>25</v>
      </c>
      <c r="HC9" s="352">
        <v>25</v>
      </c>
      <c r="HD9" s="352">
        <v>25</v>
      </c>
      <c r="HE9" s="352">
        <v>25</v>
      </c>
      <c r="HF9" s="352">
        <v>25</v>
      </c>
      <c r="HG9" s="352">
        <v>25</v>
      </c>
      <c r="HH9" s="352">
        <v>25</v>
      </c>
      <c r="HI9" s="352">
        <v>25</v>
      </c>
      <c r="HJ9" s="352">
        <v>25</v>
      </c>
      <c r="HK9" s="352">
        <v>25</v>
      </c>
      <c r="HL9" s="352">
        <v>25</v>
      </c>
      <c r="HM9" s="352">
        <v>25</v>
      </c>
      <c r="HN9" s="352">
        <v>25</v>
      </c>
      <c r="HO9" s="352">
        <v>25</v>
      </c>
      <c r="HP9" s="352">
        <v>25</v>
      </c>
      <c r="HQ9" s="352">
        <v>25</v>
      </c>
      <c r="HR9" s="352">
        <v>25</v>
      </c>
      <c r="HS9" s="352">
        <v>25</v>
      </c>
      <c r="HT9" s="352">
        <v>25</v>
      </c>
      <c r="HU9" s="352">
        <v>25</v>
      </c>
      <c r="HV9" s="352">
        <v>25</v>
      </c>
      <c r="HW9" s="352">
        <v>25</v>
      </c>
      <c r="HX9" s="352">
        <v>25</v>
      </c>
      <c r="HY9" s="352">
        <v>25</v>
      </c>
      <c r="HZ9" s="352">
        <v>25</v>
      </c>
      <c r="IA9" s="352">
        <v>25</v>
      </c>
      <c r="IB9" s="352">
        <v>25</v>
      </c>
      <c r="IC9" s="352">
        <v>25</v>
      </c>
      <c r="ID9" s="352">
        <v>25</v>
      </c>
      <c r="IE9" s="352">
        <v>25</v>
      </c>
      <c r="IF9" s="352">
        <v>25</v>
      </c>
      <c r="IG9" s="352">
        <v>25</v>
      </c>
      <c r="IH9" s="352">
        <v>25</v>
      </c>
      <c r="II9" s="352">
        <v>25</v>
      </c>
      <c r="IJ9" s="352">
        <v>25</v>
      </c>
      <c r="IK9" s="352">
        <v>25</v>
      </c>
      <c r="IL9" s="352">
        <v>25</v>
      </c>
      <c r="IM9" s="352">
        <v>25</v>
      </c>
      <c r="IN9" s="352">
        <v>25</v>
      </c>
      <c r="IO9" s="352">
        <v>25</v>
      </c>
      <c r="IP9" s="352">
        <v>25</v>
      </c>
      <c r="IQ9" s="352">
        <v>25</v>
      </c>
      <c r="IR9" s="352">
        <v>25</v>
      </c>
      <c r="IS9" s="352">
        <v>25</v>
      </c>
      <c r="IT9" s="352">
        <v>25</v>
      </c>
      <c r="IU9" s="352">
        <v>25</v>
      </c>
      <c r="IV9" s="352">
        <v>25</v>
      </c>
      <c r="IW9" s="352">
        <v>25</v>
      </c>
      <c r="IX9" s="352">
        <v>25</v>
      </c>
      <c r="IY9" s="352">
        <v>25</v>
      </c>
      <c r="IZ9" s="352">
        <v>25</v>
      </c>
      <c r="JA9" s="352">
        <v>25</v>
      </c>
      <c r="JB9" s="352">
        <v>25</v>
      </c>
      <c r="JC9" s="352">
        <v>25</v>
      </c>
      <c r="JD9" s="352">
        <v>25</v>
      </c>
      <c r="JE9" s="352">
        <v>25</v>
      </c>
      <c r="JF9" s="352">
        <v>25</v>
      </c>
      <c r="JG9" s="352">
        <v>25</v>
      </c>
      <c r="JH9" s="352">
        <v>25</v>
      </c>
      <c r="JI9" s="352">
        <v>25</v>
      </c>
      <c r="JJ9" s="352">
        <v>25</v>
      </c>
      <c r="JK9" s="352">
        <v>25</v>
      </c>
      <c r="JL9" s="352">
        <v>25</v>
      </c>
      <c r="JM9" s="352">
        <v>25</v>
      </c>
      <c r="JN9" s="352">
        <v>25</v>
      </c>
      <c r="JO9" s="352">
        <v>25</v>
      </c>
      <c r="JP9" s="352">
        <v>25</v>
      </c>
      <c r="JQ9" s="352">
        <v>25</v>
      </c>
      <c r="JR9" s="352">
        <v>25</v>
      </c>
    </row>
    <row r="10" spans="1:278" ht="13.5">
      <c r="A10" s="45"/>
      <c r="B10" s="51"/>
      <c r="C10" s="36" t="s">
        <v>318</v>
      </c>
      <c r="D10" s="26" t="s">
        <v>251</v>
      </c>
      <c r="E10" s="49" t="s">
        <v>273</v>
      </c>
      <c r="FE10" s="617">
        <v>0</v>
      </c>
      <c r="FF10" s="617">
        <v>0</v>
      </c>
      <c r="FG10" s="617">
        <v>0</v>
      </c>
      <c r="FH10" s="617">
        <v>0</v>
      </c>
      <c r="FI10" s="617">
        <v>0</v>
      </c>
      <c r="FJ10" s="617">
        <v>0</v>
      </c>
      <c r="FK10" s="617">
        <v>0</v>
      </c>
      <c r="FL10" s="617">
        <v>0</v>
      </c>
      <c r="FM10" s="617">
        <v>0</v>
      </c>
      <c r="FN10" s="617">
        <v>0</v>
      </c>
      <c r="FO10" s="617">
        <v>0</v>
      </c>
      <c r="FP10" s="617">
        <v>0</v>
      </c>
      <c r="FQ10" s="617">
        <v>0</v>
      </c>
      <c r="FR10" s="617">
        <v>0</v>
      </c>
      <c r="FS10" s="617">
        <v>0</v>
      </c>
      <c r="FT10" s="617">
        <v>0</v>
      </c>
      <c r="FU10" s="617">
        <v>0</v>
      </c>
      <c r="FV10" s="617">
        <v>0</v>
      </c>
      <c r="FW10" s="617">
        <v>0</v>
      </c>
      <c r="FX10" s="617">
        <v>0</v>
      </c>
      <c r="FY10" s="617">
        <v>0</v>
      </c>
      <c r="FZ10" s="617">
        <v>0</v>
      </c>
      <c r="GA10" s="617">
        <v>0</v>
      </c>
      <c r="GB10" s="617">
        <v>0</v>
      </c>
      <c r="GC10" s="617">
        <v>0</v>
      </c>
      <c r="GD10" s="617">
        <v>0</v>
      </c>
      <c r="GE10" s="617">
        <v>0</v>
      </c>
      <c r="GF10" s="617">
        <v>0</v>
      </c>
      <c r="GG10" s="617">
        <v>0</v>
      </c>
      <c r="GH10" s="617">
        <v>0</v>
      </c>
      <c r="GI10" s="617">
        <v>0</v>
      </c>
      <c r="GJ10" s="617">
        <v>0</v>
      </c>
      <c r="GK10" s="617">
        <v>0</v>
      </c>
      <c r="GL10" s="617">
        <v>0</v>
      </c>
      <c r="GM10" s="617">
        <v>0</v>
      </c>
      <c r="GN10" s="617">
        <v>0</v>
      </c>
      <c r="GO10" s="617">
        <v>0</v>
      </c>
      <c r="GP10" s="617">
        <v>0</v>
      </c>
      <c r="GQ10" s="617">
        <v>0</v>
      </c>
      <c r="GR10" s="617">
        <v>0</v>
      </c>
      <c r="GS10" s="617">
        <v>0</v>
      </c>
      <c r="GT10" s="617">
        <v>0</v>
      </c>
      <c r="GU10" s="617">
        <v>0</v>
      </c>
      <c r="GV10" s="617">
        <v>0</v>
      </c>
      <c r="GW10" s="617">
        <v>0</v>
      </c>
      <c r="GX10" s="617">
        <v>0</v>
      </c>
      <c r="GY10" s="617">
        <v>0</v>
      </c>
      <c r="GZ10" s="617">
        <v>0</v>
      </c>
      <c r="HA10" s="617">
        <v>0</v>
      </c>
      <c r="HB10" s="617">
        <v>0</v>
      </c>
      <c r="HC10" s="617">
        <v>0</v>
      </c>
      <c r="HD10" s="617">
        <v>0</v>
      </c>
      <c r="HE10" s="617">
        <v>0</v>
      </c>
      <c r="HF10" s="617">
        <v>0</v>
      </c>
      <c r="HG10" s="617">
        <v>0</v>
      </c>
      <c r="HH10" s="617">
        <v>0</v>
      </c>
      <c r="HI10" s="617">
        <v>0</v>
      </c>
      <c r="HJ10" s="617">
        <v>0</v>
      </c>
      <c r="HK10" s="617">
        <v>0</v>
      </c>
      <c r="HL10" s="617">
        <v>0</v>
      </c>
      <c r="HM10" s="617">
        <v>0</v>
      </c>
      <c r="HN10" s="617">
        <v>0</v>
      </c>
      <c r="HO10" s="617">
        <v>0</v>
      </c>
      <c r="HP10" s="617">
        <v>0</v>
      </c>
      <c r="HQ10" s="617">
        <v>0</v>
      </c>
      <c r="HR10" s="617">
        <v>0</v>
      </c>
      <c r="HS10" s="617">
        <v>0</v>
      </c>
      <c r="HT10" s="617">
        <v>0</v>
      </c>
      <c r="HU10" s="617">
        <v>0</v>
      </c>
      <c r="HV10" s="617">
        <v>0</v>
      </c>
      <c r="HW10" s="617">
        <v>0</v>
      </c>
      <c r="HX10" s="617">
        <v>0</v>
      </c>
      <c r="HY10" s="617">
        <v>0</v>
      </c>
      <c r="HZ10" s="617">
        <v>0</v>
      </c>
      <c r="IA10" s="617">
        <v>0</v>
      </c>
      <c r="IB10" s="617">
        <v>0</v>
      </c>
      <c r="IC10" s="617">
        <v>0</v>
      </c>
      <c r="ID10" s="617">
        <v>0</v>
      </c>
      <c r="IE10" s="617">
        <v>0</v>
      </c>
      <c r="IF10" s="617">
        <v>0</v>
      </c>
      <c r="IG10" s="617">
        <v>0</v>
      </c>
      <c r="IH10" s="617">
        <v>0</v>
      </c>
      <c r="II10" s="617">
        <v>0</v>
      </c>
      <c r="IJ10" s="617">
        <v>0</v>
      </c>
      <c r="IK10" s="617">
        <v>0</v>
      </c>
      <c r="IL10" s="617">
        <v>0</v>
      </c>
      <c r="IM10" s="617">
        <v>0</v>
      </c>
      <c r="IN10" s="617">
        <v>0</v>
      </c>
      <c r="IO10" s="617">
        <v>0</v>
      </c>
      <c r="IP10" s="617">
        <v>0</v>
      </c>
      <c r="IQ10" s="617">
        <v>0</v>
      </c>
      <c r="IR10" s="617">
        <v>0</v>
      </c>
      <c r="IS10" s="617">
        <v>0</v>
      </c>
      <c r="IT10" s="617">
        <v>0</v>
      </c>
      <c r="IU10" s="617">
        <v>0</v>
      </c>
      <c r="IV10" s="617">
        <v>0</v>
      </c>
      <c r="IW10" s="617">
        <v>0</v>
      </c>
      <c r="IX10" s="617">
        <v>0</v>
      </c>
      <c r="IY10" s="617">
        <v>0</v>
      </c>
      <c r="IZ10" s="617">
        <v>0</v>
      </c>
      <c r="JA10" s="617">
        <v>0</v>
      </c>
      <c r="JB10" s="617">
        <v>0</v>
      </c>
      <c r="JC10" s="617">
        <v>0</v>
      </c>
      <c r="JD10" s="617">
        <v>0</v>
      </c>
      <c r="JE10" s="617">
        <v>0</v>
      </c>
      <c r="JF10" s="617">
        <v>0</v>
      </c>
      <c r="JG10" s="617">
        <v>0</v>
      </c>
      <c r="JH10" s="617">
        <v>0</v>
      </c>
      <c r="JI10" s="617">
        <v>0</v>
      </c>
      <c r="JJ10" s="617">
        <v>0</v>
      </c>
      <c r="JK10" s="617">
        <v>0</v>
      </c>
      <c r="JL10" s="617">
        <v>0</v>
      </c>
      <c r="JM10" s="617">
        <v>0</v>
      </c>
      <c r="JN10" s="617">
        <v>0</v>
      </c>
      <c r="JO10" s="617">
        <v>0</v>
      </c>
      <c r="JP10" s="617">
        <v>0</v>
      </c>
      <c r="JQ10" s="617">
        <v>0</v>
      </c>
      <c r="JR10" s="617">
        <v>0</v>
      </c>
    </row>
    <row r="11" spans="1:278" ht="27">
      <c r="A11" s="45"/>
      <c r="B11" s="51"/>
      <c r="C11" s="326" t="s">
        <v>1758</v>
      </c>
      <c r="D11" s="26" t="s">
        <v>1759</v>
      </c>
      <c r="E11" s="49" t="s">
        <v>1760</v>
      </c>
      <c r="FE11" s="618">
        <v>0</v>
      </c>
      <c r="FF11" s="618">
        <v>0</v>
      </c>
      <c r="FG11" s="618">
        <v>0</v>
      </c>
      <c r="FH11" s="618">
        <v>0</v>
      </c>
      <c r="FI11" s="618">
        <v>0</v>
      </c>
      <c r="FJ11" s="618">
        <v>0</v>
      </c>
      <c r="FK11" s="618">
        <v>0</v>
      </c>
      <c r="FL11" s="618">
        <v>0</v>
      </c>
      <c r="FM11" s="618">
        <v>0</v>
      </c>
      <c r="FN11" s="618">
        <v>0</v>
      </c>
      <c r="FO11" s="618">
        <v>0</v>
      </c>
      <c r="FP11" s="618">
        <v>0</v>
      </c>
      <c r="FQ11" s="618">
        <v>0</v>
      </c>
      <c r="FR11" s="618">
        <v>0</v>
      </c>
      <c r="FS11" s="618">
        <v>0</v>
      </c>
      <c r="FT11" s="618">
        <v>0</v>
      </c>
      <c r="FU11" s="618">
        <v>0</v>
      </c>
      <c r="FV11" s="618">
        <v>0</v>
      </c>
      <c r="FW11" s="618">
        <v>0</v>
      </c>
      <c r="FX11" s="618">
        <v>0</v>
      </c>
      <c r="FY11" s="618">
        <v>0</v>
      </c>
      <c r="FZ11" s="618">
        <v>0</v>
      </c>
      <c r="GA11" s="618">
        <v>0</v>
      </c>
      <c r="GB11" s="618">
        <v>0</v>
      </c>
      <c r="GC11" s="618">
        <v>0</v>
      </c>
      <c r="GD11" s="618">
        <v>0</v>
      </c>
      <c r="GE11" s="618">
        <v>0</v>
      </c>
      <c r="GF11" s="618">
        <v>0</v>
      </c>
      <c r="GG11" s="618">
        <v>0</v>
      </c>
      <c r="GH11" s="618">
        <v>0</v>
      </c>
      <c r="GI11" s="618">
        <v>0</v>
      </c>
      <c r="GJ11" s="618">
        <v>0</v>
      </c>
      <c r="GK11" s="618">
        <v>0</v>
      </c>
      <c r="GL11" s="618">
        <v>0</v>
      </c>
      <c r="GM11" s="618">
        <v>0</v>
      </c>
      <c r="GN11" s="618" t="e">
        <v>#VALUE!</v>
      </c>
      <c r="GO11" s="618">
        <v>0</v>
      </c>
      <c r="GP11" s="618">
        <v>0</v>
      </c>
      <c r="GQ11" s="618">
        <v>0</v>
      </c>
      <c r="GR11" s="618">
        <v>0</v>
      </c>
      <c r="GS11" s="618">
        <v>0</v>
      </c>
      <c r="GT11" s="618">
        <v>0</v>
      </c>
      <c r="GU11" s="618">
        <v>0</v>
      </c>
      <c r="GV11" s="618">
        <v>0</v>
      </c>
      <c r="GW11" s="618">
        <v>0</v>
      </c>
      <c r="GX11" s="618">
        <v>0</v>
      </c>
      <c r="GY11" s="618">
        <v>0</v>
      </c>
      <c r="GZ11" s="618">
        <v>0</v>
      </c>
      <c r="HA11" s="618">
        <v>0</v>
      </c>
      <c r="HB11" s="618">
        <v>0</v>
      </c>
      <c r="HC11" s="618">
        <v>0</v>
      </c>
      <c r="HD11" s="618">
        <v>0</v>
      </c>
      <c r="HE11" s="618">
        <v>0</v>
      </c>
      <c r="HF11" s="618">
        <v>0</v>
      </c>
      <c r="HG11" s="618">
        <v>0</v>
      </c>
      <c r="HH11" s="618">
        <v>0</v>
      </c>
      <c r="HI11" s="618">
        <v>0</v>
      </c>
      <c r="HJ11" s="618">
        <v>0</v>
      </c>
      <c r="HK11" s="618">
        <v>0</v>
      </c>
      <c r="HL11" s="618">
        <v>0</v>
      </c>
      <c r="HM11" s="618">
        <v>0</v>
      </c>
      <c r="HN11" s="618">
        <v>0</v>
      </c>
      <c r="HO11" s="618">
        <v>0</v>
      </c>
      <c r="HP11" s="618">
        <v>0</v>
      </c>
      <c r="HQ11" s="618">
        <v>0</v>
      </c>
      <c r="HR11" s="618">
        <v>0</v>
      </c>
      <c r="HS11" s="618">
        <v>0</v>
      </c>
      <c r="HT11" s="618">
        <v>0</v>
      </c>
      <c r="HU11" s="618">
        <v>0</v>
      </c>
      <c r="HV11" s="618">
        <v>0</v>
      </c>
      <c r="HW11" s="618">
        <v>0</v>
      </c>
      <c r="HX11" s="618">
        <v>0</v>
      </c>
      <c r="HY11" s="618">
        <v>0</v>
      </c>
      <c r="HZ11" s="618">
        <v>0</v>
      </c>
      <c r="IA11" s="618">
        <v>0</v>
      </c>
      <c r="IB11" s="618">
        <v>0</v>
      </c>
      <c r="IC11" s="618">
        <v>0</v>
      </c>
      <c r="ID11" s="618">
        <v>0</v>
      </c>
      <c r="IE11" s="618">
        <v>0</v>
      </c>
      <c r="IF11" s="618">
        <v>0</v>
      </c>
      <c r="IG11" s="618">
        <v>0</v>
      </c>
      <c r="IH11" s="618">
        <v>0</v>
      </c>
      <c r="II11" s="618">
        <v>0</v>
      </c>
      <c r="IJ11" s="618">
        <v>0</v>
      </c>
      <c r="IK11" s="618">
        <v>0</v>
      </c>
      <c r="IL11" s="618">
        <v>0</v>
      </c>
      <c r="IM11" s="618">
        <v>0</v>
      </c>
      <c r="IN11" s="618">
        <v>0</v>
      </c>
      <c r="IO11" s="618">
        <v>0</v>
      </c>
      <c r="IP11" s="618">
        <v>0</v>
      </c>
      <c r="IQ11" s="618">
        <v>0</v>
      </c>
      <c r="IR11" s="618">
        <v>0</v>
      </c>
      <c r="IS11" s="618">
        <v>0</v>
      </c>
      <c r="IT11" s="618">
        <v>0</v>
      </c>
      <c r="IU11" s="618">
        <v>0</v>
      </c>
      <c r="IV11" s="618">
        <v>0</v>
      </c>
      <c r="IW11" s="618">
        <v>0</v>
      </c>
      <c r="IX11" s="618">
        <v>0</v>
      </c>
      <c r="IY11" s="618">
        <v>0</v>
      </c>
      <c r="IZ11" s="618">
        <v>0</v>
      </c>
      <c r="JA11" s="618">
        <v>0</v>
      </c>
      <c r="JB11" s="618">
        <v>0</v>
      </c>
      <c r="JC11" s="618">
        <v>0</v>
      </c>
      <c r="JD11" s="618">
        <v>0</v>
      </c>
      <c r="JE11" s="618">
        <v>0</v>
      </c>
      <c r="JF11" s="618">
        <v>0</v>
      </c>
      <c r="JG11" s="618">
        <v>0</v>
      </c>
      <c r="JH11" s="618">
        <v>0</v>
      </c>
      <c r="JI11" s="618">
        <v>0</v>
      </c>
      <c r="JJ11" s="618">
        <v>0</v>
      </c>
      <c r="JK11" s="618">
        <v>0</v>
      </c>
      <c r="JL11" s="618">
        <v>0</v>
      </c>
      <c r="JM11" s="618">
        <v>0</v>
      </c>
      <c r="JN11" s="618">
        <v>0</v>
      </c>
      <c r="JO11" s="618">
        <v>0</v>
      </c>
      <c r="JP11" s="618">
        <v>0</v>
      </c>
      <c r="JQ11" s="618">
        <v>0</v>
      </c>
      <c r="JR11" s="618">
        <v>0</v>
      </c>
    </row>
    <row r="12" spans="1:278" ht="18.75" thickBot="1">
      <c r="A12" s="701" t="s">
        <v>254</v>
      </c>
      <c r="B12" s="702"/>
      <c r="C12" s="703"/>
      <c r="D12" s="324" t="s">
        <v>136</v>
      </c>
      <c r="E12" s="324" t="s">
        <v>137</v>
      </c>
      <c r="FE12" s="616" t="s">
        <v>267</v>
      </c>
      <c r="FF12" s="616" t="s">
        <v>267</v>
      </c>
      <c r="FG12" s="616" t="s">
        <v>267</v>
      </c>
      <c r="FH12" s="616" t="s">
        <v>267</v>
      </c>
      <c r="FI12" s="616" t="s">
        <v>267</v>
      </c>
      <c r="FJ12" s="616" t="s">
        <v>267</v>
      </c>
      <c r="FK12" s="616" t="s">
        <v>267</v>
      </c>
      <c r="FL12" s="616" t="s">
        <v>267</v>
      </c>
      <c r="FM12" s="616" t="s">
        <v>267</v>
      </c>
      <c r="FN12" s="616" t="s">
        <v>267</v>
      </c>
      <c r="FO12" s="616" t="s">
        <v>267</v>
      </c>
      <c r="FP12" s="616" t="s">
        <v>267</v>
      </c>
      <c r="FQ12" s="616" t="s">
        <v>267</v>
      </c>
      <c r="FR12" s="616" t="s">
        <v>267</v>
      </c>
      <c r="FS12" s="616" t="s">
        <v>267</v>
      </c>
      <c r="FT12" s="616" t="s">
        <v>267</v>
      </c>
      <c r="FU12" s="616" t="s">
        <v>267</v>
      </c>
      <c r="FV12" s="616" t="s">
        <v>267</v>
      </c>
      <c r="FW12" s="616" t="s">
        <v>267</v>
      </c>
      <c r="FX12" s="616" t="s">
        <v>267</v>
      </c>
      <c r="FY12" s="616" t="s">
        <v>267</v>
      </c>
      <c r="FZ12" s="616" t="s">
        <v>267</v>
      </c>
      <c r="GA12" s="616" t="s">
        <v>267</v>
      </c>
      <c r="GB12" s="616" t="s">
        <v>267</v>
      </c>
      <c r="GC12" s="616" t="s">
        <v>267</v>
      </c>
      <c r="GD12" s="616" t="s">
        <v>267</v>
      </c>
      <c r="GE12" s="616" t="s">
        <v>267</v>
      </c>
      <c r="GF12" s="616" t="s">
        <v>267</v>
      </c>
      <c r="GG12" s="616" t="s">
        <v>267</v>
      </c>
      <c r="GH12" s="616" t="s">
        <v>267</v>
      </c>
      <c r="GI12" s="616" t="s">
        <v>267</v>
      </c>
      <c r="GJ12" s="616" t="s">
        <v>267</v>
      </c>
      <c r="GK12" s="616" t="s">
        <v>267</v>
      </c>
      <c r="GL12" s="616" t="s">
        <v>267</v>
      </c>
      <c r="GM12" s="616" t="s">
        <v>267</v>
      </c>
      <c r="GN12" s="616" t="s">
        <v>267</v>
      </c>
      <c r="GO12" s="616" t="s">
        <v>267</v>
      </c>
      <c r="GP12" s="616" t="s">
        <v>267</v>
      </c>
      <c r="GQ12" s="616" t="s">
        <v>267</v>
      </c>
      <c r="GR12" s="616" t="s">
        <v>267</v>
      </c>
      <c r="GS12" s="616" t="s">
        <v>267</v>
      </c>
      <c r="GT12" s="616" t="s">
        <v>267</v>
      </c>
      <c r="GU12" s="616" t="s">
        <v>267</v>
      </c>
      <c r="GV12" s="616" t="s">
        <v>267</v>
      </c>
      <c r="GW12" s="616" t="s">
        <v>267</v>
      </c>
      <c r="GX12" s="616" t="s">
        <v>267</v>
      </c>
      <c r="GY12" s="616" t="s">
        <v>267</v>
      </c>
      <c r="GZ12" s="616" t="s">
        <v>267</v>
      </c>
      <c r="HA12" s="616" t="s">
        <v>267</v>
      </c>
      <c r="HB12" s="616" t="s">
        <v>267</v>
      </c>
      <c r="HC12" s="616" t="s">
        <v>267</v>
      </c>
      <c r="HD12" s="616" t="s">
        <v>267</v>
      </c>
      <c r="HE12" s="616" t="s">
        <v>267</v>
      </c>
      <c r="HF12" s="616" t="s">
        <v>267</v>
      </c>
      <c r="HG12" s="616" t="s">
        <v>267</v>
      </c>
      <c r="HH12" s="616" t="s">
        <v>267</v>
      </c>
      <c r="HI12" s="616" t="s">
        <v>267</v>
      </c>
      <c r="HJ12" s="616" t="s">
        <v>267</v>
      </c>
      <c r="HK12" s="616" t="s">
        <v>267</v>
      </c>
      <c r="HL12" s="616" t="s">
        <v>267</v>
      </c>
      <c r="HM12" s="616" t="s">
        <v>267</v>
      </c>
      <c r="HN12" s="616" t="s">
        <v>267</v>
      </c>
      <c r="HO12" s="616" t="s">
        <v>267</v>
      </c>
      <c r="HP12" s="616" t="s">
        <v>267</v>
      </c>
      <c r="HQ12" s="616" t="s">
        <v>267</v>
      </c>
      <c r="HR12" s="616" t="s">
        <v>267</v>
      </c>
      <c r="HS12" s="616" t="s">
        <v>267</v>
      </c>
      <c r="HT12" s="616" t="s">
        <v>267</v>
      </c>
      <c r="HU12" s="616" t="s">
        <v>267</v>
      </c>
      <c r="HV12" s="616" t="s">
        <v>267</v>
      </c>
      <c r="HW12" s="616" t="s">
        <v>267</v>
      </c>
      <c r="HX12" s="616" t="s">
        <v>267</v>
      </c>
      <c r="HY12" s="616" t="s">
        <v>267</v>
      </c>
      <c r="HZ12" s="616" t="s">
        <v>267</v>
      </c>
      <c r="IA12" s="616" t="s">
        <v>267</v>
      </c>
      <c r="IB12" s="616" t="s">
        <v>267</v>
      </c>
      <c r="IC12" s="616" t="s">
        <v>267</v>
      </c>
      <c r="ID12" s="616" t="s">
        <v>267</v>
      </c>
      <c r="IE12" s="616" t="s">
        <v>267</v>
      </c>
      <c r="IF12" s="616" t="s">
        <v>267</v>
      </c>
      <c r="IG12" s="616" t="s">
        <v>267</v>
      </c>
      <c r="IH12" s="616" t="s">
        <v>267</v>
      </c>
      <c r="II12" s="616" t="s">
        <v>267</v>
      </c>
      <c r="IJ12" s="616" t="s">
        <v>267</v>
      </c>
      <c r="IK12" s="616" t="s">
        <v>267</v>
      </c>
      <c r="IL12" s="616" t="s">
        <v>267</v>
      </c>
      <c r="IM12" s="616" t="s">
        <v>267</v>
      </c>
      <c r="IN12" s="616" t="s">
        <v>267</v>
      </c>
      <c r="IO12" s="616" t="s">
        <v>267</v>
      </c>
      <c r="IP12" s="616" t="s">
        <v>267</v>
      </c>
      <c r="IQ12" s="616" t="s">
        <v>267</v>
      </c>
      <c r="IR12" s="616" t="s">
        <v>267</v>
      </c>
      <c r="IS12" s="616" t="s">
        <v>267</v>
      </c>
      <c r="IT12" s="616" t="s">
        <v>267</v>
      </c>
      <c r="IU12" s="616" t="s">
        <v>267</v>
      </c>
      <c r="IV12" s="616" t="s">
        <v>267</v>
      </c>
      <c r="IW12" s="616" t="s">
        <v>267</v>
      </c>
      <c r="IX12" s="616" t="s">
        <v>267</v>
      </c>
      <c r="IY12" s="616" t="s">
        <v>267</v>
      </c>
      <c r="IZ12" s="616" t="s">
        <v>267</v>
      </c>
      <c r="JA12" s="616" t="s">
        <v>267</v>
      </c>
      <c r="JB12" s="616" t="s">
        <v>267</v>
      </c>
      <c r="JC12" s="616" t="s">
        <v>267</v>
      </c>
      <c r="JD12" s="616" t="s">
        <v>267</v>
      </c>
      <c r="JE12" s="616" t="s">
        <v>267</v>
      </c>
      <c r="JF12" s="616" t="s">
        <v>267</v>
      </c>
      <c r="JG12" s="616" t="s">
        <v>267</v>
      </c>
      <c r="JH12" s="616" t="s">
        <v>267</v>
      </c>
      <c r="JI12" s="616" t="s">
        <v>267</v>
      </c>
      <c r="JJ12" s="616" t="s">
        <v>267</v>
      </c>
      <c r="JK12" s="616" t="s">
        <v>267</v>
      </c>
      <c r="JL12" s="616" t="s">
        <v>267</v>
      </c>
      <c r="JM12" s="616" t="s">
        <v>267</v>
      </c>
      <c r="JN12" s="616" t="s">
        <v>267</v>
      </c>
      <c r="JO12" s="616" t="s">
        <v>267</v>
      </c>
      <c r="JP12" s="616" t="s">
        <v>267</v>
      </c>
      <c r="JQ12" s="616" t="s">
        <v>267</v>
      </c>
      <c r="JR12" s="616" t="s">
        <v>267</v>
      </c>
    </row>
    <row r="13" spans="1:278" ht="16.5" thickTop="1" thickBot="1">
      <c r="A13" s="45"/>
      <c r="B13" s="98" t="s">
        <v>121</v>
      </c>
      <c r="C13" s="36"/>
      <c r="D13" s="26"/>
      <c r="E13" s="26" t="s">
        <v>223</v>
      </c>
      <c r="FE13" s="353" t="s">
        <v>48</v>
      </c>
      <c r="FF13" s="353" t="s">
        <v>987</v>
      </c>
      <c r="FG13" s="353" t="s">
        <v>989</v>
      </c>
      <c r="FH13" s="353" t="s">
        <v>993</v>
      </c>
      <c r="FI13" s="353" t="s">
        <v>997</v>
      </c>
      <c r="FJ13" s="353" t="s">
        <v>1001</v>
      </c>
      <c r="FK13" s="353" t="s">
        <v>2067</v>
      </c>
      <c r="FL13" s="353" t="s">
        <v>1003</v>
      </c>
      <c r="FM13" s="353" t="s">
        <v>1005</v>
      </c>
      <c r="FN13" s="353" t="s">
        <v>1019</v>
      </c>
      <c r="FO13" s="353" t="s">
        <v>1023</v>
      </c>
      <c r="FP13" s="353" t="s">
        <v>1025</v>
      </c>
      <c r="FQ13" s="353" t="s">
        <v>2194</v>
      </c>
      <c r="FR13" s="353" t="s">
        <v>113</v>
      </c>
      <c r="FS13" s="353" t="s">
        <v>1083</v>
      </c>
      <c r="FT13" s="353" t="s">
        <v>104</v>
      </c>
      <c r="FU13" s="353" t="s">
        <v>1092</v>
      </c>
      <c r="FV13" s="353" t="s">
        <v>1101</v>
      </c>
      <c r="FW13" s="353" t="s">
        <v>1103</v>
      </c>
      <c r="FX13" s="353" t="s">
        <v>1105</v>
      </c>
      <c r="FY13" s="353" t="s">
        <v>1107</v>
      </c>
      <c r="FZ13" s="353" t="s">
        <v>1109</v>
      </c>
      <c r="GA13" s="353" t="s">
        <v>1825</v>
      </c>
      <c r="GB13" s="353" t="s">
        <v>1111</v>
      </c>
      <c r="GC13" s="353" t="s">
        <v>1113</v>
      </c>
      <c r="GD13" s="353" t="s">
        <v>1115</v>
      </c>
      <c r="GE13" s="353" t="s">
        <v>1121</v>
      </c>
      <c r="GF13" s="353" t="s">
        <v>1125</v>
      </c>
      <c r="GG13" s="353" t="s">
        <v>1137</v>
      </c>
      <c r="GH13" s="353" t="s">
        <v>2155</v>
      </c>
      <c r="GI13" s="353" t="s">
        <v>169</v>
      </c>
      <c r="GJ13" s="353" t="s">
        <v>1147</v>
      </c>
      <c r="GK13" s="353" t="s">
        <v>1153</v>
      </c>
      <c r="GL13" s="353" t="s">
        <v>1155</v>
      </c>
      <c r="GM13" s="353" t="s">
        <v>1167</v>
      </c>
      <c r="GN13" s="353" t="s">
        <v>1169</v>
      </c>
      <c r="GO13" s="353" t="s">
        <v>74</v>
      </c>
      <c r="GP13" s="353" t="s">
        <v>1174</v>
      </c>
      <c r="GQ13" s="353" t="s">
        <v>83</v>
      </c>
      <c r="GR13" s="353" t="s">
        <v>1202</v>
      </c>
      <c r="GS13" s="353" t="s">
        <v>170</v>
      </c>
      <c r="GT13" s="353" t="s">
        <v>1217</v>
      </c>
      <c r="GU13" s="353" t="s">
        <v>1209</v>
      </c>
      <c r="GV13" s="353" t="s">
        <v>1221</v>
      </c>
      <c r="GW13" s="353" t="s">
        <v>174</v>
      </c>
      <c r="GX13" s="353" t="s">
        <v>1234</v>
      </c>
      <c r="GY13" s="353" t="s">
        <v>1256</v>
      </c>
      <c r="GZ13" s="353" t="s">
        <v>1260</v>
      </c>
      <c r="HA13" s="353" t="s">
        <v>1264</v>
      </c>
      <c r="HB13" s="353" t="s">
        <v>1746</v>
      </c>
      <c r="HC13" s="353" t="s">
        <v>1747</v>
      </c>
      <c r="HD13" s="353" t="s">
        <v>1745</v>
      </c>
      <c r="HE13" s="353" t="s">
        <v>1744</v>
      </c>
      <c r="HF13" s="353" t="s">
        <v>1748</v>
      </c>
      <c r="HG13" s="353" t="s">
        <v>1266</v>
      </c>
      <c r="HH13" s="353" t="s">
        <v>1268</v>
      </c>
      <c r="HI13" s="353" t="s">
        <v>1272</v>
      </c>
      <c r="HJ13" s="353" t="s">
        <v>2159</v>
      </c>
      <c r="HK13" s="353" t="s">
        <v>1293</v>
      </c>
      <c r="HL13" s="353" t="s">
        <v>1297</v>
      </c>
      <c r="HM13" s="353" t="s">
        <v>1301</v>
      </c>
      <c r="HN13" s="353" t="s">
        <v>1400</v>
      </c>
      <c r="HO13" s="353" t="s">
        <v>1412</v>
      </c>
      <c r="HP13" s="353" t="s">
        <v>1420</v>
      </c>
      <c r="HQ13" s="353" t="s">
        <v>1422</v>
      </c>
      <c r="HR13" s="353" t="s">
        <v>1424</v>
      </c>
      <c r="HS13" s="353" t="s">
        <v>1430</v>
      </c>
      <c r="HT13" s="353" t="s">
        <v>1432</v>
      </c>
      <c r="HU13" s="353" t="s">
        <v>106</v>
      </c>
      <c r="HV13" s="353" t="s">
        <v>1436</v>
      </c>
      <c r="HW13" s="353" t="s">
        <v>1445</v>
      </c>
      <c r="HX13" s="353" t="s">
        <v>85</v>
      </c>
      <c r="HY13" s="353" t="s">
        <v>2162</v>
      </c>
      <c r="HZ13" s="353" t="s">
        <v>2149</v>
      </c>
      <c r="IA13" s="353" t="s">
        <v>1499</v>
      </c>
      <c r="IB13" s="353" t="s">
        <v>1505</v>
      </c>
      <c r="IC13" s="353" t="s">
        <v>1749</v>
      </c>
      <c r="ID13" s="353" t="s">
        <v>150</v>
      </c>
      <c r="IE13" s="353" t="s">
        <v>152</v>
      </c>
      <c r="IF13" s="353" t="s">
        <v>105</v>
      </c>
      <c r="IG13" s="353" t="s">
        <v>1512</v>
      </c>
      <c r="IH13" s="353" t="s">
        <v>2158</v>
      </c>
      <c r="II13" s="353" t="s">
        <v>1516</v>
      </c>
      <c r="IJ13" s="353" t="s">
        <v>2066</v>
      </c>
      <c r="IK13" s="353" t="s">
        <v>1912</v>
      </c>
      <c r="IL13" s="353" t="s">
        <v>1914</v>
      </c>
      <c r="IM13" s="353" t="s">
        <v>2161</v>
      </c>
      <c r="IN13" s="353" t="s">
        <v>1534</v>
      </c>
      <c r="IO13" s="353" t="s">
        <v>95</v>
      </c>
      <c r="IP13" s="353" t="s">
        <v>1545</v>
      </c>
      <c r="IQ13" s="353" t="s">
        <v>1549</v>
      </c>
      <c r="IR13" s="353" t="s">
        <v>153</v>
      </c>
      <c r="IS13" s="353" t="s">
        <v>1563</v>
      </c>
      <c r="IT13" s="353" t="s">
        <v>158</v>
      </c>
      <c r="IU13" s="353" t="s">
        <v>151</v>
      </c>
      <c r="IV13" s="353" t="s">
        <v>154</v>
      </c>
      <c r="IW13" s="353" t="s">
        <v>68</v>
      </c>
      <c r="IX13" s="353" t="s">
        <v>61</v>
      </c>
      <c r="IY13" s="353" t="s">
        <v>1578</v>
      </c>
      <c r="IZ13" s="353" t="s">
        <v>157</v>
      </c>
      <c r="JA13" s="353" t="s">
        <v>1581</v>
      </c>
      <c r="JB13" s="353" t="s">
        <v>1585</v>
      </c>
      <c r="JC13" s="353" t="s">
        <v>2195</v>
      </c>
      <c r="JD13" s="353" t="s">
        <v>1587</v>
      </c>
      <c r="JE13" s="353" t="s">
        <v>1924</v>
      </c>
      <c r="JF13" s="353" t="s">
        <v>159</v>
      </c>
      <c r="JG13" s="353" t="s">
        <v>163</v>
      </c>
      <c r="JH13" s="353" t="s">
        <v>2196</v>
      </c>
      <c r="JI13" s="353" t="s">
        <v>1543</v>
      </c>
      <c r="JJ13" s="353" t="s">
        <v>2197</v>
      </c>
      <c r="JK13" s="353" t="s">
        <v>1612</v>
      </c>
      <c r="JL13" s="353" t="s">
        <v>1616</v>
      </c>
      <c r="JM13" s="353" t="s">
        <v>1618</v>
      </c>
      <c r="JN13" s="353" t="s">
        <v>1620</v>
      </c>
      <c r="JO13" s="353" t="s">
        <v>171</v>
      </c>
      <c r="JP13" s="353" t="s">
        <v>175</v>
      </c>
      <c r="JQ13" s="353" t="s">
        <v>1625</v>
      </c>
      <c r="JR13" s="353" t="s">
        <v>1928</v>
      </c>
    </row>
    <row r="14" spans="1:278" ht="27.75" thickTop="1">
      <c r="A14" s="47"/>
      <c r="B14" s="36"/>
      <c r="C14" s="170" t="s">
        <v>1</v>
      </c>
      <c r="D14" s="26"/>
      <c r="E14" s="26" t="s">
        <v>114</v>
      </c>
      <c r="FE14" s="617" t="s">
        <v>982</v>
      </c>
      <c r="FF14" s="617" t="s">
        <v>988</v>
      </c>
      <c r="FG14" s="617" t="s">
        <v>990</v>
      </c>
      <c r="FH14" s="617" t="s">
        <v>994</v>
      </c>
      <c r="FI14" s="617" t="s">
        <v>998</v>
      </c>
      <c r="FJ14" s="617" t="s">
        <v>1002</v>
      </c>
      <c r="FK14" s="617" t="s">
        <v>651</v>
      </c>
      <c r="FL14" s="617" t="s">
        <v>1004</v>
      </c>
      <c r="FM14" s="617" t="s">
        <v>1006</v>
      </c>
      <c r="FN14" s="617" t="s">
        <v>1020</v>
      </c>
      <c r="FO14" s="617" t="s">
        <v>1024</v>
      </c>
      <c r="FP14" s="617" t="s">
        <v>1026</v>
      </c>
      <c r="FQ14" s="617" t="s">
        <v>2199</v>
      </c>
      <c r="FR14" s="617" t="s">
        <v>1077</v>
      </c>
      <c r="FS14" s="617" t="s">
        <v>1084</v>
      </c>
      <c r="FT14" s="617" t="s">
        <v>1089</v>
      </c>
      <c r="FU14" s="617" t="s">
        <v>1093</v>
      </c>
      <c r="FV14" s="617" t="s">
        <v>1102</v>
      </c>
      <c r="FW14" s="617" t="s">
        <v>1104</v>
      </c>
      <c r="FX14" s="617" t="s">
        <v>1106</v>
      </c>
      <c r="FY14" s="617" t="s">
        <v>1108</v>
      </c>
      <c r="FZ14" s="617" t="s">
        <v>1110</v>
      </c>
      <c r="GA14" s="617" t="s">
        <v>1826</v>
      </c>
      <c r="GB14" s="617" t="s">
        <v>1112</v>
      </c>
      <c r="GC14" s="617" t="s">
        <v>1114</v>
      </c>
      <c r="GD14" s="617" t="s">
        <v>1116</v>
      </c>
      <c r="GE14" s="617" t="s">
        <v>1122</v>
      </c>
      <c r="GF14" s="617" t="s">
        <v>1126</v>
      </c>
      <c r="GG14" s="617" t="s">
        <v>1138</v>
      </c>
      <c r="GH14" s="617" t="s">
        <v>1388</v>
      </c>
      <c r="GI14" s="617" t="s">
        <v>1390</v>
      </c>
      <c r="GJ14" s="617" t="s">
        <v>1148</v>
      </c>
      <c r="GK14" s="617" t="s">
        <v>1154</v>
      </c>
      <c r="GL14" s="617" t="s">
        <v>1156</v>
      </c>
      <c r="GM14" s="617" t="s">
        <v>1168</v>
      </c>
      <c r="GN14" s="617" t="s">
        <v>2165</v>
      </c>
      <c r="GO14" s="617" t="s">
        <v>1392</v>
      </c>
      <c r="GP14" s="617" t="s">
        <v>1175</v>
      </c>
      <c r="GQ14" s="617" t="s">
        <v>1191</v>
      </c>
      <c r="GR14" s="617" t="s">
        <v>1203</v>
      </c>
      <c r="GS14" s="617" t="s">
        <v>1204</v>
      </c>
      <c r="GT14" s="617" t="s">
        <v>1218</v>
      </c>
      <c r="GU14" s="617" t="s">
        <v>1210</v>
      </c>
      <c r="GV14" s="617" t="s">
        <v>1222</v>
      </c>
      <c r="GW14" s="617" t="s">
        <v>1231</v>
      </c>
      <c r="GX14" s="617" t="s">
        <v>1235</v>
      </c>
      <c r="GY14" s="617" t="s">
        <v>1257</v>
      </c>
      <c r="GZ14" s="617" t="s">
        <v>1261</v>
      </c>
      <c r="HA14" s="617" t="s">
        <v>1265</v>
      </c>
      <c r="HB14" s="617" t="s">
        <v>1343</v>
      </c>
      <c r="HC14" s="617" t="s">
        <v>1345</v>
      </c>
      <c r="HD14" s="617" t="s">
        <v>1341</v>
      </c>
      <c r="HE14" s="617" t="s">
        <v>1339</v>
      </c>
      <c r="HF14" s="617" t="s">
        <v>1347</v>
      </c>
      <c r="HG14" s="617" t="s">
        <v>1267</v>
      </c>
      <c r="HH14" s="617" t="s">
        <v>1269</v>
      </c>
      <c r="HI14" s="617" t="s">
        <v>1273</v>
      </c>
      <c r="HJ14" s="617" t="s">
        <v>2164</v>
      </c>
      <c r="HK14" s="617" t="s">
        <v>1294</v>
      </c>
      <c r="HL14" s="617" t="s">
        <v>1298</v>
      </c>
      <c r="HM14" s="617" t="s">
        <v>1302</v>
      </c>
      <c r="HN14" s="617" t="s">
        <v>1401</v>
      </c>
      <c r="HO14" s="617" t="s">
        <v>1413</v>
      </c>
      <c r="HP14" s="617" t="s">
        <v>1421</v>
      </c>
      <c r="HQ14" s="617" t="s">
        <v>1423</v>
      </c>
      <c r="HR14" s="617" t="s">
        <v>1425</v>
      </c>
      <c r="HS14" s="617" t="s">
        <v>1431</v>
      </c>
      <c r="HT14" s="617" t="s">
        <v>1433</v>
      </c>
      <c r="HU14" s="617" t="s">
        <v>1396</v>
      </c>
      <c r="HV14" s="617" t="s">
        <v>1437</v>
      </c>
      <c r="HW14" s="617" t="s">
        <v>1446</v>
      </c>
      <c r="HX14" s="617" t="s">
        <v>1485</v>
      </c>
      <c r="HY14" s="617" t="s">
        <v>2166</v>
      </c>
      <c r="HZ14" s="617" t="s">
        <v>834</v>
      </c>
      <c r="IA14" s="617" t="s">
        <v>1500</v>
      </c>
      <c r="IB14" s="617" t="s">
        <v>1506</v>
      </c>
      <c r="IC14" s="617" t="s">
        <v>1355</v>
      </c>
      <c r="ID14" s="617" t="s">
        <v>1507</v>
      </c>
      <c r="IE14" s="617" t="s">
        <v>1508</v>
      </c>
      <c r="IF14" s="617" t="s">
        <v>1509</v>
      </c>
      <c r="IG14" s="617" t="s">
        <v>1513</v>
      </c>
      <c r="IH14" s="617" t="s">
        <v>1043</v>
      </c>
      <c r="II14" s="617" t="s">
        <v>1517</v>
      </c>
      <c r="IJ14" s="617" t="s">
        <v>1820</v>
      </c>
      <c r="IK14" s="617" t="s">
        <v>1913</v>
      </c>
      <c r="IL14" s="617" t="s">
        <v>1915</v>
      </c>
      <c r="IM14" s="617" t="s">
        <v>660</v>
      </c>
      <c r="IN14" s="617" t="s">
        <v>1535</v>
      </c>
      <c r="IO14" s="617" t="s">
        <v>1536</v>
      </c>
      <c r="IP14" s="617" t="s">
        <v>1546</v>
      </c>
      <c r="IQ14" s="617" t="s">
        <v>1550</v>
      </c>
      <c r="IR14" s="617" t="s">
        <v>1556</v>
      </c>
      <c r="IS14" s="617" t="s">
        <v>1564</v>
      </c>
      <c r="IT14" s="617" t="s">
        <v>1565</v>
      </c>
      <c r="IU14" s="617" t="s">
        <v>1566</v>
      </c>
      <c r="IV14" s="617" t="s">
        <v>1567</v>
      </c>
      <c r="IW14" s="617" t="s">
        <v>1568</v>
      </c>
      <c r="IX14" s="617" t="s">
        <v>1569</v>
      </c>
      <c r="IY14" s="617" t="s">
        <v>1579</v>
      </c>
      <c r="IZ14" s="617" t="s">
        <v>1580</v>
      </c>
      <c r="JA14" s="617" t="s">
        <v>1582</v>
      </c>
      <c r="JB14" s="617" t="s">
        <v>1586</v>
      </c>
      <c r="JC14" s="617" t="s">
        <v>2200</v>
      </c>
      <c r="JD14" s="617" t="s">
        <v>1588</v>
      </c>
      <c r="JE14" s="617" t="s">
        <v>1925</v>
      </c>
      <c r="JF14" s="617" t="s">
        <v>1591</v>
      </c>
      <c r="JG14" s="617" t="s">
        <v>1592</v>
      </c>
      <c r="JH14" s="617" t="s">
        <v>2201</v>
      </c>
      <c r="JI14" s="617" t="s">
        <v>1544</v>
      </c>
      <c r="JJ14" s="617" t="s">
        <v>2202</v>
      </c>
      <c r="JK14" s="617" t="s">
        <v>1613</v>
      </c>
      <c r="JL14" s="617" t="s">
        <v>1617</v>
      </c>
      <c r="JM14" s="617" t="s">
        <v>1619</v>
      </c>
      <c r="JN14" s="617" t="s">
        <v>1621</v>
      </c>
      <c r="JO14" s="617" t="s">
        <v>1627</v>
      </c>
      <c r="JP14" s="617" t="s">
        <v>1628</v>
      </c>
      <c r="JQ14" s="617" t="s">
        <v>1626</v>
      </c>
      <c r="JR14" s="617" t="s">
        <v>1624</v>
      </c>
    </row>
    <row r="15" spans="1:278" ht="15">
      <c r="A15" s="41" t="s">
        <v>210</v>
      </c>
      <c r="B15" s="36"/>
      <c r="C15" s="170"/>
      <c r="D15" s="49"/>
      <c r="E15" s="49"/>
      <c r="FE15" s="619"/>
      <c r="FF15" s="619"/>
      <c r="FG15" s="619"/>
      <c r="FH15" s="619"/>
      <c r="FI15" s="619"/>
      <c r="FJ15" s="619"/>
      <c r="FK15" s="619"/>
      <c r="FL15" s="619"/>
      <c r="FM15" s="619"/>
      <c r="FN15" s="619"/>
      <c r="FO15" s="619"/>
      <c r="FP15" s="619"/>
      <c r="FQ15" s="619"/>
      <c r="FR15" s="619"/>
      <c r="FS15" s="619"/>
      <c r="FT15" s="619"/>
      <c r="FU15" s="619"/>
      <c r="FV15" s="619"/>
      <c r="FW15" s="619"/>
      <c r="FX15" s="619"/>
      <c r="FY15" s="619"/>
      <c r="FZ15" s="619"/>
      <c r="GA15" s="619"/>
      <c r="GB15" s="619"/>
      <c r="GC15" s="619"/>
      <c r="GD15" s="619"/>
      <c r="GE15" s="619"/>
      <c r="GF15" s="619"/>
      <c r="GG15" s="619"/>
      <c r="GH15" s="619"/>
      <c r="GI15" s="619"/>
      <c r="GJ15" s="619"/>
      <c r="GK15" s="619"/>
      <c r="GL15" s="619"/>
      <c r="GM15" s="619"/>
      <c r="GN15" s="619"/>
      <c r="GO15" s="619"/>
      <c r="GP15" s="619"/>
      <c r="GQ15" s="619"/>
      <c r="GR15" s="619"/>
      <c r="GS15" s="619"/>
      <c r="GT15" s="619"/>
      <c r="GU15" s="619"/>
      <c r="GV15" s="619"/>
      <c r="GW15" s="619"/>
      <c r="GX15" s="619"/>
      <c r="GY15" s="619"/>
      <c r="GZ15" s="619"/>
      <c r="HA15" s="619"/>
      <c r="HB15" s="619"/>
      <c r="HC15" s="619"/>
      <c r="HD15" s="619"/>
      <c r="HE15" s="619"/>
      <c r="HF15" s="619"/>
      <c r="HG15" s="619"/>
      <c r="HH15" s="619"/>
      <c r="HI15" s="619"/>
      <c r="HJ15" s="619"/>
      <c r="HK15" s="619"/>
      <c r="HL15" s="619"/>
      <c r="HM15" s="619"/>
      <c r="HN15" s="619"/>
      <c r="HO15" s="619"/>
      <c r="HP15" s="619"/>
      <c r="HQ15" s="619"/>
      <c r="HR15" s="619"/>
      <c r="HS15" s="619"/>
      <c r="HT15" s="619"/>
      <c r="HU15" s="619"/>
      <c r="HV15" s="619"/>
      <c r="HW15" s="619"/>
      <c r="HX15" s="619"/>
      <c r="HY15" s="619"/>
      <c r="HZ15" s="619"/>
      <c r="IA15" s="619"/>
      <c r="IB15" s="619"/>
      <c r="IC15" s="619"/>
      <c r="ID15" s="619"/>
      <c r="IE15" s="619"/>
      <c r="IF15" s="619"/>
      <c r="IG15" s="619"/>
      <c r="IH15" s="619"/>
      <c r="II15" s="619"/>
      <c r="IJ15" s="619"/>
      <c r="IK15" s="619"/>
      <c r="IL15" s="619"/>
      <c r="IM15" s="619"/>
      <c r="IN15" s="619"/>
      <c r="IO15" s="619"/>
      <c r="IP15" s="619"/>
      <c r="IQ15" s="619"/>
      <c r="IR15" s="619"/>
      <c r="IS15" s="619"/>
      <c r="IT15" s="619"/>
      <c r="IU15" s="619"/>
      <c r="IV15" s="619"/>
      <c r="IW15" s="619"/>
      <c r="IX15" s="619"/>
      <c r="IY15" s="619"/>
      <c r="IZ15" s="619"/>
      <c r="JA15" s="619"/>
      <c r="JB15" s="619"/>
      <c r="JC15" s="619"/>
      <c r="JD15" s="619"/>
      <c r="JE15" s="619"/>
      <c r="JF15" s="619"/>
      <c r="JG15" s="619"/>
      <c r="JH15" s="619"/>
      <c r="JI15" s="619"/>
      <c r="JJ15" s="619"/>
      <c r="JK15" s="619"/>
      <c r="JL15" s="619"/>
      <c r="JM15" s="619"/>
      <c r="JN15" s="619"/>
      <c r="JO15" s="619"/>
      <c r="JP15" s="619"/>
      <c r="JQ15" s="619"/>
      <c r="JR15" s="619"/>
    </row>
    <row r="16" spans="1:278" ht="40.5">
      <c r="A16" s="47"/>
      <c r="B16" s="68" t="s">
        <v>119</v>
      </c>
      <c r="C16" s="68"/>
      <c r="D16" s="49" t="s">
        <v>330</v>
      </c>
      <c r="E16" s="49" t="s">
        <v>2191</v>
      </c>
      <c r="FE16" s="354">
        <v>1.1E-5</v>
      </c>
      <c r="FF16" s="354" t="s">
        <v>2203</v>
      </c>
      <c r="FG16" s="354" t="s">
        <v>2203</v>
      </c>
      <c r="FH16" s="354" t="s">
        <v>2203</v>
      </c>
      <c r="FI16" s="354">
        <v>4.8999999999999998E-3</v>
      </c>
      <c r="FJ16" s="354" t="s">
        <v>2203</v>
      </c>
      <c r="FK16" s="354" t="s">
        <v>2203</v>
      </c>
      <c r="FL16" s="354" t="s">
        <v>2203</v>
      </c>
      <c r="FM16" s="354" t="s">
        <v>2203</v>
      </c>
      <c r="FN16" s="354" t="s">
        <v>2203</v>
      </c>
      <c r="FO16" s="354" t="s">
        <v>2203</v>
      </c>
      <c r="FP16" s="354" t="s">
        <v>2203</v>
      </c>
      <c r="FQ16" s="354" t="s">
        <v>2203</v>
      </c>
      <c r="FR16" s="354" t="s">
        <v>2203</v>
      </c>
      <c r="FS16" s="354" t="s">
        <v>2203</v>
      </c>
      <c r="FT16" s="354" t="s">
        <v>2203</v>
      </c>
      <c r="FU16" s="354" t="s">
        <v>2203</v>
      </c>
      <c r="FV16" s="354" t="s">
        <v>2203</v>
      </c>
      <c r="FW16" s="354" t="s">
        <v>2203</v>
      </c>
      <c r="FX16" s="354" t="s">
        <v>2203</v>
      </c>
      <c r="FY16" s="354" t="s">
        <v>2203</v>
      </c>
      <c r="FZ16" s="354" t="s">
        <v>2203</v>
      </c>
      <c r="GA16" s="354">
        <v>1E-3</v>
      </c>
      <c r="GB16" s="354" t="s">
        <v>2203</v>
      </c>
      <c r="GC16" s="354" t="s">
        <v>2203</v>
      </c>
      <c r="GD16" s="354" t="s">
        <v>2203</v>
      </c>
      <c r="GE16" s="354" t="s">
        <v>2203</v>
      </c>
      <c r="GF16" s="354">
        <v>2.6E-7</v>
      </c>
      <c r="GG16" s="354">
        <v>1E-8</v>
      </c>
      <c r="GH16" s="354" t="s">
        <v>2203</v>
      </c>
      <c r="GI16" s="354" t="s">
        <v>2203</v>
      </c>
      <c r="GJ16" s="354" t="s">
        <v>2203</v>
      </c>
      <c r="GK16" s="354" t="s">
        <v>2203</v>
      </c>
      <c r="GL16" s="354">
        <v>5.1000000000000004E-3</v>
      </c>
      <c r="GM16" s="354" t="s">
        <v>2203</v>
      </c>
      <c r="GN16" s="354" t="s">
        <v>2203</v>
      </c>
      <c r="GO16" s="354">
        <v>3.4E-5</v>
      </c>
      <c r="GP16" s="354">
        <v>2.5999999999999998E-4</v>
      </c>
      <c r="GQ16" s="354">
        <v>4.0000000000000003E-5</v>
      </c>
      <c r="GR16" s="354">
        <v>8.8000000000000004E-6</v>
      </c>
      <c r="GS16" s="354">
        <v>2.7000000000000001E-3</v>
      </c>
      <c r="GT16" s="354">
        <v>1.4E-2</v>
      </c>
      <c r="GU16" s="354">
        <v>1.6000000000000001E-3</v>
      </c>
      <c r="GV16" s="354">
        <v>6.3E-3</v>
      </c>
      <c r="GW16" s="354" t="s">
        <v>2203</v>
      </c>
      <c r="GX16" s="354" t="s">
        <v>2203</v>
      </c>
      <c r="GY16" s="354" t="s">
        <v>2203</v>
      </c>
      <c r="GZ16" s="354" t="s">
        <v>2203</v>
      </c>
      <c r="HA16" s="354" t="s">
        <v>2203</v>
      </c>
      <c r="HB16" s="354">
        <v>1.1000000000000001E-3</v>
      </c>
      <c r="HC16" s="354">
        <v>1.1000000000000001E-3</v>
      </c>
      <c r="HD16" s="354">
        <v>1.1000000000000001E-3</v>
      </c>
      <c r="HE16" s="354">
        <v>1.1000000000000001E-3</v>
      </c>
      <c r="HF16" s="354">
        <v>3.8</v>
      </c>
      <c r="HG16" s="354" t="s">
        <v>2203</v>
      </c>
      <c r="HH16" s="354" t="s">
        <v>2203</v>
      </c>
      <c r="HI16" s="354" t="s">
        <v>2203</v>
      </c>
      <c r="HJ16" s="354" t="s">
        <v>2203</v>
      </c>
      <c r="HK16" s="354" t="s">
        <v>2203</v>
      </c>
      <c r="HL16" s="354" t="s">
        <v>2203</v>
      </c>
      <c r="HM16" s="354" t="s">
        <v>2203</v>
      </c>
      <c r="HN16" s="354" t="s">
        <v>2203</v>
      </c>
      <c r="HO16" s="354" t="s">
        <v>2203</v>
      </c>
      <c r="HP16" s="354" t="s">
        <v>2203</v>
      </c>
      <c r="HQ16" s="354" t="s">
        <v>2203</v>
      </c>
      <c r="HR16" s="354" t="s">
        <v>2203</v>
      </c>
      <c r="HS16" s="354" t="s">
        <v>2203</v>
      </c>
      <c r="HT16" s="354">
        <v>3.7000000000000002E-6</v>
      </c>
      <c r="HU16" s="354" t="s">
        <v>2203</v>
      </c>
      <c r="HV16" s="354" t="s">
        <v>2203</v>
      </c>
      <c r="HW16" s="354" t="s">
        <v>2203</v>
      </c>
      <c r="HX16" s="354" t="s">
        <v>2203</v>
      </c>
      <c r="HY16" s="354" t="s">
        <v>2203</v>
      </c>
      <c r="HZ16" s="354">
        <v>38</v>
      </c>
      <c r="IA16" s="354" t="s">
        <v>2203</v>
      </c>
      <c r="IB16" s="354" t="s">
        <v>2203</v>
      </c>
      <c r="IC16" s="354">
        <v>1.0999999999999999E-2</v>
      </c>
      <c r="ID16" s="354">
        <v>7.4000000000000003E-6</v>
      </c>
      <c r="IE16" s="354">
        <v>5.8E-5</v>
      </c>
      <c r="IF16" s="354">
        <v>2.6E-7</v>
      </c>
      <c r="IG16" s="354" t="s">
        <v>2203</v>
      </c>
      <c r="IH16" s="354" t="s">
        <v>2203</v>
      </c>
      <c r="II16" s="354" t="s">
        <v>2203</v>
      </c>
      <c r="IJ16" s="354" t="s">
        <v>2203</v>
      </c>
      <c r="IK16" s="354" t="s">
        <v>2203</v>
      </c>
      <c r="IL16" s="354" t="s">
        <v>2203</v>
      </c>
      <c r="IM16" s="354" t="s">
        <v>2203</v>
      </c>
      <c r="IN16" s="354" t="s">
        <v>2203</v>
      </c>
      <c r="IO16" s="354" t="s">
        <v>2203</v>
      </c>
      <c r="IP16" s="354" t="s">
        <v>2203</v>
      </c>
      <c r="IQ16" s="354" t="s">
        <v>2203</v>
      </c>
      <c r="IR16" s="354" t="s">
        <v>2203</v>
      </c>
      <c r="IS16" s="354" t="s">
        <v>2203</v>
      </c>
      <c r="IT16" s="354" t="s">
        <v>2203</v>
      </c>
      <c r="IU16" s="354" t="s">
        <v>2203</v>
      </c>
      <c r="IV16" s="354">
        <v>1.5999999999999999E-5</v>
      </c>
      <c r="IW16" s="354">
        <v>4.0999999999999997E-6</v>
      </c>
      <c r="IX16" s="354" t="s">
        <v>2203</v>
      </c>
      <c r="IY16" s="354" t="s">
        <v>2203</v>
      </c>
      <c r="IZ16" s="354" t="s">
        <v>2203</v>
      </c>
      <c r="JA16" s="354" t="s">
        <v>2203</v>
      </c>
      <c r="JB16" s="354" t="s">
        <v>2203</v>
      </c>
      <c r="JC16" s="354" t="s">
        <v>2203</v>
      </c>
      <c r="JD16" s="354" t="s">
        <v>2203</v>
      </c>
      <c r="JE16" s="354" t="s">
        <v>2203</v>
      </c>
      <c r="JF16" s="354" t="s">
        <v>2203</v>
      </c>
      <c r="JG16" s="354" t="s">
        <v>2203</v>
      </c>
      <c r="JH16" s="354" t="s">
        <v>2203</v>
      </c>
      <c r="JI16" s="354" t="s">
        <v>2203</v>
      </c>
      <c r="JJ16" s="354">
        <v>6.6E-4</v>
      </c>
      <c r="JK16" s="354" t="s">
        <v>2203</v>
      </c>
      <c r="JL16" s="354" t="s">
        <v>2203</v>
      </c>
      <c r="JM16" s="354">
        <v>3.1999999999999999E-5</v>
      </c>
      <c r="JN16" s="354">
        <v>4.4000000000000002E-6</v>
      </c>
      <c r="JO16" s="354" t="s">
        <v>2203</v>
      </c>
      <c r="JP16" s="354" t="s">
        <v>2203</v>
      </c>
      <c r="JQ16" s="354" t="s">
        <v>2203</v>
      </c>
      <c r="JR16" s="354" t="s">
        <v>2203</v>
      </c>
    </row>
    <row r="17" spans="1:279" ht="13.5">
      <c r="A17" s="47"/>
      <c r="B17" s="68" t="s">
        <v>1959</v>
      </c>
      <c r="C17" s="68"/>
      <c r="D17" s="49"/>
      <c r="E17" s="49" t="s">
        <v>1960</v>
      </c>
      <c r="FE17" s="402" t="s">
        <v>43</v>
      </c>
      <c r="FF17" s="402" t="s">
        <v>43</v>
      </c>
      <c r="FG17" s="402" t="s">
        <v>43</v>
      </c>
      <c r="FH17" s="402" t="s">
        <v>43</v>
      </c>
      <c r="FI17" s="402" t="s">
        <v>43</v>
      </c>
      <c r="FJ17" s="402" t="s">
        <v>43</v>
      </c>
      <c r="FK17" s="402" t="s">
        <v>43</v>
      </c>
      <c r="FL17" s="402" t="s">
        <v>43</v>
      </c>
      <c r="FM17" s="402" t="s">
        <v>43</v>
      </c>
      <c r="FN17" s="402" t="s">
        <v>43</v>
      </c>
      <c r="FO17" s="402" t="s">
        <v>43</v>
      </c>
      <c r="FP17" s="402" t="s">
        <v>43</v>
      </c>
      <c r="FQ17" s="402" t="s">
        <v>43</v>
      </c>
      <c r="FR17" s="402" t="s">
        <v>43</v>
      </c>
      <c r="FS17" s="402" t="s">
        <v>43</v>
      </c>
      <c r="FT17" s="402" t="s">
        <v>43</v>
      </c>
      <c r="FU17" s="402" t="s">
        <v>43</v>
      </c>
      <c r="FV17" s="402" t="s">
        <v>43</v>
      </c>
      <c r="FW17" s="402" t="s">
        <v>43</v>
      </c>
      <c r="FX17" s="402" t="s">
        <v>43</v>
      </c>
      <c r="FY17" s="402" t="s">
        <v>43</v>
      </c>
      <c r="FZ17" s="402" t="s">
        <v>43</v>
      </c>
      <c r="GA17" s="402" t="s">
        <v>43</v>
      </c>
      <c r="GB17" s="402" t="s">
        <v>43</v>
      </c>
      <c r="GC17" s="402" t="s">
        <v>43</v>
      </c>
      <c r="GD17" s="402" t="s">
        <v>43</v>
      </c>
      <c r="GE17" s="402" t="s">
        <v>43</v>
      </c>
      <c r="GF17" s="402" t="s">
        <v>43</v>
      </c>
      <c r="GG17" s="402" t="s">
        <v>247</v>
      </c>
      <c r="GH17" s="402" t="s">
        <v>43</v>
      </c>
      <c r="GI17" s="402" t="s">
        <v>43</v>
      </c>
      <c r="GJ17" s="402" t="s">
        <v>43</v>
      </c>
      <c r="GK17" s="402" t="s">
        <v>43</v>
      </c>
      <c r="GL17" s="402" t="s">
        <v>43</v>
      </c>
      <c r="GM17" s="402" t="s">
        <v>43</v>
      </c>
      <c r="GN17" s="402" t="s">
        <v>43</v>
      </c>
      <c r="GO17" s="402" t="s">
        <v>43</v>
      </c>
      <c r="GP17" s="402" t="s">
        <v>43</v>
      </c>
      <c r="GQ17" s="402" t="s">
        <v>43</v>
      </c>
      <c r="GR17" s="402" t="s">
        <v>43</v>
      </c>
      <c r="GS17" s="402" t="s">
        <v>43</v>
      </c>
      <c r="GT17" s="402" t="s">
        <v>247</v>
      </c>
      <c r="GU17" s="402" t="s">
        <v>43</v>
      </c>
      <c r="GV17" s="402" t="s">
        <v>43</v>
      </c>
      <c r="GW17" s="402" t="s">
        <v>43</v>
      </c>
      <c r="GX17" s="402" t="s">
        <v>43</v>
      </c>
      <c r="GY17" s="402" t="s">
        <v>43</v>
      </c>
      <c r="GZ17" s="402" t="s">
        <v>43</v>
      </c>
      <c r="HA17" s="402" t="s">
        <v>43</v>
      </c>
      <c r="HB17" s="402" t="s">
        <v>43</v>
      </c>
      <c r="HC17" s="402" t="s">
        <v>43</v>
      </c>
      <c r="HD17" s="402" t="s">
        <v>43</v>
      </c>
      <c r="HE17" s="402" t="s">
        <v>43</v>
      </c>
      <c r="HF17" s="402" t="s">
        <v>43</v>
      </c>
      <c r="HG17" s="402" t="s">
        <v>43</v>
      </c>
      <c r="HH17" s="402" t="s">
        <v>43</v>
      </c>
      <c r="HI17" s="402" t="s">
        <v>43</v>
      </c>
      <c r="HJ17" s="402" t="s">
        <v>43</v>
      </c>
      <c r="HK17" s="402" t="s">
        <v>43</v>
      </c>
      <c r="HL17" s="402" t="s">
        <v>43</v>
      </c>
      <c r="HM17" s="402" t="s">
        <v>43</v>
      </c>
      <c r="HN17" s="402" t="s">
        <v>43</v>
      </c>
      <c r="HO17" s="402" t="s">
        <v>43</v>
      </c>
      <c r="HP17" s="402" t="s">
        <v>43</v>
      </c>
      <c r="HQ17" s="402" t="s">
        <v>43</v>
      </c>
      <c r="HR17" s="402" t="s">
        <v>43</v>
      </c>
      <c r="HS17" s="402" t="s">
        <v>43</v>
      </c>
      <c r="HT17" s="402" t="s">
        <v>43</v>
      </c>
      <c r="HU17" s="402" t="s">
        <v>43</v>
      </c>
      <c r="HV17" s="402" t="s">
        <v>43</v>
      </c>
      <c r="HW17" s="402" t="s">
        <v>43</v>
      </c>
      <c r="HX17" s="402" t="s">
        <v>43</v>
      </c>
      <c r="HY17" s="402" t="s">
        <v>43</v>
      </c>
      <c r="HZ17" s="402" t="s">
        <v>43</v>
      </c>
      <c r="IA17" s="402" t="s">
        <v>43</v>
      </c>
      <c r="IB17" s="402" t="s">
        <v>43</v>
      </c>
      <c r="IC17" s="402" t="s">
        <v>43</v>
      </c>
      <c r="ID17" s="402" t="s">
        <v>43</v>
      </c>
      <c r="IE17" s="402" t="s">
        <v>43</v>
      </c>
      <c r="IF17" s="402" t="s">
        <v>43</v>
      </c>
      <c r="IG17" s="402" t="s">
        <v>43</v>
      </c>
      <c r="IH17" s="402" t="s">
        <v>43</v>
      </c>
      <c r="II17" s="402" t="s">
        <v>43</v>
      </c>
      <c r="IJ17" s="402" t="s">
        <v>43</v>
      </c>
      <c r="IK17" s="402" t="s">
        <v>43</v>
      </c>
      <c r="IL17" s="402" t="s">
        <v>43</v>
      </c>
      <c r="IM17" s="402" t="s">
        <v>43</v>
      </c>
      <c r="IN17" s="402" t="s">
        <v>43</v>
      </c>
      <c r="IO17" s="402" t="s">
        <v>43</v>
      </c>
      <c r="IP17" s="402" t="s">
        <v>43</v>
      </c>
      <c r="IQ17" s="402" t="s">
        <v>43</v>
      </c>
      <c r="IR17" s="402" t="s">
        <v>43</v>
      </c>
      <c r="IS17" s="402" t="s">
        <v>43</v>
      </c>
      <c r="IT17" s="402" t="s">
        <v>43</v>
      </c>
      <c r="IU17" s="402" t="s">
        <v>43</v>
      </c>
      <c r="IV17" s="402" t="s">
        <v>43</v>
      </c>
      <c r="IW17" s="402" t="s">
        <v>247</v>
      </c>
      <c r="IX17" s="402" t="s">
        <v>43</v>
      </c>
      <c r="IY17" s="402" t="s">
        <v>43</v>
      </c>
      <c r="IZ17" s="402" t="s">
        <v>247</v>
      </c>
      <c r="JA17" s="402" t="s">
        <v>43</v>
      </c>
      <c r="JB17" s="402" t="s">
        <v>43</v>
      </c>
      <c r="JC17" s="402" t="s">
        <v>43</v>
      </c>
      <c r="JD17" s="402" t="s">
        <v>43</v>
      </c>
      <c r="JE17" s="402" t="s">
        <v>43</v>
      </c>
      <c r="JF17" s="402" t="s">
        <v>43</v>
      </c>
      <c r="JG17" s="402" t="s">
        <v>43</v>
      </c>
      <c r="JH17" s="402" t="s">
        <v>43</v>
      </c>
      <c r="JI17" s="402" t="s">
        <v>43</v>
      </c>
      <c r="JJ17" s="402" t="s">
        <v>43</v>
      </c>
      <c r="JK17" s="402" t="s">
        <v>43</v>
      </c>
      <c r="JL17" s="402" t="s">
        <v>43</v>
      </c>
      <c r="JM17" s="402" t="s">
        <v>43</v>
      </c>
      <c r="JN17" s="402" t="s">
        <v>247</v>
      </c>
      <c r="JO17" s="402" t="s">
        <v>43</v>
      </c>
      <c r="JP17" s="402" t="s">
        <v>43</v>
      </c>
      <c r="JQ17" s="402" t="s">
        <v>43</v>
      </c>
      <c r="JR17" s="402" t="s">
        <v>43</v>
      </c>
    </row>
    <row r="18" spans="1:279" ht="40.5">
      <c r="A18" s="69"/>
      <c r="B18" s="70" t="s">
        <v>120</v>
      </c>
      <c r="C18" s="70"/>
      <c r="D18" s="165" t="s">
        <v>331</v>
      </c>
      <c r="E18" s="165" t="s">
        <v>15</v>
      </c>
      <c r="FE18" s="355">
        <v>0.03</v>
      </c>
      <c r="FF18" s="355">
        <v>1.0000000000000001E-5</v>
      </c>
      <c r="FG18" s="355">
        <v>0.7</v>
      </c>
      <c r="FH18" s="355">
        <v>0.03</v>
      </c>
      <c r="FI18" s="355">
        <v>3.0000000000000001E-5</v>
      </c>
      <c r="FJ18" s="355">
        <v>0.02</v>
      </c>
      <c r="FK18" s="355">
        <v>8.0000000000000004E-4</v>
      </c>
      <c r="FL18" s="355">
        <v>1.4E-2</v>
      </c>
      <c r="FM18" s="355">
        <v>2E-3</v>
      </c>
      <c r="FN18" s="355" t="s">
        <v>2203</v>
      </c>
      <c r="FO18" s="355" t="s">
        <v>2203</v>
      </c>
      <c r="FP18" s="355">
        <v>0.2</v>
      </c>
      <c r="FQ18" s="355" t="s">
        <v>2203</v>
      </c>
      <c r="FR18" s="355">
        <v>2.9999999999999997E-4</v>
      </c>
      <c r="FS18" s="355" t="s">
        <v>2203</v>
      </c>
      <c r="FT18" s="355">
        <v>0.03</v>
      </c>
      <c r="FU18" s="355">
        <v>20</v>
      </c>
      <c r="FV18" s="355">
        <v>1E-3</v>
      </c>
      <c r="FW18" s="355">
        <v>0.02</v>
      </c>
      <c r="FX18" s="355" t="s">
        <v>2203</v>
      </c>
      <c r="FY18" s="355">
        <v>0.02</v>
      </c>
      <c r="FZ18" s="355">
        <v>5</v>
      </c>
      <c r="GA18" s="355">
        <v>2.0000000000000002E-5</v>
      </c>
      <c r="GB18" s="355">
        <v>3</v>
      </c>
      <c r="GC18" s="355">
        <v>1E-3</v>
      </c>
      <c r="GD18" s="355">
        <v>0.7</v>
      </c>
      <c r="GE18" s="355">
        <v>0.04</v>
      </c>
      <c r="GF18" s="355">
        <v>3</v>
      </c>
      <c r="GG18" s="355">
        <v>0.6</v>
      </c>
      <c r="GH18" s="355" t="s">
        <v>2203</v>
      </c>
      <c r="GI18" s="355" t="s">
        <v>2203</v>
      </c>
      <c r="GJ18" s="355" t="s">
        <v>2203</v>
      </c>
      <c r="GK18" s="355" t="s">
        <v>2203</v>
      </c>
      <c r="GL18" s="355" t="s">
        <v>2203</v>
      </c>
      <c r="GM18" s="355" t="s">
        <v>2203</v>
      </c>
      <c r="GN18" s="355">
        <v>0.1</v>
      </c>
      <c r="GO18" s="355">
        <v>3.0000000000000001E-3</v>
      </c>
      <c r="GP18" s="355">
        <v>1.4E-5</v>
      </c>
      <c r="GQ18" s="355">
        <v>8.9999999999999993E-3</v>
      </c>
      <c r="GR18" s="355">
        <v>5.0000000000000001E-3</v>
      </c>
      <c r="GS18" s="355">
        <v>0.02</v>
      </c>
      <c r="GT18" s="355">
        <v>4.0000000000000003E-5</v>
      </c>
      <c r="GU18" s="355" t="s">
        <v>2203</v>
      </c>
      <c r="GV18" s="355" t="s">
        <v>2203</v>
      </c>
      <c r="GW18" s="355" t="s">
        <v>2203</v>
      </c>
      <c r="GX18" s="355">
        <v>0.02</v>
      </c>
      <c r="GY18" s="355" t="s">
        <v>2203</v>
      </c>
      <c r="GZ18" s="355" t="s">
        <v>2203</v>
      </c>
      <c r="HA18" s="355" t="s">
        <v>2203</v>
      </c>
      <c r="HB18" s="355">
        <v>1.2999999999999999E-3</v>
      </c>
      <c r="HC18" s="355">
        <v>1.2999999999999999E-3</v>
      </c>
      <c r="HD18" s="355">
        <v>1.2999999999999999E-3</v>
      </c>
      <c r="HE18" s="355">
        <v>1.2999999999999999E-3</v>
      </c>
      <c r="HF18" s="355">
        <v>3.9999999999999998E-7</v>
      </c>
      <c r="HG18" s="355" t="s">
        <v>2203</v>
      </c>
      <c r="HH18" s="355" t="s">
        <v>2203</v>
      </c>
      <c r="HI18" s="355">
        <v>1</v>
      </c>
      <c r="HJ18" s="355" t="s">
        <v>2203</v>
      </c>
      <c r="HK18" s="355">
        <v>2.9999999999999997E-4</v>
      </c>
      <c r="HL18" s="355">
        <v>2.9999999999999997E-4</v>
      </c>
      <c r="HM18" s="355" t="s">
        <v>2203</v>
      </c>
      <c r="HN18" s="355" t="s">
        <v>2203</v>
      </c>
      <c r="HO18" s="355" t="s">
        <v>2203</v>
      </c>
      <c r="HP18" s="355">
        <v>8.0000000000000002E-3</v>
      </c>
      <c r="HQ18" s="355">
        <v>1</v>
      </c>
      <c r="HR18" s="355">
        <v>3</v>
      </c>
      <c r="HS18" s="355">
        <v>2</v>
      </c>
      <c r="HT18" s="355">
        <v>0.03</v>
      </c>
      <c r="HU18" s="355" t="s">
        <v>2203</v>
      </c>
      <c r="HV18" s="355" t="s">
        <v>2203</v>
      </c>
      <c r="HW18" s="355" t="s">
        <v>2203</v>
      </c>
      <c r="HX18" s="355">
        <v>1</v>
      </c>
      <c r="HY18" s="355">
        <v>1E-3</v>
      </c>
      <c r="HZ18" s="355">
        <v>4.0000000000000001E-8</v>
      </c>
      <c r="IA18" s="355" t="s">
        <v>2203</v>
      </c>
      <c r="IB18" s="355" t="s">
        <v>2203</v>
      </c>
      <c r="IC18" s="355">
        <v>1.2999999999999999E-4</v>
      </c>
      <c r="ID18" s="355" t="s">
        <v>2203</v>
      </c>
      <c r="IE18" s="355" t="s">
        <v>2203</v>
      </c>
      <c r="IF18" s="355">
        <v>0.04</v>
      </c>
      <c r="IG18" s="355" t="s">
        <v>2203</v>
      </c>
      <c r="IH18" s="355" t="s">
        <v>2203</v>
      </c>
      <c r="II18" s="355">
        <v>80</v>
      </c>
      <c r="IJ18" s="355">
        <v>2</v>
      </c>
      <c r="IK18" s="355" t="s">
        <v>2203</v>
      </c>
      <c r="IL18" s="355" t="s">
        <v>2203</v>
      </c>
      <c r="IM18" s="355" t="s">
        <v>2203</v>
      </c>
      <c r="IN18" s="355">
        <v>1E-4</v>
      </c>
      <c r="IO18" s="355">
        <v>5</v>
      </c>
      <c r="IP18" s="355" t="s">
        <v>2203</v>
      </c>
      <c r="IQ18" s="355" t="s">
        <v>2203</v>
      </c>
      <c r="IR18" s="355">
        <v>30</v>
      </c>
      <c r="IS18" s="355" t="s">
        <v>2203</v>
      </c>
      <c r="IT18" s="355">
        <v>2E-3</v>
      </c>
      <c r="IU18" s="355">
        <v>5</v>
      </c>
      <c r="IV18" s="355">
        <v>2.0000000000000001E-4</v>
      </c>
      <c r="IW18" s="355">
        <v>2E-3</v>
      </c>
      <c r="IX18" s="355" t="s">
        <v>2203</v>
      </c>
      <c r="IY18" s="355" t="s">
        <v>2203</v>
      </c>
      <c r="IZ18" s="355">
        <v>2.9999999999999997E-4</v>
      </c>
      <c r="JA18" s="355">
        <v>2.9999999999999997E-4</v>
      </c>
      <c r="JB18" s="355">
        <v>7.0000000000000001E-3</v>
      </c>
      <c r="JC18" s="355">
        <v>20</v>
      </c>
      <c r="JD18" s="355" t="s">
        <v>2203</v>
      </c>
      <c r="JE18" s="355">
        <v>5.0000000000000001E-3</v>
      </c>
      <c r="JF18" s="355">
        <v>7.0000000000000001E-3</v>
      </c>
      <c r="JG18" s="355" t="s">
        <v>2203</v>
      </c>
      <c r="JH18" s="355" t="s">
        <v>2203</v>
      </c>
      <c r="JI18" s="355" t="s">
        <v>2203</v>
      </c>
      <c r="JJ18" s="355" t="s">
        <v>2203</v>
      </c>
      <c r="JK18" s="355" t="s">
        <v>2203</v>
      </c>
      <c r="JL18" s="355">
        <v>0.2</v>
      </c>
      <c r="JM18" s="355">
        <v>3.0000000000000001E-3</v>
      </c>
      <c r="JN18" s="355">
        <v>0.1</v>
      </c>
      <c r="JO18" s="355">
        <v>0.1</v>
      </c>
      <c r="JP18" s="355">
        <v>0.1</v>
      </c>
      <c r="JQ18" s="355">
        <v>0.1</v>
      </c>
      <c r="JR18" s="355">
        <v>0.1</v>
      </c>
    </row>
    <row r="19" spans="1:279" ht="18">
      <c r="A19" s="708" t="s">
        <v>1655</v>
      </c>
      <c r="B19" s="88"/>
      <c r="C19" s="88"/>
      <c r="D19" s="324" t="s">
        <v>136</v>
      </c>
      <c r="E19" s="324" t="s">
        <v>137</v>
      </c>
      <c r="FE19" s="620" t="s">
        <v>267</v>
      </c>
      <c r="FF19" s="620" t="s">
        <v>267</v>
      </c>
      <c r="FG19" s="620" t="s">
        <v>267</v>
      </c>
      <c r="FH19" s="620" t="s">
        <v>267</v>
      </c>
      <c r="FI19" s="620" t="s">
        <v>267</v>
      </c>
      <c r="FJ19" s="620" t="s">
        <v>267</v>
      </c>
      <c r="FK19" s="620" t="s">
        <v>267</v>
      </c>
      <c r="FL19" s="620" t="s">
        <v>267</v>
      </c>
      <c r="FM19" s="620" t="s">
        <v>267</v>
      </c>
      <c r="FN19" s="620" t="s">
        <v>267</v>
      </c>
      <c r="FO19" s="620" t="s">
        <v>267</v>
      </c>
      <c r="FP19" s="620" t="s">
        <v>267</v>
      </c>
      <c r="FQ19" s="620" t="s">
        <v>267</v>
      </c>
      <c r="FR19" s="620" t="s">
        <v>267</v>
      </c>
      <c r="FS19" s="620" t="s">
        <v>267</v>
      </c>
      <c r="FT19" s="620" t="s">
        <v>267</v>
      </c>
      <c r="FU19" s="620" t="s">
        <v>267</v>
      </c>
      <c r="FV19" s="620" t="s">
        <v>267</v>
      </c>
      <c r="FW19" s="620" t="s">
        <v>267</v>
      </c>
      <c r="FX19" s="620" t="s">
        <v>267</v>
      </c>
      <c r="FY19" s="620" t="s">
        <v>267</v>
      </c>
      <c r="FZ19" s="620" t="s">
        <v>267</v>
      </c>
      <c r="GA19" s="620" t="s">
        <v>267</v>
      </c>
      <c r="GB19" s="620" t="s">
        <v>267</v>
      </c>
      <c r="GC19" s="620" t="s">
        <v>267</v>
      </c>
      <c r="GD19" s="620" t="s">
        <v>267</v>
      </c>
      <c r="GE19" s="620" t="s">
        <v>267</v>
      </c>
      <c r="GF19" s="620" t="s">
        <v>267</v>
      </c>
      <c r="GG19" s="620" t="s">
        <v>267</v>
      </c>
      <c r="GH19" s="620" t="s">
        <v>267</v>
      </c>
      <c r="GI19" s="620" t="s">
        <v>267</v>
      </c>
      <c r="GJ19" s="620" t="s">
        <v>267</v>
      </c>
      <c r="GK19" s="620" t="s">
        <v>267</v>
      </c>
      <c r="GL19" s="620" t="s">
        <v>267</v>
      </c>
      <c r="GM19" s="620" t="s">
        <v>267</v>
      </c>
      <c r="GN19" s="620" t="s">
        <v>267</v>
      </c>
      <c r="GO19" s="620" t="s">
        <v>267</v>
      </c>
      <c r="GP19" s="620" t="s">
        <v>267</v>
      </c>
      <c r="GQ19" s="620" t="s">
        <v>267</v>
      </c>
      <c r="GR19" s="620" t="s">
        <v>267</v>
      </c>
      <c r="GS19" s="620" t="s">
        <v>267</v>
      </c>
      <c r="GT19" s="620" t="s">
        <v>267</v>
      </c>
      <c r="GU19" s="620" t="s">
        <v>267</v>
      </c>
      <c r="GV19" s="620" t="s">
        <v>267</v>
      </c>
      <c r="GW19" s="620" t="s">
        <v>267</v>
      </c>
      <c r="GX19" s="620" t="s">
        <v>267</v>
      </c>
      <c r="GY19" s="620" t="s">
        <v>267</v>
      </c>
      <c r="GZ19" s="620" t="s">
        <v>267</v>
      </c>
      <c r="HA19" s="620" t="s">
        <v>267</v>
      </c>
      <c r="HB19" s="620" t="s">
        <v>267</v>
      </c>
      <c r="HC19" s="620" t="s">
        <v>267</v>
      </c>
      <c r="HD19" s="620" t="s">
        <v>267</v>
      </c>
      <c r="HE19" s="620" t="s">
        <v>267</v>
      </c>
      <c r="HF19" s="620" t="s">
        <v>267</v>
      </c>
      <c r="HG19" s="620" t="s">
        <v>267</v>
      </c>
      <c r="HH19" s="620" t="s">
        <v>267</v>
      </c>
      <c r="HI19" s="620" t="s">
        <v>267</v>
      </c>
      <c r="HJ19" s="620" t="s">
        <v>267</v>
      </c>
      <c r="HK19" s="620" t="s">
        <v>267</v>
      </c>
      <c r="HL19" s="620" t="s">
        <v>267</v>
      </c>
      <c r="HM19" s="620" t="s">
        <v>267</v>
      </c>
      <c r="HN19" s="620" t="s">
        <v>267</v>
      </c>
      <c r="HO19" s="620" t="s">
        <v>267</v>
      </c>
      <c r="HP19" s="620" t="s">
        <v>267</v>
      </c>
      <c r="HQ19" s="620" t="s">
        <v>267</v>
      </c>
      <c r="HR19" s="620" t="s">
        <v>267</v>
      </c>
      <c r="HS19" s="620" t="s">
        <v>267</v>
      </c>
      <c r="HT19" s="620" t="s">
        <v>267</v>
      </c>
      <c r="HU19" s="620" t="s">
        <v>267</v>
      </c>
      <c r="HV19" s="620" t="s">
        <v>267</v>
      </c>
      <c r="HW19" s="620" t="s">
        <v>267</v>
      </c>
      <c r="HX19" s="620" t="s">
        <v>267</v>
      </c>
      <c r="HY19" s="620" t="s">
        <v>267</v>
      </c>
      <c r="HZ19" s="620" t="s">
        <v>267</v>
      </c>
      <c r="IA19" s="620" t="s">
        <v>267</v>
      </c>
      <c r="IB19" s="620" t="s">
        <v>267</v>
      </c>
      <c r="IC19" s="620" t="s">
        <v>267</v>
      </c>
      <c r="ID19" s="620" t="s">
        <v>267</v>
      </c>
      <c r="IE19" s="620" t="s">
        <v>267</v>
      </c>
      <c r="IF19" s="620" t="s">
        <v>267</v>
      </c>
      <c r="IG19" s="620" t="s">
        <v>267</v>
      </c>
      <c r="IH19" s="620" t="s">
        <v>267</v>
      </c>
      <c r="II19" s="620" t="s">
        <v>267</v>
      </c>
      <c r="IJ19" s="620" t="s">
        <v>267</v>
      </c>
      <c r="IK19" s="620" t="s">
        <v>267</v>
      </c>
      <c r="IL19" s="620" t="s">
        <v>267</v>
      </c>
      <c r="IM19" s="620" t="s">
        <v>267</v>
      </c>
      <c r="IN19" s="620" t="s">
        <v>267</v>
      </c>
      <c r="IO19" s="620" t="s">
        <v>267</v>
      </c>
      <c r="IP19" s="620" t="s">
        <v>267</v>
      </c>
      <c r="IQ19" s="620" t="s">
        <v>267</v>
      </c>
      <c r="IR19" s="620" t="s">
        <v>267</v>
      </c>
      <c r="IS19" s="620" t="s">
        <v>267</v>
      </c>
      <c r="IT19" s="620" t="s">
        <v>267</v>
      </c>
      <c r="IU19" s="620" t="s">
        <v>267</v>
      </c>
      <c r="IV19" s="620" t="s">
        <v>267</v>
      </c>
      <c r="IW19" s="620" t="s">
        <v>267</v>
      </c>
      <c r="IX19" s="620" t="s">
        <v>267</v>
      </c>
      <c r="IY19" s="620" t="s">
        <v>267</v>
      </c>
      <c r="IZ19" s="620" t="s">
        <v>267</v>
      </c>
      <c r="JA19" s="620" t="s">
        <v>267</v>
      </c>
      <c r="JB19" s="620" t="s">
        <v>267</v>
      </c>
      <c r="JC19" s="620" t="s">
        <v>267</v>
      </c>
      <c r="JD19" s="620" t="s">
        <v>267</v>
      </c>
      <c r="JE19" s="620" t="s">
        <v>267</v>
      </c>
      <c r="JF19" s="620" t="s">
        <v>267</v>
      </c>
      <c r="JG19" s="620" t="s">
        <v>267</v>
      </c>
      <c r="JH19" s="620" t="s">
        <v>267</v>
      </c>
      <c r="JI19" s="620" t="s">
        <v>267</v>
      </c>
      <c r="JJ19" s="620" t="s">
        <v>267</v>
      </c>
      <c r="JK19" s="620" t="s">
        <v>267</v>
      </c>
      <c r="JL19" s="620" t="s">
        <v>267</v>
      </c>
      <c r="JM19" s="620" t="s">
        <v>267</v>
      </c>
      <c r="JN19" s="620" t="s">
        <v>267</v>
      </c>
      <c r="JO19" s="620" t="s">
        <v>267</v>
      </c>
      <c r="JP19" s="620" t="s">
        <v>267</v>
      </c>
      <c r="JQ19" s="620" t="s">
        <v>267</v>
      </c>
      <c r="JR19" s="620" t="s">
        <v>267</v>
      </c>
    </row>
    <row r="20" spans="1:279" ht="13.5">
      <c r="A20" s="44"/>
      <c r="B20" s="170" t="s">
        <v>122</v>
      </c>
      <c r="C20" s="170"/>
      <c r="D20" s="26" t="s">
        <v>17</v>
      </c>
      <c r="E20" s="26" t="s">
        <v>14</v>
      </c>
      <c r="FE20" s="356">
        <v>50</v>
      </c>
      <c r="FF20" s="356">
        <v>117</v>
      </c>
      <c r="FG20" s="356">
        <v>9.5</v>
      </c>
      <c r="FH20" s="356">
        <v>17200</v>
      </c>
      <c r="FI20" s="356">
        <v>1000000</v>
      </c>
      <c r="FJ20" s="356">
        <v>673000</v>
      </c>
      <c r="FK20" s="356">
        <v>1000000</v>
      </c>
      <c r="FL20" s="356">
        <v>1000000</v>
      </c>
      <c r="FM20" s="356">
        <v>3740</v>
      </c>
      <c r="FN20" s="356">
        <v>85000</v>
      </c>
      <c r="FO20" s="356">
        <v>0.11</v>
      </c>
      <c r="FP20" s="356">
        <v>1000000</v>
      </c>
      <c r="FQ20" s="356">
        <v>500</v>
      </c>
      <c r="FR20" s="356">
        <v>0.06</v>
      </c>
      <c r="FS20" s="356">
        <v>3.5000000000000001E-3</v>
      </c>
      <c r="FT20" s="356">
        <v>25400</v>
      </c>
      <c r="FU20" s="356">
        <v>1000000</v>
      </c>
      <c r="FV20" s="356">
        <v>1000000</v>
      </c>
      <c r="FW20" s="356">
        <v>1000000</v>
      </c>
      <c r="FX20" s="356">
        <v>243000</v>
      </c>
      <c r="FY20" s="356">
        <v>49400</v>
      </c>
      <c r="FZ20" s="356">
        <v>223000</v>
      </c>
      <c r="GA20" s="356">
        <v>1000000</v>
      </c>
      <c r="GB20" s="356">
        <v>19000</v>
      </c>
      <c r="GC20" s="356">
        <v>29200</v>
      </c>
      <c r="GD20" s="356">
        <v>15000</v>
      </c>
      <c r="GE20" s="356">
        <v>89</v>
      </c>
      <c r="GF20" s="356">
        <v>51000</v>
      </c>
      <c r="GG20" s="356">
        <v>13000</v>
      </c>
      <c r="GH20" s="356">
        <v>25.8</v>
      </c>
      <c r="GI20" s="356">
        <v>24.6</v>
      </c>
      <c r="GJ20" s="356">
        <v>116</v>
      </c>
      <c r="GK20" s="356">
        <v>3.7000000000000002E-3</v>
      </c>
      <c r="GL20" s="356">
        <v>8.5000000000000006E-2</v>
      </c>
      <c r="GM20" s="356">
        <v>1.5</v>
      </c>
      <c r="GN20" s="356">
        <v>31</v>
      </c>
      <c r="GO20" s="356">
        <v>31</v>
      </c>
      <c r="GP20" s="356">
        <v>180</v>
      </c>
      <c r="GQ20" s="356">
        <v>2090</v>
      </c>
      <c r="GR20" s="356">
        <v>111000</v>
      </c>
      <c r="GS20" s="356">
        <v>17000</v>
      </c>
      <c r="GT20" s="356">
        <v>1000000</v>
      </c>
      <c r="GU20" s="356">
        <v>1270</v>
      </c>
      <c r="GV20" s="356">
        <v>300000</v>
      </c>
      <c r="GW20" s="356">
        <v>650</v>
      </c>
      <c r="GX20" s="356">
        <v>0.22</v>
      </c>
      <c r="GY20" s="356">
        <v>100</v>
      </c>
      <c r="GZ20" s="356">
        <v>2.3999999999999998E-3</v>
      </c>
      <c r="HA20" s="356">
        <v>0.83099999999999996</v>
      </c>
      <c r="HB20" s="356">
        <v>3.3999999999999998E-3</v>
      </c>
      <c r="HC20" s="356">
        <v>1.5980000000000001E-2</v>
      </c>
      <c r="HD20" s="356">
        <v>1.34E-2</v>
      </c>
      <c r="HE20" s="356">
        <v>1.6E-2</v>
      </c>
      <c r="HF20" s="356">
        <v>7.3282E-3</v>
      </c>
      <c r="HG20" s="356">
        <v>490</v>
      </c>
      <c r="HH20" s="356">
        <v>0.44</v>
      </c>
      <c r="HI20" s="356">
        <v>38</v>
      </c>
      <c r="HJ20" s="356">
        <v>107</v>
      </c>
      <c r="HK20" s="356">
        <v>6825.5</v>
      </c>
      <c r="HL20" s="356">
        <v>260000</v>
      </c>
      <c r="HM20" s="356">
        <v>3.3</v>
      </c>
      <c r="HN20" s="356">
        <v>0.1</v>
      </c>
      <c r="HO20" s="356">
        <v>1000000</v>
      </c>
      <c r="HP20" s="356">
        <v>306000</v>
      </c>
      <c r="HQ20" s="356">
        <v>52.2</v>
      </c>
      <c r="HR20" s="356">
        <v>200</v>
      </c>
      <c r="HS20" s="356">
        <v>1000000</v>
      </c>
      <c r="HT20" s="356">
        <v>590000</v>
      </c>
      <c r="HU20" s="356">
        <v>0.13500000000000001</v>
      </c>
      <c r="HV20" s="356">
        <v>1000000</v>
      </c>
      <c r="HW20" s="356">
        <v>1</v>
      </c>
      <c r="HX20" s="356">
        <v>310</v>
      </c>
      <c r="HY20" s="356" t="s">
        <v>1750</v>
      </c>
      <c r="HZ20" s="356">
        <v>2.0000000000000001E-4</v>
      </c>
      <c r="IA20" s="356">
        <v>5.07</v>
      </c>
      <c r="IB20" s="356">
        <v>0.59499999999999997</v>
      </c>
      <c r="IC20" s="356">
        <v>3.2245000000000003E-2</v>
      </c>
      <c r="ID20" s="356">
        <v>1070</v>
      </c>
      <c r="IE20" s="356">
        <v>2830</v>
      </c>
      <c r="IF20" s="356">
        <v>206</v>
      </c>
      <c r="IG20" s="356">
        <v>4.0389999999999997</v>
      </c>
      <c r="IH20" s="356">
        <v>0.28999999999999998</v>
      </c>
      <c r="II20" s="356">
        <v>2040</v>
      </c>
      <c r="IJ20" s="356">
        <v>1000000</v>
      </c>
      <c r="IK20" s="356">
        <v>28030</v>
      </c>
      <c r="IL20" s="356">
        <v>52000</v>
      </c>
      <c r="IM20" s="356" t="s">
        <v>1750</v>
      </c>
      <c r="IN20" s="356" t="s">
        <v>1750</v>
      </c>
      <c r="IO20" s="356">
        <v>526</v>
      </c>
      <c r="IP20" s="356">
        <v>4</v>
      </c>
      <c r="IQ20" s="356">
        <v>4.8979999999999997</v>
      </c>
      <c r="IR20" s="356">
        <v>170</v>
      </c>
      <c r="IS20" s="356">
        <v>18</v>
      </c>
      <c r="IT20" s="356">
        <v>49</v>
      </c>
      <c r="IU20" s="356">
        <v>1290</v>
      </c>
      <c r="IV20" s="356">
        <v>4590</v>
      </c>
      <c r="IW20" s="356">
        <v>1280</v>
      </c>
      <c r="IX20" s="356">
        <v>1100</v>
      </c>
      <c r="IY20" s="356">
        <v>1900</v>
      </c>
      <c r="IZ20" s="356">
        <v>1750</v>
      </c>
      <c r="JA20" s="356">
        <v>334.2</v>
      </c>
      <c r="JB20" s="356">
        <v>68600</v>
      </c>
      <c r="JC20" s="356">
        <v>760.9</v>
      </c>
      <c r="JD20" s="356">
        <v>0.184</v>
      </c>
      <c r="JE20" s="356">
        <v>75.2</v>
      </c>
      <c r="JF20" s="356">
        <v>57</v>
      </c>
      <c r="JG20" s="356">
        <v>48.2</v>
      </c>
      <c r="JH20" s="356">
        <v>4.04</v>
      </c>
      <c r="JI20" s="356">
        <v>7.3000000000000001E-3</v>
      </c>
      <c r="JJ20" s="356">
        <v>8</v>
      </c>
      <c r="JK20" s="356">
        <v>90</v>
      </c>
      <c r="JL20" s="356">
        <v>20000</v>
      </c>
      <c r="JM20" s="356">
        <v>7600</v>
      </c>
      <c r="JN20" s="356">
        <v>8800</v>
      </c>
      <c r="JO20" s="356">
        <v>161</v>
      </c>
      <c r="JP20" s="356">
        <v>178</v>
      </c>
      <c r="JQ20" s="356">
        <v>162</v>
      </c>
      <c r="JR20" s="356">
        <v>106</v>
      </c>
    </row>
    <row r="21" spans="1:279" ht="15.75">
      <c r="A21" s="47"/>
      <c r="B21" s="170" t="s">
        <v>327</v>
      </c>
      <c r="C21" s="170"/>
      <c r="D21" s="26" t="s">
        <v>328</v>
      </c>
      <c r="E21" s="26" t="s">
        <v>115</v>
      </c>
      <c r="FE21" s="354">
        <v>3.8899999999999998E-3</v>
      </c>
      <c r="FF21" s="354">
        <v>4.8000000000000001E-5</v>
      </c>
      <c r="FG21" s="354">
        <v>1.8</v>
      </c>
      <c r="FH21" s="354">
        <v>9.3200000000000002E-5</v>
      </c>
      <c r="FI21" s="354">
        <v>6.0999999999999998E-7</v>
      </c>
      <c r="FJ21" s="354">
        <v>2040000</v>
      </c>
      <c r="FK21" s="354">
        <v>1.3300000000000001E-4</v>
      </c>
      <c r="FL21" s="354">
        <v>1.0399999999999999E-4</v>
      </c>
      <c r="FM21" s="354">
        <v>8.5599999999999999E-3</v>
      </c>
      <c r="FN21" s="354">
        <v>9.7799999999999995E-6</v>
      </c>
      <c r="FO21" s="354">
        <v>1.11E-4</v>
      </c>
      <c r="FP21" s="354">
        <v>8.1000000000000004E-6</v>
      </c>
      <c r="FQ21" s="354">
        <v>2.1800000000000001E-4</v>
      </c>
      <c r="FR21" s="354">
        <v>8.6219999999999995E-3</v>
      </c>
      <c r="FS21" s="354">
        <v>2.27E-5</v>
      </c>
      <c r="FT21" s="354">
        <v>2.4699999999999999E-4</v>
      </c>
      <c r="FU21" s="354">
        <v>4.5499999999999996E-6</v>
      </c>
      <c r="FV21" s="354">
        <v>3.1100000000000002E-7</v>
      </c>
      <c r="FW21" s="354">
        <v>3.3000000000000002E-7</v>
      </c>
      <c r="FX21" s="354">
        <v>1.15E-4</v>
      </c>
      <c r="FY21" s="354">
        <v>1.9900000000000001E-4</v>
      </c>
      <c r="FZ21" s="354">
        <v>5.6900000000000001E-5</v>
      </c>
      <c r="GA21" s="354">
        <v>3.0309999999999999E-6</v>
      </c>
      <c r="GB21" s="354">
        <v>1.3799999999999999E-4</v>
      </c>
      <c r="GC21" s="354">
        <v>9.2599999999999996E-4</v>
      </c>
      <c r="GD21" s="354">
        <v>3.19E-4</v>
      </c>
      <c r="GE21" s="354">
        <v>2.6199999999999999E-3</v>
      </c>
      <c r="GF21" s="354">
        <v>5.8699999999999996E-4</v>
      </c>
      <c r="GG21" s="354">
        <v>3.2499999999999999E-3</v>
      </c>
      <c r="GH21" s="354">
        <v>5.1400000000000003E-4</v>
      </c>
      <c r="GI21" s="354">
        <v>5.1800000000000001E-4</v>
      </c>
      <c r="GJ21" s="354">
        <v>2.5500000000000002E-3</v>
      </c>
      <c r="GK21" s="354">
        <v>8.18</v>
      </c>
      <c r="GL21" s="354">
        <v>8.1099999999999998E-4</v>
      </c>
      <c r="GM21" s="354">
        <v>6.5099999999999997E-5</v>
      </c>
      <c r="GN21" s="354">
        <v>4.4000000000000002E-4</v>
      </c>
      <c r="GO21" s="354">
        <v>4.4000000000000002E-4</v>
      </c>
      <c r="GP21" s="354">
        <v>0.5</v>
      </c>
      <c r="GQ21" s="354">
        <v>2.4000000000000001E-5</v>
      </c>
      <c r="GR21" s="354">
        <v>2.8600000000000001E-5</v>
      </c>
      <c r="GS21" s="354">
        <v>1.1900000000000001E-4</v>
      </c>
      <c r="GT21" s="354">
        <v>1.8199999999999999E-6</v>
      </c>
      <c r="GU21" s="354">
        <v>1.3200000000000001E-5</v>
      </c>
      <c r="GV21" s="354">
        <v>1.44E-6</v>
      </c>
      <c r="GW21" s="354">
        <v>1.2500000000000001E-5</v>
      </c>
      <c r="GX21" s="354">
        <v>3.4</v>
      </c>
      <c r="GY21" s="354">
        <v>2.3699999999999999E-4</v>
      </c>
      <c r="GZ21" s="354">
        <v>1.08E-4</v>
      </c>
      <c r="HA21" s="354">
        <v>7.0299999999999996E-4</v>
      </c>
      <c r="HB21" s="354">
        <v>2.8299999999999999E-4</v>
      </c>
      <c r="HC21" s="354">
        <v>9.2399999999999996E-5</v>
      </c>
      <c r="HD21" s="354">
        <v>2.8800000000000001E-4</v>
      </c>
      <c r="HE21" s="354">
        <v>1.9000000000000001E-4</v>
      </c>
      <c r="HF21" s="354">
        <v>1.9000000000000001E-4</v>
      </c>
      <c r="HG21" s="354">
        <v>1.9400000000000001E-3</v>
      </c>
      <c r="HH21" s="354">
        <v>4.4199999999999997E-5</v>
      </c>
      <c r="HI21" s="354">
        <v>1.25</v>
      </c>
      <c r="HJ21" s="354">
        <v>1.4399999999999999E-5</v>
      </c>
      <c r="HK21" s="354">
        <v>1.67E-2</v>
      </c>
      <c r="HL21" s="354">
        <v>2.4400000000000002E-2</v>
      </c>
      <c r="HM21" s="354">
        <v>2.1099999999999999E-3</v>
      </c>
      <c r="HN21" s="354">
        <v>2.9E-4</v>
      </c>
      <c r="HO21" s="354">
        <v>1.15E-6</v>
      </c>
      <c r="HP21" s="354">
        <v>7.3399999999999995E-5</v>
      </c>
      <c r="HQ21" s="354">
        <v>1.0500000000000001E-2</v>
      </c>
      <c r="HR21" s="354">
        <v>0.19600000000000001</v>
      </c>
      <c r="HS21" s="354">
        <v>9.1999999999999998E-7</v>
      </c>
      <c r="HT21" s="354">
        <v>6.9599999999999998E-5</v>
      </c>
      <c r="HU21" s="354">
        <v>1.19E-5</v>
      </c>
      <c r="HV21" s="354">
        <v>1.1E-5</v>
      </c>
      <c r="HW21" s="354">
        <v>3.1999999999999999E-5</v>
      </c>
      <c r="HX21" s="354">
        <v>2.7499999999999998E-3</v>
      </c>
      <c r="HY21" s="354" t="s">
        <v>1750</v>
      </c>
      <c r="HZ21" s="354">
        <v>5.0000000000000002E-5</v>
      </c>
      <c r="IA21" s="354">
        <v>2.4000000000000001E-5</v>
      </c>
      <c r="IB21" s="354">
        <v>1E-3</v>
      </c>
      <c r="IC21" s="354">
        <v>2.23E-4</v>
      </c>
      <c r="ID21" s="354">
        <v>2.5000000000000001E-3</v>
      </c>
      <c r="IE21" s="354">
        <v>3.6699999999999998E-4</v>
      </c>
      <c r="IF21" s="354">
        <v>1.77E-2</v>
      </c>
      <c r="IG21" s="354">
        <v>1.93E-4</v>
      </c>
      <c r="IH21" s="354">
        <v>0.56799999999999995</v>
      </c>
      <c r="II21" s="354">
        <v>0.05</v>
      </c>
      <c r="IJ21" s="354">
        <v>7.0500000000000006E-5</v>
      </c>
      <c r="IK21" s="354" t="s">
        <v>1750</v>
      </c>
      <c r="IL21" s="354" t="s">
        <v>1750</v>
      </c>
      <c r="IM21" s="354" t="s">
        <v>1750</v>
      </c>
      <c r="IN21" s="354" t="s">
        <v>1750</v>
      </c>
      <c r="IO21" s="354">
        <v>6.6400000000000001E-3</v>
      </c>
      <c r="IP21" s="354">
        <v>1.2E-5</v>
      </c>
      <c r="IQ21" s="354">
        <v>3.4099999999999999E-4</v>
      </c>
      <c r="IR21" s="354">
        <v>0.52600000000000002</v>
      </c>
      <c r="IS21" s="354">
        <v>1.25E-3</v>
      </c>
      <c r="IT21" s="354">
        <v>1.42E-3</v>
      </c>
      <c r="IU21" s="354">
        <v>1.72E-2</v>
      </c>
      <c r="IV21" s="354">
        <v>8.2399999999999997E-4</v>
      </c>
      <c r="IW21" s="354">
        <v>9.8499999999999994E-3</v>
      </c>
      <c r="IX21" s="354">
        <v>9.7000000000000003E-2</v>
      </c>
      <c r="IY21" s="354">
        <v>3.1700000000000001E-4</v>
      </c>
      <c r="IZ21" s="354">
        <v>3.4299999999999999E-4</v>
      </c>
      <c r="JA21" s="354">
        <v>1.7600000000000001E-2</v>
      </c>
      <c r="JB21" s="354">
        <v>1.4899999999999999E-4</v>
      </c>
      <c r="JC21" s="354">
        <v>0.77</v>
      </c>
      <c r="JD21" s="354">
        <v>1.03E-4</v>
      </c>
      <c r="JE21" s="354">
        <v>4.3600000000000002E-3</v>
      </c>
      <c r="JF21" s="354">
        <v>6.1599999999999997E-3</v>
      </c>
      <c r="JG21" s="354">
        <v>8.77E-3</v>
      </c>
      <c r="JH21" s="354">
        <v>0.746</v>
      </c>
      <c r="JI21" s="354">
        <v>1.52</v>
      </c>
      <c r="JJ21" s="354">
        <v>2.1800000000000001E-5</v>
      </c>
      <c r="JK21" s="354">
        <v>3.0899999999999999E-5</v>
      </c>
      <c r="JL21" s="354">
        <v>5.1099999999999995E-4</v>
      </c>
      <c r="JM21" s="354">
        <v>1.23E-2</v>
      </c>
      <c r="JN21" s="354">
        <v>2.7799999999999998E-2</v>
      </c>
      <c r="JO21" s="354">
        <v>7.1799999999999998E-3</v>
      </c>
      <c r="JP21" s="354">
        <v>5.1799999999999997E-3</v>
      </c>
      <c r="JQ21" s="354">
        <v>6.8999999999999999E-3</v>
      </c>
      <c r="JR21" s="354">
        <v>6.6299999999999996E-3</v>
      </c>
    </row>
    <row r="22" spans="1:279" ht="29.25">
      <c r="A22" s="47"/>
      <c r="B22" s="170"/>
      <c r="C22" s="582" t="s">
        <v>1653</v>
      </c>
      <c r="D22" s="26" t="s">
        <v>1725</v>
      </c>
      <c r="E22" s="26" t="s">
        <v>253</v>
      </c>
      <c r="FE22" s="619">
        <v>0.15908077647449681</v>
      </c>
      <c r="FF22" s="619">
        <v>1.9629504552123003E-3</v>
      </c>
      <c r="FG22" s="619">
        <v>73.610642070461253</v>
      </c>
      <c r="FH22" s="619">
        <v>3.8113954672038828E-3</v>
      </c>
      <c r="FI22" s="619">
        <v>2.4945828701656314E-5</v>
      </c>
      <c r="FJ22" s="619">
        <v>83425394.346522748</v>
      </c>
      <c r="FK22" s="619">
        <v>5.4390085529840817E-3</v>
      </c>
      <c r="FL22" s="619">
        <v>4.2530593196266498E-3</v>
      </c>
      <c r="FM22" s="619">
        <v>0.3500594978461935</v>
      </c>
      <c r="FN22" s="619">
        <v>3.9995115524950613E-4</v>
      </c>
      <c r="FO22" s="619">
        <v>4.5393229276784438E-3</v>
      </c>
      <c r="FP22" s="619">
        <v>3.3124788931707566E-4</v>
      </c>
      <c r="FQ22" s="619">
        <v>8.9150666507558634E-3</v>
      </c>
      <c r="FR22" s="619">
        <v>0.3525949755175094</v>
      </c>
      <c r="FS22" s="619">
        <v>9.2831198611081694E-4</v>
      </c>
      <c r="FT22" s="619">
        <v>1.0101015884113294E-2</v>
      </c>
      <c r="FU22" s="619">
        <v>1.8607134523366593E-4</v>
      </c>
      <c r="FV22" s="619">
        <v>1.2718283157729695E-5</v>
      </c>
      <c r="FW22" s="619">
        <v>1.3495284379584563E-5</v>
      </c>
      <c r="FX22" s="619">
        <v>4.7029021322794688E-3</v>
      </c>
      <c r="FY22" s="619">
        <v>8.1380654289009945E-3</v>
      </c>
      <c r="FZ22" s="619">
        <v>2.3269141854495808E-3</v>
      </c>
      <c r="GA22" s="619">
        <v>1.2395214228642668E-4</v>
      </c>
      <c r="GB22" s="619">
        <v>5.6434825587353627E-3</v>
      </c>
      <c r="GC22" s="619">
        <v>3.7868585865137284E-2</v>
      </c>
      <c r="GD22" s="619">
        <v>1.3045441566931744E-2</v>
      </c>
      <c r="GE22" s="619">
        <v>0.10714437901367138</v>
      </c>
      <c r="GF22" s="619">
        <v>2.4005248275200418E-2</v>
      </c>
      <c r="GG22" s="619">
        <v>0.13290810373833281</v>
      </c>
      <c r="GH22" s="619">
        <v>2.1019927791231713E-2</v>
      </c>
      <c r="GI22" s="619">
        <v>2.118350699583274E-2</v>
      </c>
      <c r="GJ22" s="619">
        <v>0.10428174293315345</v>
      </c>
      <c r="GK22" s="619">
        <v>334.51947340909612</v>
      </c>
      <c r="GL22" s="619">
        <v>3.3165683732857817E-2</v>
      </c>
      <c r="GM22" s="619">
        <v>2.6622515548816819E-3</v>
      </c>
      <c r="GN22" s="619">
        <v>1.7993712506112751E-2</v>
      </c>
      <c r="GO22" s="619">
        <v>1.7993712506112751E-2</v>
      </c>
      <c r="GP22" s="619">
        <v>20.447400575128125</v>
      </c>
      <c r="GQ22" s="619">
        <v>9.8147522760615017E-4</v>
      </c>
      <c r="GR22" s="619">
        <v>1.1695913128973289E-3</v>
      </c>
      <c r="GS22" s="619">
        <v>4.8664813368804946E-3</v>
      </c>
      <c r="GT22" s="619">
        <v>7.4428538093466377E-5</v>
      </c>
      <c r="GU22" s="619">
        <v>5.3981137518338258E-4</v>
      </c>
      <c r="GV22" s="619">
        <v>5.8888513656369001E-5</v>
      </c>
      <c r="GW22" s="619">
        <v>5.1118501437820321E-4</v>
      </c>
      <c r="GX22" s="619">
        <v>139.04232391087126</v>
      </c>
      <c r="GY22" s="619">
        <v>9.6920678726107306E-3</v>
      </c>
      <c r="GZ22" s="619">
        <v>4.4166385242276748E-3</v>
      </c>
      <c r="HA22" s="619">
        <v>2.8749045208630142E-2</v>
      </c>
      <c r="HB22" s="619">
        <v>1.1573228725522518E-2</v>
      </c>
      <c r="HC22" s="619">
        <v>3.7786796262836773E-3</v>
      </c>
      <c r="HD22" s="619">
        <v>1.1777702731273801E-2</v>
      </c>
      <c r="HE22" s="619">
        <v>7.7700122185486884E-3</v>
      </c>
      <c r="HF22" s="619">
        <v>7.7700122185486884E-3</v>
      </c>
      <c r="HG22" s="619">
        <v>7.9335914231497134E-2</v>
      </c>
      <c r="HH22" s="619">
        <v>1.8075502108413262E-3</v>
      </c>
      <c r="HI22" s="619">
        <v>51.118501437820314</v>
      </c>
      <c r="HJ22" s="619">
        <v>5.8888513656368997E-4</v>
      </c>
      <c r="HK22" s="619">
        <v>0.68294317920927938</v>
      </c>
      <c r="HL22" s="619">
        <v>0.99783314806625256</v>
      </c>
      <c r="HM22" s="619">
        <v>8.6288030427040682E-2</v>
      </c>
      <c r="HN22" s="619">
        <v>1.1859492333574313E-2</v>
      </c>
      <c r="HO22" s="619">
        <v>4.7029021322794692E-5</v>
      </c>
      <c r="HP22" s="619">
        <v>3.0016784044288088E-3</v>
      </c>
      <c r="HQ22" s="619">
        <v>0.42939541207769066</v>
      </c>
      <c r="HR22" s="619">
        <v>8.0153810254502265</v>
      </c>
      <c r="HS22" s="619">
        <v>3.7623217058235754E-5</v>
      </c>
      <c r="HT22" s="619">
        <v>2.8462781600578349E-3</v>
      </c>
      <c r="HU22" s="619">
        <v>4.8664813368804935E-4</v>
      </c>
      <c r="HV22" s="619">
        <v>4.4984281265281878E-4</v>
      </c>
      <c r="HW22" s="619">
        <v>1.3086336368081999E-3</v>
      </c>
      <c r="HX22" s="619">
        <v>0.11246070316320468</v>
      </c>
      <c r="HY22" s="619">
        <v>0</v>
      </c>
      <c r="HZ22" s="619">
        <v>2.0447400575128128E-3</v>
      </c>
      <c r="IA22" s="619">
        <v>9.8147522760615017E-4</v>
      </c>
      <c r="IB22" s="619">
        <v>4.0894801150256253E-2</v>
      </c>
      <c r="IC22" s="619">
        <v>9.1195406565071444E-3</v>
      </c>
      <c r="ID22" s="619">
        <v>0.10223700287564064</v>
      </c>
      <c r="IE22" s="619">
        <v>1.5008392022144044E-2</v>
      </c>
      <c r="IF22" s="619">
        <v>0.72383798035953573</v>
      </c>
      <c r="IG22" s="619">
        <v>7.8926966219994565E-3</v>
      </c>
      <c r="IH22" s="619">
        <v>23.228247053345548</v>
      </c>
      <c r="II22" s="619">
        <v>2.0447400575128127</v>
      </c>
      <c r="IJ22" s="619">
        <v>2.8830834810930658E-3</v>
      </c>
      <c r="IK22" s="619">
        <v>0</v>
      </c>
      <c r="IL22" s="619">
        <v>0</v>
      </c>
      <c r="IM22" s="619">
        <v>0</v>
      </c>
      <c r="IN22" s="619">
        <v>0</v>
      </c>
      <c r="IO22" s="619">
        <v>0.27154147963770153</v>
      </c>
      <c r="IP22" s="619">
        <v>4.9073761380307509E-4</v>
      </c>
      <c r="IQ22" s="619">
        <v>1.3945127192237382E-2</v>
      </c>
      <c r="IR22" s="619">
        <v>21.510665405034789</v>
      </c>
      <c r="IS22" s="619">
        <v>5.1118501437820318E-2</v>
      </c>
      <c r="IT22" s="619">
        <v>5.807061763336388E-2</v>
      </c>
      <c r="IU22" s="619">
        <v>0.70339057978440755</v>
      </c>
      <c r="IV22" s="619">
        <v>3.369731614781115E-2</v>
      </c>
      <c r="IW22" s="619">
        <v>0.40281379133002404</v>
      </c>
      <c r="IX22" s="619">
        <v>3.9667957115748567</v>
      </c>
      <c r="IY22" s="619">
        <v>1.2963651964631232E-2</v>
      </c>
      <c r="IZ22" s="619">
        <v>1.4026916794537894E-2</v>
      </c>
      <c r="JA22" s="619">
        <v>0.71974850024451009</v>
      </c>
      <c r="JB22" s="619">
        <v>6.0933253713881808E-3</v>
      </c>
      <c r="JC22" s="619">
        <v>31.488996885697315</v>
      </c>
      <c r="JD22" s="619">
        <v>4.2121645184763938E-3</v>
      </c>
      <c r="JE22" s="619">
        <v>0.17830133301511727</v>
      </c>
      <c r="JF22" s="619">
        <v>0.2519119750855785</v>
      </c>
      <c r="JG22" s="619">
        <v>0.35864740608774731</v>
      </c>
      <c r="JH22" s="619">
        <v>30.507521658091164</v>
      </c>
      <c r="JI22" s="619">
        <v>62.160097748389504</v>
      </c>
      <c r="JJ22" s="619">
        <v>8.9150666507558632E-4</v>
      </c>
      <c r="JK22" s="619">
        <v>1.2636493555429182E-3</v>
      </c>
      <c r="JL22" s="619">
        <v>2.0897243387780942E-2</v>
      </c>
      <c r="JM22" s="619">
        <v>0.50300605414815192</v>
      </c>
      <c r="JN22" s="619">
        <v>1.1368754719771237</v>
      </c>
      <c r="JO22" s="619">
        <v>0.29362467225883987</v>
      </c>
      <c r="JP22" s="619">
        <v>0.21183506995832738</v>
      </c>
      <c r="JQ22" s="619">
        <v>0.28217412793676816</v>
      </c>
      <c r="JR22" s="619">
        <v>0.27113253162619894</v>
      </c>
    </row>
    <row r="23" spans="1:279" ht="27">
      <c r="A23" s="47"/>
      <c r="B23" s="170"/>
      <c r="C23" s="582" t="s">
        <v>1654</v>
      </c>
      <c r="D23" s="26" t="s">
        <v>1725</v>
      </c>
      <c r="E23" s="26" t="s">
        <v>252</v>
      </c>
      <c r="FE23" s="621">
        <v>0.15908077647449681</v>
      </c>
      <c r="FF23" s="621">
        <v>1.9629504552123003E-3</v>
      </c>
      <c r="FG23" s="621">
        <v>73.610642070461253</v>
      </c>
      <c r="FH23" s="621">
        <v>3.8113954672038828E-3</v>
      </c>
      <c r="FI23" s="621">
        <v>2.4945828701656314E-5</v>
      </c>
      <c r="FJ23" s="621">
        <v>83425394.346522748</v>
      </c>
      <c r="FK23" s="621">
        <v>5.4390085529840817E-3</v>
      </c>
      <c r="FL23" s="621">
        <v>4.2530593196266498E-3</v>
      </c>
      <c r="FM23" s="621">
        <v>0.3500594978461935</v>
      </c>
      <c r="FN23" s="621">
        <v>3.9995115524950613E-4</v>
      </c>
      <c r="FO23" s="621">
        <v>4.5393229276784438E-3</v>
      </c>
      <c r="FP23" s="621">
        <v>3.3124788931707566E-4</v>
      </c>
      <c r="FQ23" s="621">
        <v>8.9150666507558634E-3</v>
      </c>
      <c r="FR23" s="621">
        <v>0.3525949755175094</v>
      </c>
      <c r="FS23" s="621">
        <v>9.2831198611081694E-4</v>
      </c>
      <c r="FT23" s="621">
        <v>1.0101015884113294E-2</v>
      </c>
      <c r="FU23" s="621">
        <v>1.8607134523366593E-4</v>
      </c>
      <c r="FV23" s="621">
        <v>1.2718283157729695E-5</v>
      </c>
      <c r="FW23" s="621">
        <v>1.3495284379584563E-5</v>
      </c>
      <c r="FX23" s="621">
        <v>4.7029021322794688E-3</v>
      </c>
      <c r="FY23" s="621">
        <v>8.1380654289009945E-3</v>
      </c>
      <c r="FZ23" s="621">
        <v>2.3269141854495808E-3</v>
      </c>
      <c r="GA23" s="621">
        <v>1.2395214228642668E-4</v>
      </c>
      <c r="GB23" s="621">
        <v>5.6434825587353627E-3</v>
      </c>
      <c r="GC23" s="621">
        <v>3.7868585865137284E-2</v>
      </c>
      <c r="GD23" s="621">
        <v>1.3045441566931744E-2</v>
      </c>
      <c r="GE23" s="621">
        <v>0.10714437901367138</v>
      </c>
      <c r="GF23" s="621">
        <v>2.4005248275200418E-2</v>
      </c>
      <c r="GG23" s="621">
        <v>0.13290810373833281</v>
      </c>
      <c r="GH23" s="621">
        <v>2.1019927791231713E-2</v>
      </c>
      <c r="GI23" s="621">
        <v>2.118350699583274E-2</v>
      </c>
      <c r="GJ23" s="621">
        <v>0.10428174293315345</v>
      </c>
      <c r="GK23" s="621">
        <v>334.51947340909612</v>
      </c>
      <c r="GL23" s="621">
        <v>3.3165683732857817E-2</v>
      </c>
      <c r="GM23" s="621">
        <v>2.6622515548816819E-3</v>
      </c>
      <c r="GN23" s="621">
        <v>1.7993712506112751E-2</v>
      </c>
      <c r="GO23" s="621">
        <v>1.7993712506112751E-2</v>
      </c>
      <c r="GP23" s="621">
        <v>20.447400575128125</v>
      </c>
      <c r="GQ23" s="621">
        <v>9.8147522760615017E-4</v>
      </c>
      <c r="GR23" s="621">
        <v>1.1695913128973289E-3</v>
      </c>
      <c r="GS23" s="621">
        <v>4.8664813368804946E-3</v>
      </c>
      <c r="GT23" s="621">
        <v>7.4428538093466377E-5</v>
      </c>
      <c r="GU23" s="621">
        <v>5.3981137518338258E-4</v>
      </c>
      <c r="GV23" s="621">
        <v>5.8888513656369001E-5</v>
      </c>
      <c r="GW23" s="621">
        <v>5.1118501437820321E-4</v>
      </c>
      <c r="GX23" s="621">
        <v>139.04232391087126</v>
      </c>
      <c r="GY23" s="621">
        <v>9.6920678726107306E-3</v>
      </c>
      <c r="GZ23" s="621">
        <v>4.4166385242276748E-3</v>
      </c>
      <c r="HA23" s="621">
        <v>2.8749045208630142E-2</v>
      </c>
      <c r="HB23" s="621">
        <v>1.1573228725522518E-2</v>
      </c>
      <c r="HC23" s="621">
        <v>3.7786796262836773E-3</v>
      </c>
      <c r="HD23" s="621">
        <v>1.1777702731273801E-2</v>
      </c>
      <c r="HE23" s="621">
        <v>7.7700122185486884E-3</v>
      </c>
      <c r="HF23" s="621">
        <v>7.7700122185486884E-3</v>
      </c>
      <c r="HG23" s="621">
        <v>7.9335914231497134E-2</v>
      </c>
      <c r="HH23" s="621">
        <v>1.8075502108413262E-3</v>
      </c>
      <c r="HI23" s="621">
        <v>51.118501437820314</v>
      </c>
      <c r="HJ23" s="621">
        <v>5.8888513656368997E-4</v>
      </c>
      <c r="HK23" s="621">
        <v>0.68294317920927938</v>
      </c>
      <c r="HL23" s="621">
        <v>0.99783314806625256</v>
      </c>
      <c r="HM23" s="621">
        <v>8.6288030427040682E-2</v>
      </c>
      <c r="HN23" s="621">
        <v>1.1859492333574313E-2</v>
      </c>
      <c r="HO23" s="621">
        <v>4.7029021322794692E-5</v>
      </c>
      <c r="HP23" s="621">
        <v>3.0016784044288088E-3</v>
      </c>
      <c r="HQ23" s="621">
        <v>0.42939541207769066</v>
      </c>
      <c r="HR23" s="621">
        <v>8.0153810254502265</v>
      </c>
      <c r="HS23" s="621">
        <v>3.7623217058235754E-5</v>
      </c>
      <c r="HT23" s="621">
        <v>2.8462781600578349E-3</v>
      </c>
      <c r="HU23" s="621">
        <v>4.8664813368804935E-4</v>
      </c>
      <c r="HV23" s="621">
        <v>4.4984281265281878E-4</v>
      </c>
      <c r="HW23" s="621">
        <v>1.3086336368081999E-3</v>
      </c>
      <c r="HX23" s="621">
        <v>0.11246070316320468</v>
      </c>
      <c r="HY23" s="621">
        <v>0</v>
      </c>
      <c r="HZ23" s="621">
        <v>2.0447400575128128E-3</v>
      </c>
      <c r="IA23" s="621">
        <v>9.8147522760615017E-4</v>
      </c>
      <c r="IB23" s="621">
        <v>4.0894801150256253E-2</v>
      </c>
      <c r="IC23" s="621">
        <v>9.1195406565071444E-3</v>
      </c>
      <c r="ID23" s="621">
        <v>0.10223700287564064</v>
      </c>
      <c r="IE23" s="621">
        <v>1.5008392022144044E-2</v>
      </c>
      <c r="IF23" s="621">
        <v>0.72383798035953573</v>
      </c>
      <c r="IG23" s="621">
        <v>7.8926966219994565E-3</v>
      </c>
      <c r="IH23" s="621">
        <v>23.228247053345548</v>
      </c>
      <c r="II23" s="621">
        <v>2.0447400575128127</v>
      </c>
      <c r="IJ23" s="621">
        <v>2.8830834810930658E-3</v>
      </c>
      <c r="IK23" s="621">
        <v>0</v>
      </c>
      <c r="IL23" s="621">
        <v>0</v>
      </c>
      <c r="IM23" s="621">
        <v>0</v>
      </c>
      <c r="IN23" s="621">
        <v>0</v>
      </c>
      <c r="IO23" s="621">
        <v>0.27154147963770153</v>
      </c>
      <c r="IP23" s="621">
        <v>4.9073761380307509E-4</v>
      </c>
      <c r="IQ23" s="621">
        <v>1.3945127192237382E-2</v>
      </c>
      <c r="IR23" s="621">
        <v>21.510665405034789</v>
      </c>
      <c r="IS23" s="621">
        <v>5.1118501437820318E-2</v>
      </c>
      <c r="IT23" s="621">
        <v>5.807061763336388E-2</v>
      </c>
      <c r="IU23" s="621">
        <v>0.70339057978440755</v>
      </c>
      <c r="IV23" s="621">
        <v>3.369731614781115E-2</v>
      </c>
      <c r="IW23" s="621">
        <v>0.40281379133002404</v>
      </c>
      <c r="IX23" s="621">
        <v>3.9667957115748567</v>
      </c>
      <c r="IY23" s="621">
        <v>1.2963651964631232E-2</v>
      </c>
      <c r="IZ23" s="621">
        <v>1.4026916794537894E-2</v>
      </c>
      <c r="JA23" s="621">
        <v>0.71974850024451009</v>
      </c>
      <c r="JB23" s="621">
        <v>6.0933253713881808E-3</v>
      </c>
      <c r="JC23" s="621">
        <v>31.488996885697315</v>
      </c>
      <c r="JD23" s="621">
        <v>4.2121645184763938E-3</v>
      </c>
      <c r="JE23" s="621">
        <v>0.17830133301511727</v>
      </c>
      <c r="JF23" s="621">
        <v>0.2519119750855785</v>
      </c>
      <c r="JG23" s="621">
        <v>0.35864740608774731</v>
      </c>
      <c r="JH23" s="621">
        <v>30.507521658091164</v>
      </c>
      <c r="JI23" s="621">
        <v>62.160097748389504</v>
      </c>
      <c r="JJ23" s="621">
        <v>8.9150666507558632E-4</v>
      </c>
      <c r="JK23" s="621">
        <v>1.2636493555429182E-3</v>
      </c>
      <c r="JL23" s="621">
        <v>2.0897243387780942E-2</v>
      </c>
      <c r="JM23" s="621">
        <v>0.50300605414815192</v>
      </c>
      <c r="JN23" s="621">
        <v>1.1368754719771237</v>
      </c>
      <c r="JO23" s="621">
        <v>0.29362467225883987</v>
      </c>
      <c r="JP23" s="621">
        <v>0.21183506995832738</v>
      </c>
      <c r="JQ23" s="621">
        <v>0.28217412793676816</v>
      </c>
      <c r="JR23" s="621">
        <v>0.27113253162619894</v>
      </c>
    </row>
    <row r="24" spans="1:279" ht="15">
      <c r="A24" s="54"/>
      <c r="B24" s="170" t="s">
        <v>117</v>
      </c>
      <c r="C24" s="170"/>
      <c r="D24" s="26" t="s">
        <v>304</v>
      </c>
      <c r="E24" s="26" t="s">
        <v>303</v>
      </c>
      <c r="FE24" s="354">
        <v>3.2093799999999999E-2</v>
      </c>
      <c r="FF24" s="354">
        <v>4.0425500000000003E-2</v>
      </c>
      <c r="FG24" s="354">
        <v>7.3107800000000001E-2</v>
      </c>
      <c r="FH24" s="354">
        <v>7.0356399999999999E-2</v>
      </c>
      <c r="FI24" s="354">
        <v>0.1733034</v>
      </c>
      <c r="FJ24" s="354">
        <v>0.1879912</v>
      </c>
      <c r="FK24" s="354">
        <v>0.1678036</v>
      </c>
      <c r="FL24" s="354">
        <v>0.21909960000000001</v>
      </c>
      <c r="FM24" s="354">
        <v>0.18806690000000001</v>
      </c>
      <c r="FN24" s="354">
        <v>8.9667700000000003E-2</v>
      </c>
      <c r="FO24" s="354">
        <v>2.1278999999999999E-2</v>
      </c>
      <c r="FP24" s="354">
        <v>0.1032261</v>
      </c>
      <c r="FQ24" s="354">
        <v>3.2784099999999997E-2</v>
      </c>
      <c r="FR24" s="354">
        <v>3.0700000000000002E-2</v>
      </c>
      <c r="FS24" s="354">
        <v>2.0400000000000001E-2</v>
      </c>
      <c r="FT24" s="354">
        <v>9.6429899999999999E-2</v>
      </c>
      <c r="FU24" s="354">
        <v>0.1582741</v>
      </c>
      <c r="FV24" s="354">
        <v>6.5834699999999996E-2</v>
      </c>
      <c r="FW24" s="354">
        <v>9.5155699999999996E-2</v>
      </c>
      <c r="FX24" s="354">
        <v>9.5776299999999995E-2</v>
      </c>
      <c r="FY24" s="354">
        <v>8.5997199999999996E-2</v>
      </c>
      <c r="FZ24" s="354">
        <v>9.1446200000000005E-2</v>
      </c>
      <c r="GA24" s="354">
        <v>0.12908939999999999</v>
      </c>
      <c r="GB24" s="354">
        <v>6.97797E-2</v>
      </c>
      <c r="GC24" s="354">
        <v>0.1165494</v>
      </c>
      <c r="GD24" s="354">
        <v>7.5044700000000006E-2</v>
      </c>
      <c r="GE24" s="354">
        <v>1.7396999999999999E-2</v>
      </c>
      <c r="GF24" s="354">
        <v>7.5267200000000006E-2</v>
      </c>
      <c r="GG24" s="354">
        <v>9.9936200000000003E-2</v>
      </c>
      <c r="GH24" s="354">
        <v>5.2770499999999998E-2</v>
      </c>
      <c r="GI24" s="354">
        <v>5.2431899999999997E-2</v>
      </c>
      <c r="GJ24" s="354">
        <v>6.2902E-2</v>
      </c>
      <c r="GK24" s="354">
        <v>3.6193999999999997E-2</v>
      </c>
      <c r="GL24" s="354">
        <v>2.1880199999999999E-2</v>
      </c>
      <c r="GM24" s="354">
        <v>2.45667E-2</v>
      </c>
      <c r="GN24" s="354" t="s">
        <v>1750</v>
      </c>
      <c r="GO24" s="354">
        <v>6.0499400000000002E-2</v>
      </c>
      <c r="GP24" s="354">
        <v>4.3301899999999997E-2</v>
      </c>
      <c r="GQ24" s="354">
        <v>6.8054000000000003E-2</v>
      </c>
      <c r="GR24" s="354">
        <v>0.11928370000000001</v>
      </c>
      <c r="GS24" s="354">
        <v>8.4693400000000002E-2</v>
      </c>
      <c r="GT24" s="354">
        <v>9.8767400000000005E-2</v>
      </c>
      <c r="GU24" s="354">
        <v>4.2166299999999997E-2</v>
      </c>
      <c r="GV24" s="354">
        <v>8.4054699999999996E-2</v>
      </c>
      <c r="GW24" s="354">
        <v>5.87535E-2</v>
      </c>
      <c r="GX24" s="354">
        <v>5.1431999999999999E-2</v>
      </c>
      <c r="GY24" s="354">
        <v>2.4144200000000001E-2</v>
      </c>
      <c r="GZ24" s="354">
        <v>2.78108E-2</v>
      </c>
      <c r="HA24" s="354">
        <v>2.94332E-2</v>
      </c>
      <c r="HB24" s="354">
        <v>2.3589100000000002E-2</v>
      </c>
      <c r="HC24" s="354">
        <v>2.3589100000000002E-2</v>
      </c>
      <c r="HD24" s="354">
        <v>2.3589100000000002E-2</v>
      </c>
      <c r="HE24" s="354">
        <v>2.3589100000000002E-2</v>
      </c>
      <c r="HF24" s="354">
        <v>2.3589100000000002E-2</v>
      </c>
      <c r="HG24" s="354">
        <v>3.1516700000000002E-2</v>
      </c>
      <c r="HH24" s="354">
        <v>2.6274200000000001E-2</v>
      </c>
      <c r="HI24" s="354">
        <v>8.2129300000000002E-2</v>
      </c>
      <c r="HJ24" s="354">
        <v>2.6954100000000002E-2</v>
      </c>
      <c r="HK24" s="354">
        <v>8.9328199999999996E-2</v>
      </c>
      <c r="HL24" s="354">
        <v>0.1882017</v>
      </c>
      <c r="HM24" s="354">
        <v>0.21936549999999999</v>
      </c>
      <c r="HN24" s="354">
        <v>2.18047E-2</v>
      </c>
      <c r="HO24" s="354">
        <v>0.1173874</v>
      </c>
      <c r="HP24" s="354">
        <v>0.11037669999999999</v>
      </c>
      <c r="HQ24" s="354">
        <v>6.0155800000000002E-2</v>
      </c>
      <c r="HR24" s="354">
        <v>0.10969669999999999</v>
      </c>
      <c r="HS24" s="354">
        <v>8.3144999999999997E-2</v>
      </c>
      <c r="HT24" s="354">
        <v>0.1085105</v>
      </c>
      <c r="HU24" s="354">
        <v>2.7787300000000001E-2</v>
      </c>
      <c r="HV24" s="354">
        <v>9.3088299999999999E-2</v>
      </c>
      <c r="HW24" s="354">
        <v>2.31577E-2</v>
      </c>
      <c r="HX24" s="354">
        <v>7.1113999999999997E-2</v>
      </c>
      <c r="HY24" s="354">
        <v>0.12078220000000001</v>
      </c>
      <c r="HZ24" s="354">
        <v>4.7027800000000002E-2</v>
      </c>
      <c r="IA24" s="354">
        <v>2.15955E-2</v>
      </c>
      <c r="IB24" s="354">
        <v>3.1895800000000002E-2</v>
      </c>
      <c r="IC24" s="354">
        <v>2.43476E-2</v>
      </c>
      <c r="ID24" s="354">
        <v>4.8176099999999999E-2</v>
      </c>
      <c r="IE24" s="354">
        <v>4.8920600000000002E-2</v>
      </c>
      <c r="IF24" s="354">
        <v>5.0466400000000002E-2</v>
      </c>
      <c r="IG24" s="354">
        <v>2.7587299999999999E-2</v>
      </c>
      <c r="IH24" s="354">
        <v>2.4640100000000002E-2</v>
      </c>
      <c r="II24" s="354">
        <v>8.2306599999999994E-2</v>
      </c>
      <c r="IJ24" s="354">
        <v>9.5415399999999997E-2</v>
      </c>
      <c r="IK24" s="354">
        <v>3.8883000000000001E-2</v>
      </c>
      <c r="IL24" s="354">
        <v>3.9344900000000002E-2</v>
      </c>
      <c r="IM24" s="354">
        <v>0.1214751</v>
      </c>
      <c r="IN24" s="354">
        <v>3.7971600000000001E-2</v>
      </c>
      <c r="IO24" s="354">
        <v>7.7803899999999995E-2</v>
      </c>
      <c r="IP24" s="354">
        <v>2.2457499999999998E-2</v>
      </c>
      <c r="IQ24" s="354">
        <v>2.8968899999999999E-2</v>
      </c>
      <c r="IR24" s="354">
        <v>3.7565800000000003E-2</v>
      </c>
      <c r="IS24" s="354">
        <v>3.9530000000000003E-2</v>
      </c>
      <c r="IT24" s="354">
        <v>3.9599200000000001E-2</v>
      </c>
      <c r="IU24" s="354">
        <v>6.4817399999999997E-2</v>
      </c>
      <c r="IV24" s="354">
        <v>6.6890400000000003E-2</v>
      </c>
      <c r="IW24" s="354">
        <v>6.8661799999999995E-2</v>
      </c>
      <c r="IX24" s="354">
        <v>6.5355999999999997E-2</v>
      </c>
      <c r="IY24" s="354">
        <v>5.7157699999999999E-2</v>
      </c>
      <c r="IZ24" s="354">
        <v>5.7466099999999999E-2</v>
      </c>
      <c r="JA24" s="354">
        <v>5.9063200000000003E-2</v>
      </c>
      <c r="JB24" s="354">
        <v>6.6363099999999994E-2</v>
      </c>
      <c r="JC24" s="354">
        <v>9.90283E-2</v>
      </c>
      <c r="JD24" s="354">
        <v>2.2051899999999999E-2</v>
      </c>
      <c r="JE24" s="354">
        <v>6.1253500000000002E-2</v>
      </c>
      <c r="JF24" s="354">
        <v>6.0675399999999997E-2</v>
      </c>
      <c r="JG24" s="354">
        <v>6.0225399999999998E-2</v>
      </c>
      <c r="JH24" s="354">
        <v>5.9521699999999997E-2</v>
      </c>
      <c r="JI24" s="354">
        <v>2.1473800000000001E-2</v>
      </c>
      <c r="JJ24" s="354">
        <v>1.9401499999999999E-2</v>
      </c>
      <c r="JK24" s="354">
        <v>2.4218900000000002E-2</v>
      </c>
      <c r="JL24" s="354">
        <v>8.4901599999999994E-2</v>
      </c>
      <c r="JM24" s="354">
        <v>8.6223800000000003E-2</v>
      </c>
      <c r="JN24" s="354">
        <v>0.1071202</v>
      </c>
      <c r="JO24" s="354">
        <v>6.8365899999999993E-2</v>
      </c>
      <c r="JP24" s="354">
        <v>6.8920099999999998E-2</v>
      </c>
      <c r="JQ24" s="354">
        <v>6.8248500000000004E-2</v>
      </c>
      <c r="JR24" s="354">
        <v>6.8514800000000001E-2</v>
      </c>
    </row>
    <row r="25" spans="1:279" ht="15">
      <c r="A25" s="61"/>
      <c r="B25" s="90" t="s">
        <v>118</v>
      </c>
      <c r="C25" s="90"/>
      <c r="D25" s="76" t="s">
        <v>304</v>
      </c>
      <c r="E25" s="76" t="s">
        <v>305</v>
      </c>
      <c r="FE25" s="355">
        <v>8.8904000000000005E-6</v>
      </c>
      <c r="FF25" s="355">
        <v>7.2308000000000003E-6</v>
      </c>
      <c r="FG25" s="355">
        <v>8.1658000000000007E-6</v>
      </c>
      <c r="FH25" s="355">
        <v>8.4403999999999997E-6</v>
      </c>
      <c r="FI25" s="355">
        <v>1.9000000000000001E-5</v>
      </c>
      <c r="FJ25" s="355">
        <v>2.27E-5</v>
      </c>
      <c r="FK25" s="355">
        <v>1.6799999999999998E-5</v>
      </c>
      <c r="FL25" s="355">
        <v>2.23E-5</v>
      </c>
      <c r="FM25" s="355">
        <v>2.23E-5</v>
      </c>
      <c r="FN25" s="355">
        <v>1.0000000000000001E-5</v>
      </c>
      <c r="FO25" s="355">
        <v>5.3086999999999997E-6</v>
      </c>
      <c r="FP25" s="355">
        <v>1.1199999999999999E-5</v>
      </c>
      <c r="FQ25" s="355">
        <v>9.0550000000000005E-6</v>
      </c>
      <c r="FR25" s="355">
        <v>6.2999999999999998E-6</v>
      </c>
      <c r="FS25" s="355">
        <v>5.0286999999999998E-6</v>
      </c>
      <c r="FT25" s="355">
        <v>1.06E-5</v>
      </c>
      <c r="FU25" s="355">
        <v>1.6500000000000001E-5</v>
      </c>
      <c r="FV25" s="355">
        <v>8.7051999999999993E-6</v>
      </c>
      <c r="FW25" s="355">
        <v>1.1E-5</v>
      </c>
      <c r="FX25" s="355">
        <v>1.1E-5</v>
      </c>
      <c r="FY25" s="355">
        <v>1.0200000000000001E-5</v>
      </c>
      <c r="FZ25" s="355">
        <v>1.0200000000000001E-5</v>
      </c>
      <c r="GA25" s="355">
        <v>1.4E-5</v>
      </c>
      <c r="GB25" s="355">
        <v>8.3476999999999997E-6</v>
      </c>
      <c r="GC25" s="355">
        <v>1.31E-5</v>
      </c>
      <c r="GD25" s="355">
        <v>9.2087000000000004E-6</v>
      </c>
      <c r="GE25" s="355">
        <v>4.1792999999999999E-6</v>
      </c>
      <c r="GF25" s="355">
        <v>8.5903999999999999E-6</v>
      </c>
      <c r="GG25" s="355">
        <v>1.2500000000000001E-5</v>
      </c>
      <c r="GH25" s="355">
        <v>7.8476999999999994E-6</v>
      </c>
      <c r="GI25" s="355">
        <v>7.7811000000000008E-6</v>
      </c>
      <c r="GJ25" s="355">
        <v>8.1911000000000002E-6</v>
      </c>
      <c r="GK25" s="355">
        <v>6.4309999999999999E-6</v>
      </c>
      <c r="GL25" s="355">
        <v>5.6296000000000003E-6</v>
      </c>
      <c r="GM25" s="355">
        <v>6.4300000000000003E-6</v>
      </c>
      <c r="GN25" s="355" t="s">
        <v>1750</v>
      </c>
      <c r="GO25" s="355">
        <v>8.3769999999999996E-6</v>
      </c>
      <c r="GP25" s="355">
        <v>8.1704000000000006E-6</v>
      </c>
      <c r="GQ25" s="355">
        <v>9.4494999999999999E-6</v>
      </c>
      <c r="GR25" s="355">
        <v>1.3900000000000001E-5</v>
      </c>
      <c r="GS25" s="355">
        <v>1.0200000000000001E-5</v>
      </c>
      <c r="GT25" s="355">
        <v>1.15E-5</v>
      </c>
      <c r="GU25" s="355">
        <v>6.8307999999999999E-6</v>
      </c>
      <c r="GV25" s="355">
        <v>9.9876000000000007E-6</v>
      </c>
      <c r="GW25" s="355">
        <v>8.6674999999999996E-6</v>
      </c>
      <c r="GX25" s="355">
        <v>6.7689999999999999E-6</v>
      </c>
      <c r="GY25" s="355">
        <v>6.0507000000000004E-6</v>
      </c>
      <c r="GZ25" s="355">
        <v>3.2495E-6</v>
      </c>
      <c r="HA25" s="355">
        <v>7.9472999999999993E-6</v>
      </c>
      <c r="HB25" s="355">
        <v>6.0595000000000002E-6</v>
      </c>
      <c r="HC25" s="355">
        <v>6.0595000000000002E-6</v>
      </c>
      <c r="HD25" s="355">
        <v>6.0595000000000002E-6</v>
      </c>
      <c r="HE25" s="355">
        <v>6.0595000000000002E-6</v>
      </c>
      <c r="HF25" s="355">
        <v>6.0595000000000002E-6</v>
      </c>
      <c r="HG25" s="355">
        <v>8.5663999999999998E-6</v>
      </c>
      <c r="HH25" s="355">
        <v>6.9198000000000002E-6</v>
      </c>
      <c r="HI25" s="355">
        <v>8.7973999999999998E-6</v>
      </c>
      <c r="HJ25" s="355">
        <v>7.1602999999999999E-6</v>
      </c>
      <c r="HK25" s="355">
        <v>1.17E-5</v>
      </c>
      <c r="HL25" s="355">
        <v>2.23E-5</v>
      </c>
      <c r="HM25" s="355">
        <v>2.7699999999999999E-5</v>
      </c>
      <c r="HN25" s="355">
        <v>5.5052000000000002E-6</v>
      </c>
      <c r="HO25" s="355">
        <v>1.31E-5</v>
      </c>
      <c r="HP25" s="355">
        <v>1.22E-5</v>
      </c>
      <c r="HQ25" s="355">
        <v>7.8310000000000001E-6</v>
      </c>
      <c r="HR25" s="355">
        <v>1.0699999999999999E-5</v>
      </c>
      <c r="HS25" s="355">
        <v>9.9604000000000004E-6</v>
      </c>
      <c r="HT25" s="355">
        <v>1.19E-5</v>
      </c>
      <c r="HU25" s="355">
        <v>7.2478999999999997E-6</v>
      </c>
      <c r="HV25" s="355">
        <v>1.0900000000000001E-5</v>
      </c>
      <c r="HW25" s="355">
        <v>5.9147999999999997E-6</v>
      </c>
      <c r="HX25" s="355">
        <v>8.7838000000000005E-6</v>
      </c>
      <c r="HY25" s="355">
        <v>1.6099999999999998E-5</v>
      </c>
      <c r="HZ25" s="355">
        <v>6.7568000000000003E-6</v>
      </c>
      <c r="IA25" s="355">
        <v>5.3859999999999998E-6</v>
      </c>
      <c r="IB25" s="355">
        <v>8.7530999999999993E-6</v>
      </c>
      <c r="IC25" s="355">
        <v>6.2697000000000003E-6</v>
      </c>
      <c r="ID25" s="355">
        <v>9.0976999999999993E-6</v>
      </c>
      <c r="IE25" s="355">
        <v>9.2901999999999996E-6</v>
      </c>
      <c r="IF25" s="355">
        <v>9.4551000000000003E-6</v>
      </c>
      <c r="IG25" s="355">
        <v>7.2524000000000002E-6</v>
      </c>
      <c r="IH25" s="355">
        <v>6.4026000000000003E-6</v>
      </c>
      <c r="II25" s="355">
        <v>1.06E-5</v>
      </c>
      <c r="IJ25" s="355">
        <v>1.08E-5</v>
      </c>
      <c r="IK25" s="355">
        <v>1.17E-5</v>
      </c>
      <c r="IL25" s="355">
        <v>1.2300000000000001E-5</v>
      </c>
      <c r="IM25" s="355">
        <v>1.4100000000000001E-5</v>
      </c>
      <c r="IN25" s="355">
        <v>9.0633000000000001E-6</v>
      </c>
      <c r="IO25" s="355">
        <v>9.2042999999999993E-6</v>
      </c>
      <c r="IP25" s="355">
        <v>5.6737999999999998E-6</v>
      </c>
      <c r="IQ25" s="355">
        <v>7.8945000000000004E-6</v>
      </c>
      <c r="IR25" s="355">
        <v>8.5920000000000001E-6</v>
      </c>
      <c r="IS25" s="355">
        <v>8.3836000000000005E-6</v>
      </c>
      <c r="IT25" s="355">
        <v>8.4032999999999997E-6</v>
      </c>
      <c r="IU25" s="355">
        <v>9.5990000000000008E-6</v>
      </c>
      <c r="IV25" s="355">
        <v>1.0000000000000001E-5</v>
      </c>
      <c r="IW25" s="355">
        <v>1.0200000000000001E-5</v>
      </c>
      <c r="IX25" s="355">
        <v>1.0000000000000001E-5</v>
      </c>
      <c r="IY25" s="355">
        <v>9.1734999999999995E-6</v>
      </c>
      <c r="IZ25" s="355">
        <v>9.2411000000000003E-6</v>
      </c>
      <c r="JA25" s="355">
        <v>9.4102000000000001E-6</v>
      </c>
      <c r="JB25" s="355">
        <v>7.8576000000000008E-6</v>
      </c>
      <c r="JC25" s="355">
        <v>1.1600000000000001E-5</v>
      </c>
      <c r="JD25" s="355">
        <v>5.5736999999999997E-6</v>
      </c>
      <c r="JE25" s="355">
        <v>8.0214000000000008E-6</v>
      </c>
      <c r="JF25" s="355">
        <v>7.9209000000000007E-6</v>
      </c>
      <c r="JG25" s="355">
        <v>7.8429999999999993E-6</v>
      </c>
      <c r="JH25" s="355">
        <v>7.3081999999999998E-6</v>
      </c>
      <c r="JI25" s="355">
        <v>5.3510000000000001E-6</v>
      </c>
      <c r="JJ25" s="355">
        <v>4.8833000000000003E-6</v>
      </c>
      <c r="JK25" s="355">
        <v>6.0745E-6</v>
      </c>
      <c r="JL25" s="355">
        <v>1.0000000000000001E-5</v>
      </c>
      <c r="JM25" s="355">
        <v>1.17E-5</v>
      </c>
      <c r="JN25" s="355">
        <v>1.2E-5</v>
      </c>
      <c r="JO25" s="355">
        <v>8.4393999999999992E-6</v>
      </c>
      <c r="JP25" s="355">
        <v>8.5314999999999995E-6</v>
      </c>
      <c r="JQ25" s="355">
        <v>8.4199000000000005E-6</v>
      </c>
      <c r="JR25" s="355">
        <v>8.4641000000000008E-6</v>
      </c>
    </row>
    <row r="26" spans="1:279" ht="18">
      <c r="A26" s="701" t="s">
        <v>132</v>
      </c>
      <c r="B26" s="702"/>
      <c r="C26" s="702"/>
      <c r="D26" s="324" t="s">
        <v>136</v>
      </c>
      <c r="E26" s="324" t="s">
        <v>137</v>
      </c>
      <c r="FE26"/>
      <c r="FF26" s="616" t="s">
        <v>2298</v>
      </c>
      <c r="FG26" s="616" t="s">
        <v>2298</v>
      </c>
      <c r="FH26" s="616" t="s">
        <v>2298</v>
      </c>
      <c r="FI26" s="616" t="s">
        <v>2298</v>
      </c>
      <c r="FJ26" s="616" t="s">
        <v>2298</v>
      </c>
      <c r="FK26" s="616" t="s">
        <v>2298</v>
      </c>
      <c r="FL26" s="616" t="s">
        <v>2298</v>
      </c>
      <c r="FM26" s="616" t="s">
        <v>2298</v>
      </c>
      <c r="FN26" s="616" t="s">
        <v>2298</v>
      </c>
      <c r="FO26" s="616" t="s">
        <v>2298</v>
      </c>
      <c r="FP26" s="616" t="s">
        <v>2298</v>
      </c>
      <c r="FQ26" s="616" t="s">
        <v>2298</v>
      </c>
      <c r="FR26" s="616" t="s">
        <v>2298</v>
      </c>
      <c r="FS26" s="616" t="s">
        <v>2298</v>
      </c>
      <c r="FT26" s="616" t="s">
        <v>2298</v>
      </c>
      <c r="FU26" s="616" t="s">
        <v>2298</v>
      </c>
      <c r="FV26" s="616" t="s">
        <v>2298</v>
      </c>
      <c r="FW26" s="616" t="s">
        <v>2298</v>
      </c>
      <c r="FX26" s="616" t="s">
        <v>2298</v>
      </c>
      <c r="FY26" s="616" t="s">
        <v>2298</v>
      </c>
      <c r="FZ26" s="616" t="s">
        <v>2298</v>
      </c>
      <c r="GA26" s="616" t="s">
        <v>2298</v>
      </c>
      <c r="GB26" s="616" t="s">
        <v>2298</v>
      </c>
      <c r="GC26" s="616" t="s">
        <v>2298</v>
      </c>
      <c r="GD26" s="616" t="s">
        <v>2298</v>
      </c>
      <c r="GE26" s="616" t="s">
        <v>2298</v>
      </c>
      <c r="GF26" s="616" t="s">
        <v>2298</v>
      </c>
      <c r="GG26" s="616" t="s">
        <v>2298</v>
      </c>
      <c r="GH26" s="616" t="s">
        <v>2298</v>
      </c>
      <c r="GI26" s="616" t="s">
        <v>2298</v>
      </c>
      <c r="GJ26" s="616" t="s">
        <v>2298</v>
      </c>
      <c r="GK26" s="616" t="s">
        <v>2298</v>
      </c>
      <c r="GL26" s="616" t="s">
        <v>2298</v>
      </c>
      <c r="GM26" s="616" t="s">
        <v>2298</v>
      </c>
      <c r="GN26" s="616" t="s">
        <v>2298</v>
      </c>
      <c r="GO26" s="616" t="s">
        <v>2298</v>
      </c>
      <c r="GP26" s="616" t="s">
        <v>2298</v>
      </c>
      <c r="GQ26" s="616" t="s">
        <v>2298</v>
      </c>
      <c r="GR26" s="616" t="s">
        <v>2298</v>
      </c>
      <c r="GS26" s="616" t="s">
        <v>2298</v>
      </c>
      <c r="GT26" s="616" t="s">
        <v>2298</v>
      </c>
      <c r="GU26" s="616" t="s">
        <v>2298</v>
      </c>
      <c r="GV26" s="616" t="s">
        <v>2298</v>
      </c>
      <c r="GW26" s="616" t="s">
        <v>2298</v>
      </c>
      <c r="GX26" s="616" t="s">
        <v>2298</v>
      </c>
      <c r="GY26" s="616" t="s">
        <v>2298</v>
      </c>
      <c r="GZ26" s="616" t="s">
        <v>2298</v>
      </c>
      <c r="HA26" s="616" t="s">
        <v>2298</v>
      </c>
      <c r="HB26" s="616" t="s">
        <v>2298</v>
      </c>
      <c r="HC26" s="616" t="s">
        <v>2298</v>
      </c>
      <c r="HD26" s="616" t="s">
        <v>2298</v>
      </c>
      <c r="HE26" s="616" t="s">
        <v>2298</v>
      </c>
      <c r="HF26" s="616" t="s">
        <v>2298</v>
      </c>
      <c r="HG26" s="616" t="s">
        <v>2298</v>
      </c>
      <c r="HH26" s="616" t="s">
        <v>2298</v>
      </c>
      <c r="HI26" s="616" t="s">
        <v>2298</v>
      </c>
      <c r="HJ26" s="616" t="s">
        <v>2298</v>
      </c>
      <c r="HK26" s="616" t="s">
        <v>2298</v>
      </c>
      <c r="HL26" s="616" t="s">
        <v>2298</v>
      </c>
      <c r="HM26" s="616" t="s">
        <v>2298</v>
      </c>
      <c r="HN26" s="616" t="s">
        <v>2298</v>
      </c>
      <c r="HO26" s="616" t="s">
        <v>2298</v>
      </c>
      <c r="HP26" s="616" t="s">
        <v>2298</v>
      </c>
      <c r="HQ26" s="616" t="s">
        <v>2298</v>
      </c>
      <c r="HR26" s="616" t="s">
        <v>2298</v>
      </c>
      <c r="HS26" s="616" t="s">
        <v>2298</v>
      </c>
      <c r="HT26" s="616" t="s">
        <v>2298</v>
      </c>
      <c r="HU26" s="616" t="s">
        <v>2298</v>
      </c>
      <c r="HV26" s="616" t="s">
        <v>2298</v>
      </c>
      <c r="HW26" s="616" t="s">
        <v>2298</v>
      </c>
      <c r="HX26" s="616" t="s">
        <v>2298</v>
      </c>
      <c r="HY26" s="616" t="s">
        <v>2298</v>
      </c>
      <c r="HZ26" s="616" t="s">
        <v>2298</v>
      </c>
      <c r="IA26" s="616" t="s">
        <v>2298</v>
      </c>
      <c r="IB26" s="616" t="s">
        <v>2298</v>
      </c>
      <c r="IC26" s="616" t="s">
        <v>2298</v>
      </c>
      <c r="ID26" s="616" t="s">
        <v>2298</v>
      </c>
      <c r="IE26" s="616" t="s">
        <v>2298</v>
      </c>
      <c r="IF26" s="616" t="s">
        <v>2298</v>
      </c>
      <c r="IG26" s="616" t="s">
        <v>2298</v>
      </c>
      <c r="IH26" s="616" t="s">
        <v>2298</v>
      </c>
      <c r="II26" s="616" t="s">
        <v>2298</v>
      </c>
      <c r="IJ26" s="616" t="s">
        <v>2298</v>
      </c>
      <c r="IK26" s="616" t="s">
        <v>2298</v>
      </c>
      <c r="IL26" s="616" t="s">
        <v>2298</v>
      </c>
      <c r="IM26" s="616" t="s">
        <v>2298</v>
      </c>
      <c r="IN26" s="616" t="s">
        <v>2298</v>
      </c>
      <c r="IO26" s="616" t="s">
        <v>2298</v>
      </c>
      <c r="IP26" s="616" t="s">
        <v>2298</v>
      </c>
      <c r="IQ26" s="616" t="s">
        <v>2298</v>
      </c>
      <c r="IR26" s="616" t="s">
        <v>2298</v>
      </c>
      <c r="IS26" s="616" t="s">
        <v>2298</v>
      </c>
      <c r="IT26" s="616" t="s">
        <v>2298</v>
      </c>
      <c r="IU26" s="616" t="s">
        <v>2298</v>
      </c>
      <c r="IV26" s="616" t="s">
        <v>2298</v>
      </c>
      <c r="IW26" s="616" t="s">
        <v>2298</v>
      </c>
      <c r="IX26" s="616" t="s">
        <v>2298</v>
      </c>
      <c r="IY26" s="616" t="s">
        <v>2298</v>
      </c>
      <c r="IZ26" s="616" t="s">
        <v>2298</v>
      </c>
      <c r="JA26" s="616" t="s">
        <v>2298</v>
      </c>
      <c r="JB26" s="616" t="s">
        <v>2298</v>
      </c>
      <c r="JC26" s="616" t="s">
        <v>2298</v>
      </c>
      <c r="JD26" s="616" t="s">
        <v>2298</v>
      </c>
      <c r="JE26" s="616" t="s">
        <v>2298</v>
      </c>
      <c r="JF26" s="616" t="s">
        <v>2298</v>
      </c>
      <c r="JG26" s="616" t="s">
        <v>2298</v>
      </c>
      <c r="JH26" s="616" t="s">
        <v>2298</v>
      </c>
      <c r="JI26" s="616" t="s">
        <v>2298</v>
      </c>
      <c r="JJ26" s="616" t="s">
        <v>2298</v>
      </c>
      <c r="JK26" s="616" t="s">
        <v>2298</v>
      </c>
      <c r="JL26" s="616" t="s">
        <v>2298</v>
      </c>
      <c r="JM26" s="616" t="s">
        <v>2298</v>
      </c>
      <c r="JN26" s="616" t="s">
        <v>2298</v>
      </c>
      <c r="JO26" s="616" t="s">
        <v>2298</v>
      </c>
      <c r="JP26" s="616" t="s">
        <v>2298</v>
      </c>
      <c r="JQ26" s="616" t="s">
        <v>2298</v>
      </c>
      <c r="JR26" s="616" t="s">
        <v>2298</v>
      </c>
      <c r="JS26" s="616" t="s">
        <v>2298</v>
      </c>
    </row>
    <row r="27" spans="1:279" ht="18">
      <c r="A27" s="45"/>
      <c r="B27" s="98" t="s">
        <v>180</v>
      </c>
      <c r="C27" s="170"/>
      <c r="D27" s="26"/>
      <c r="E27" s="26" t="s">
        <v>206</v>
      </c>
      <c r="FE27" s="622" t="s">
        <v>267</v>
      </c>
      <c r="FF27" s="622" t="s">
        <v>267</v>
      </c>
      <c r="FG27" s="622" t="s">
        <v>267</v>
      </c>
      <c r="FH27" s="622" t="s">
        <v>267</v>
      </c>
      <c r="FI27" s="622" t="s">
        <v>267</v>
      </c>
      <c r="FJ27" s="622" t="s">
        <v>267</v>
      </c>
      <c r="FK27" s="622" t="s">
        <v>267</v>
      </c>
      <c r="FL27" s="622" t="s">
        <v>267</v>
      </c>
      <c r="FM27" s="622" t="s">
        <v>267</v>
      </c>
      <c r="FN27" s="622" t="s">
        <v>267</v>
      </c>
      <c r="FO27" s="622" t="s">
        <v>267</v>
      </c>
      <c r="FP27" s="622" t="s">
        <v>267</v>
      </c>
      <c r="FQ27" s="622" t="s">
        <v>267</v>
      </c>
      <c r="FR27" s="622" t="s">
        <v>267</v>
      </c>
      <c r="FS27" s="622" t="s">
        <v>267</v>
      </c>
      <c r="FT27" s="622" t="s">
        <v>267</v>
      </c>
      <c r="FU27" s="622" t="s">
        <v>267</v>
      </c>
      <c r="FV27" s="622" t="s">
        <v>267</v>
      </c>
      <c r="FW27" s="622" t="s">
        <v>267</v>
      </c>
      <c r="FX27" s="622" t="s">
        <v>267</v>
      </c>
      <c r="FY27" s="622" t="s">
        <v>267</v>
      </c>
      <c r="FZ27" s="622" t="s">
        <v>267</v>
      </c>
      <c r="GA27" s="622" t="s">
        <v>267</v>
      </c>
      <c r="GB27" s="622" t="s">
        <v>267</v>
      </c>
      <c r="GC27" s="622" t="s">
        <v>267</v>
      </c>
      <c r="GD27" s="622" t="s">
        <v>267</v>
      </c>
      <c r="GE27" s="622" t="s">
        <v>267</v>
      </c>
      <c r="GF27" s="622" t="s">
        <v>267</v>
      </c>
      <c r="GG27" s="622" t="s">
        <v>267</v>
      </c>
      <c r="GH27" s="622" t="s">
        <v>267</v>
      </c>
      <c r="GI27" s="622" t="s">
        <v>267</v>
      </c>
      <c r="GJ27" s="622" t="s">
        <v>267</v>
      </c>
      <c r="GK27" s="622" t="s">
        <v>267</v>
      </c>
      <c r="GL27" s="622" t="s">
        <v>267</v>
      </c>
      <c r="GM27" s="622" t="s">
        <v>267</v>
      </c>
      <c r="GN27" s="622" t="s">
        <v>267</v>
      </c>
      <c r="GO27" s="622" t="s">
        <v>267</v>
      </c>
      <c r="GP27" s="622" t="s">
        <v>267</v>
      </c>
      <c r="GQ27" s="622" t="s">
        <v>267</v>
      </c>
      <c r="GR27" s="622" t="s">
        <v>267</v>
      </c>
      <c r="GS27" s="622" t="s">
        <v>267</v>
      </c>
      <c r="GT27" s="622" t="s">
        <v>267</v>
      </c>
      <c r="GU27" s="622" t="s">
        <v>267</v>
      </c>
      <c r="GV27" s="622" t="s">
        <v>267</v>
      </c>
      <c r="GW27" s="622" t="s">
        <v>267</v>
      </c>
      <c r="GX27" s="622" t="s">
        <v>267</v>
      </c>
      <c r="GY27" s="622" t="s">
        <v>267</v>
      </c>
      <c r="GZ27" s="622" t="s">
        <v>267</v>
      </c>
      <c r="HA27" s="622" t="s">
        <v>267</v>
      </c>
      <c r="HB27" s="622" t="s">
        <v>267</v>
      </c>
      <c r="HC27" s="622" t="s">
        <v>267</v>
      </c>
      <c r="HD27" s="622" t="s">
        <v>267</v>
      </c>
      <c r="HE27" s="622" t="s">
        <v>267</v>
      </c>
      <c r="HF27" s="622" t="s">
        <v>267</v>
      </c>
      <c r="HG27" s="622" t="s">
        <v>267</v>
      </c>
      <c r="HH27" s="622" t="s">
        <v>267</v>
      </c>
      <c r="HI27" s="622" t="s">
        <v>267</v>
      </c>
      <c r="HJ27" s="622" t="s">
        <v>267</v>
      </c>
      <c r="HK27" s="622" t="s">
        <v>267</v>
      </c>
      <c r="HL27" s="622" t="s">
        <v>267</v>
      </c>
      <c r="HM27" s="622" t="s">
        <v>267</v>
      </c>
      <c r="HN27" s="622" t="s">
        <v>267</v>
      </c>
      <c r="HO27" s="622" t="s">
        <v>267</v>
      </c>
      <c r="HP27" s="622" t="s">
        <v>267</v>
      </c>
      <c r="HQ27" s="622" t="s">
        <v>267</v>
      </c>
      <c r="HR27" s="622" t="s">
        <v>267</v>
      </c>
      <c r="HS27" s="622" t="s">
        <v>267</v>
      </c>
      <c r="HT27" s="622" t="s">
        <v>267</v>
      </c>
      <c r="HU27" s="622" t="s">
        <v>267</v>
      </c>
      <c r="HV27" s="622" t="s">
        <v>267</v>
      </c>
      <c r="HW27" s="622" t="s">
        <v>267</v>
      </c>
      <c r="HX27" s="622" t="s">
        <v>267</v>
      </c>
      <c r="HY27" s="622" t="s">
        <v>267</v>
      </c>
      <c r="HZ27" s="622" t="s">
        <v>267</v>
      </c>
      <c r="IA27" s="622" t="s">
        <v>267</v>
      </c>
      <c r="IB27" s="622" t="s">
        <v>267</v>
      </c>
      <c r="IC27" s="622" t="s">
        <v>267</v>
      </c>
      <c r="ID27" s="622" t="s">
        <v>267</v>
      </c>
      <c r="IE27" s="622" t="s">
        <v>267</v>
      </c>
      <c r="IF27" s="622" t="s">
        <v>267</v>
      </c>
      <c r="IG27" s="622" t="s">
        <v>267</v>
      </c>
      <c r="IH27" s="622" t="s">
        <v>267</v>
      </c>
      <c r="II27" s="622" t="s">
        <v>267</v>
      </c>
      <c r="IJ27" s="622" t="s">
        <v>267</v>
      </c>
      <c r="IK27" s="622" t="s">
        <v>267</v>
      </c>
      <c r="IL27" s="622" t="s">
        <v>267</v>
      </c>
      <c r="IM27" s="622" t="s">
        <v>267</v>
      </c>
      <c r="IN27" s="622" t="s">
        <v>267</v>
      </c>
      <c r="IO27" s="622" t="s">
        <v>267</v>
      </c>
      <c r="IP27" s="622" t="s">
        <v>267</v>
      </c>
      <c r="IQ27" s="622" t="s">
        <v>267</v>
      </c>
      <c r="IR27" s="622" t="s">
        <v>267</v>
      </c>
      <c r="IS27" s="622" t="s">
        <v>267</v>
      </c>
      <c r="IT27" s="622" t="s">
        <v>267</v>
      </c>
      <c r="IU27" s="622" t="s">
        <v>267</v>
      </c>
      <c r="IV27" s="622" t="s">
        <v>267</v>
      </c>
      <c r="IW27" s="622" t="s">
        <v>267</v>
      </c>
      <c r="IX27" s="622" t="s">
        <v>267</v>
      </c>
      <c r="IY27" s="622" t="s">
        <v>267</v>
      </c>
      <c r="IZ27" s="622" t="s">
        <v>267</v>
      </c>
      <c r="JA27" s="622" t="s">
        <v>267</v>
      </c>
      <c r="JB27" s="622" t="s">
        <v>267</v>
      </c>
      <c r="JC27" s="622" t="s">
        <v>267</v>
      </c>
      <c r="JD27" s="622" t="s">
        <v>267</v>
      </c>
      <c r="JE27" s="622" t="s">
        <v>267</v>
      </c>
      <c r="JF27" s="622" t="s">
        <v>267</v>
      </c>
      <c r="JG27" s="622" t="s">
        <v>267</v>
      </c>
      <c r="JH27" s="622" t="s">
        <v>267</v>
      </c>
      <c r="JI27" s="622" t="s">
        <v>267</v>
      </c>
      <c r="JJ27" s="622" t="s">
        <v>267</v>
      </c>
      <c r="JK27" s="622" t="s">
        <v>267</v>
      </c>
      <c r="JL27" s="622" t="s">
        <v>267</v>
      </c>
      <c r="JM27" s="622" t="s">
        <v>267</v>
      </c>
      <c r="JN27" s="622" t="s">
        <v>267</v>
      </c>
      <c r="JO27" s="622" t="s">
        <v>267</v>
      </c>
      <c r="JP27" s="622" t="s">
        <v>267</v>
      </c>
      <c r="JQ27" s="622" t="s">
        <v>267</v>
      </c>
      <c r="JR27" s="622" t="s">
        <v>267</v>
      </c>
    </row>
    <row r="28" spans="1:279" ht="15.75" thickBot="1">
      <c r="A28" s="45"/>
      <c r="B28" s="99" t="s">
        <v>133</v>
      </c>
      <c r="C28" s="36"/>
      <c r="D28" s="26"/>
      <c r="E28" s="26" t="s">
        <v>207</v>
      </c>
      <c r="FE28" s="597" t="s">
        <v>146</v>
      </c>
      <c r="FF28" s="597" t="s">
        <v>146</v>
      </c>
      <c r="FG28" s="597" t="s">
        <v>146</v>
      </c>
      <c r="FH28" s="597" t="s">
        <v>146</v>
      </c>
      <c r="FI28" s="597" t="s">
        <v>146</v>
      </c>
      <c r="FJ28" s="597" t="s">
        <v>146</v>
      </c>
      <c r="FK28" s="597" t="s">
        <v>146</v>
      </c>
      <c r="FL28" s="597" t="s">
        <v>146</v>
      </c>
      <c r="FM28" s="597" t="s">
        <v>146</v>
      </c>
      <c r="FN28" s="597" t="s">
        <v>146</v>
      </c>
      <c r="FO28" s="597" t="s">
        <v>146</v>
      </c>
      <c r="FP28" s="597" t="s">
        <v>146</v>
      </c>
      <c r="FQ28" s="597" t="s">
        <v>146</v>
      </c>
      <c r="FR28" s="597" t="s">
        <v>146</v>
      </c>
      <c r="FS28" s="597" t="s">
        <v>146</v>
      </c>
      <c r="FT28" s="597" t="s">
        <v>146</v>
      </c>
      <c r="FU28" s="597" t="s">
        <v>146</v>
      </c>
      <c r="FV28" s="597" t="s">
        <v>146</v>
      </c>
      <c r="FW28" s="597" t="s">
        <v>146</v>
      </c>
      <c r="FX28" s="597" t="s">
        <v>146</v>
      </c>
      <c r="FY28" s="597" t="s">
        <v>146</v>
      </c>
      <c r="FZ28" s="597" t="s">
        <v>146</v>
      </c>
      <c r="GA28" s="597" t="s">
        <v>146</v>
      </c>
      <c r="GB28" s="597" t="s">
        <v>146</v>
      </c>
      <c r="GC28" s="597" t="s">
        <v>146</v>
      </c>
      <c r="GD28" s="597" t="s">
        <v>146</v>
      </c>
      <c r="GE28" s="597" t="s">
        <v>146</v>
      </c>
      <c r="GF28" s="597" t="s">
        <v>146</v>
      </c>
      <c r="GG28" s="597" t="s">
        <v>146</v>
      </c>
      <c r="GH28" s="597" t="s">
        <v>146</v>
      </c>
      <c r="GI28" s="597" t="s">
        <v>146</v>
      </c>
      <c r="GJ28" s="597" t="s">
        <v>146</v>
      </c>
      <c r="GK28" s="597" t="s">
        <v>146</v>
      </c>
      <c r="GL28" s="597" t="s">
        <v>146</v>
      </c>
      <c r="GM28" s="597" t="s">
        <v>146</v>
      </c>
      <c r="GN28" s="597" t="s">
        <v>146</v>
      </c>
      <c r="GO28" s="597" t="s">
        <v>146</v>
      </c>
      <c r="GP28" s="597" t="s">
        <v>146</v>
      </c>
      <c r="GQ28" s="597" t="s">
        <v>146</v>
      </c>
      <c r="GR28" s="597" t="s">
        <v>146</v>
      </c>
      <c r="GS28" s="597" t="s">
        <v>146</v>
      </c>
      <c r="GT28" s="597" t="s">
        <v>146</v>
      </c>
      <c r="GU28" s="597" t="s">
        <v>146</v>
      </c>
      <c r="GV28" s="597" t="s">
        <v>146</v>
      </c>
      <c r="GW28" s="597" t="s">
        <v>146</v>
      </c>
      <c r="GX28" s="597" t="s">
        <v>146</v>
      </c>
      <c r="GY28" s="597" t="s">
        <v>146</v>
      </c>
      <c r="GZ28" s="597" t="s">
        <v>146</v>
      </c>
      <c r="HA28" s="597" t="s">
        <v>146</v>
      </c>
      <c r="HB28" s="597" t="s">
        <v>146</v>
      </c>
      <c r="HC28" s="597" t="s">
        <v>146</v>
      </c>
      <c r="HD28" s="597" t="s">
        <v>146</v>
      </c>
      <c r="HE28" s="597" t="s">
        <v>146</v>
      </c>
      <c r="HF28" s="597" t="s">
        <v>146</v>
      </c>
      <c r="HG28" s="597" t="s">
        <v>146</v>
      </c>
      <c r="HH28" s="597" t="s">
        <v>146</v>
      </c>
      <c r="HI28" s="597" t="s">
        <v>146</v>
      </c>
      <c r="HJ28" s="597" t="s">
        <v>146</v>
      </c>
      <c r="HK28" s="597" t="s">
        <v>146</v>
      </c>
      <c r="HL28" s="597" t="s">
        <v>146</v>
      </c>
      <c r="HM28" s="597" t="s">
        <v>146</v>
      </c>
      <c r="HN28" s="597" t="s">
        <v>146</v>
      </c>
      <c r="HO28" s="597" t="s">
        <v>146</v>
      </c>
      <c r="HP28" s="597" t="s">
        <v>146</v>
      </c>
      <c r="HQ28" s="597" t="s">
        <v>146</v>
      </c>
      <c r="HR28" s="597" t="s">
        <v>146</v>
      </c>
      <c r="HS28" s="597" t="s">
        <v>146</v>
      </c>
      <c r="HT28" s="597" t="s">
        <v>146</v>
      </c>
      <c r="HU28" s="597" t="s">
        <v>146</v>
      </c>
      <c r="HV28" s="597" t="s">
        <v>146</v>
      </c>
      <c r="HW28" s="597" t="s">
        <v>146</v>
      </c>
      <c r="HX28" s="597" t="s">
        <v>146</v>
      </c>
      <c r="HY28" s="597" t="s">
        <v>146</v>
      </c>
      <c r="HZ28" s="597" t="s">
        <v>146</v>
      </c>
      <c r="IA28" s="597" t="s">
        <v>146</v>
      </c>
      <c r="IB28" s="597" t="s">
        <v>146</v>
      </c>
      <c r="IC28" s="597" t="s">
        <v>146</v>
      </c>
      <c r="ID28" s="597" t="s">
        <v>146</v>
      </c>
      <c r="IE28" s="597" t="s">
        <v>146</v>
      </c>
      <c r="IF28" s="597" t="s">
        <v>146</v>
      </c>
      <c r="IG28" s="597" t="s">
        <v>146</v>
      </c>
      <c r="IH28" s="597" t="s">
        <v>146</v>
      </c>
      <c r="II28" s="597" t="s">
        <v>146</v>
      </c>
      <c r="IJ28" s="597" t="s">
        <v>146</v>
      </c>
      <c r="IK28" s="597" t="s">
        <v>146</v>
      </c>
      <c r="IL28" s="597" t="s">
        <v>146</v>
      </c>
      <c r="IM28" s="597" t="s">
        <v>146</v>
      </c>
      <c r="IN28" s="597" t="s">
        <v>146</v>
      </c>
      <c r="IO28" s="597" t="s">
        <v>146</v>
      </c>
      <c r="IP28" s="597" t="s">
        <v>146</v>
      </c>
      <c r="IQ28" s="597" t="s">
        <v>146</v>
      </c>
      <c r="IR28" s="597" t="s">
        <v>146</v>
      </c>
      <c r="IS28" s="597" t="s">
        <v>146</v>
      </c>
      <c r="IT28" s="597" t="s">
        <v>146</v>
      </c>
      <c r="IU28" s="597" t="s">
        <v>146</v>
      </c>
      <c r="IV28" s="597" t="s">
        <v>146</v>
      </c>
      <c r="IW28" s="597" t="s">
        <v>146</v>
      </c>
      <c r="IX28" s="597" t="s">
        <v>146</v>
      </c>
      <c r="IY28" s="597" t="s">
        <v>146</v>
      </c>
      <c r="IZ28" s="597" t="s">
        <v>146</v>
      </c>
      <c r="JA28" s="597" t="s">
        <v>146</v>
      </c>
      <c r="JB28" s="597" t="s">
        <v>146</v>
      </c>
      <c r="JC28" s="597" t="s">
        <v>146</v>
      </c>
      <c r="JD28" s="597" t="s">
        <v>146</v>
      </c>
      <c r="JE28" s="597" t="s">
        <v>146</v>
      </c>
      <c r="JF28" s="597" t="s">
        <v>146</v>
      </c>
      <c r="JG28" s="597" t="s">
        <v>146</v>
      </c>
      <c r="JH28" s="597" t="s">
        <v>146</v>
      </c>
      <c r="JI28" s="597" t="s">
        <v>146</v>
      </c>
      <c r="JJ28" s="597" t="s">
        <v>146</v>
      </c>
      <c r="JK28" s="597" t="s">
        <v>146</v>
      </c>
      <c r="JL28" s="597" t="s">
        <v>146</v>
      </c>
      <c r="JM28" s="597" t="s">
        <v>146</v>
      </c>
      <c r="JN28" s="597" t="s">
        <v>146</v>
      </c>
      <c r="JO28" s="597" t="s">
        <v>146</v>
      </c>
      <c r="JP28" s="597" t="s">
        <v>146</v>
      </c>
      <c r="JQ28" s="597" t="s">
        <v>146</v>
      </c>
      <c r="JR28" s="597" t="s">
        <v>146</v>
      </c>
    </row>
    <row r="29" spans="1:279" ht="42" thickTop="1" thickBot="1">
      <c r="A29" s="45"/>
      <c r="B29" s="36"/>
      <c r="C29" s="36" t="s">
        <v>326</v>
      </c>
      <c r="D29" s="26" t="s">
        <v>185</v>
      </c>
      <c r="E29" s="26" t="s">
        <v>178</v>
      </c>
      <c r="FE29" s="475" t="s">
        <v>316</v>
      </c>
      <c r="FF29" s="475" t="s">
        <v>316</v>
      </c>
      <c r="FG29" s="475" t="s">
        <v>316</v>
      </c>
      <c r="FH29" s="475" t="s">
        <v>316</v>
      </c>
      <c r="FI29" s="475" t="s">
        <v>316</v>
      </c>
      <c r="FJ29" s="475" t="s">
        <v>316</v>
      </c>
      <c r="FK29" s="475" t="s">
        <v>316</v>
      </c>
      <c r="FL29" s="475" t="s">
        <v>316</v>
      </c>
      <c r="FM29" s="475" t="s">
        <v>316</v>
      </c>
      <c r="FN29" s="475" t="s">
        <v>316</v>
      </c>
      <c r="FO29" s="475" t="s">
        <v>316</v>
      </c>
      <c r="FP29" s="475" t="s">
        <v>316</v>
      </c>
      <c r="FQ29" s="475" t="s">
        <v>316</v>
      </c>
      <c r="FR29" s="475" t="s">
        <v>316</v>
      </c>
      <c r="FS29" s="475" t="s">
        <v>316</v>
      </c>
      <c r="FT29" s="475" t="s">
        <v>316</v>
      </c>
      <c r="FU29" s="475" t="s">
        <v>316</v>
      </c>
      <c r="FV29" s="475" t="s">
        <v>316</v>
      </c>
      <c r="FW29" s="475" t="s">
        <v>316</v>
      </c>
      <c r="FX29" s="475" t="s">
        <v>316</v>
      </c>
      <c r="FY29" s="475" t="s">
        <v>316</v>
      </c>
      <c r="FZ29" s="475" t="s">
        <v>316</v>
      </c>
      <c r="GA29" s="475" t="s">
        <v>316</v>
      </c>
      <c r="GB29" s="475" t="s">
        <v>316</v>
      </c>
      <c r="GC29" s="475" t="s">
        <v>316</v>
      </c>
      <c r="GD29" s="475" t="s">
        <v>316</v>
      </c>
      <c r="GE29" s="475" t="s">
        <v>316</v>
      </c>
      <c r="GF29" s="475" t="s">
        <v>316</v>
      </c>
      <c r="GG29" s="475" t="s">
        <v>316</v>
      </c>
      <c r="GH29" s="475" t="s">
        <v>316</v>
      </c>
      <c r="GI29" s="475" t="s">
        <v>316</v>
      </c>
      <c r="GJ29" s="475" t="s">
        <v>316</v>
      </c>
      <c r="GK29" s="475" t="s">
        <v>316</v>
      </c>
      <c r="GL29" s="475" t="s">
        <v>316</v>
      </c>
      <c r="GM29" s="475" t="s">
        <v>316</v>
      </c>
      <c r="GN29" s="475" t="s">
        <v>316</v>
      </c>
      <c r="GO29" s="475" t="s">
        <v>316</v>
      </c>
      <c r="GP29" s="475" t="s">
        <v>316</v>
      </c>
      <c r="GQ29" s="475" t="s">
        <v>316</v>
      </c>
      <c r="GR29" s="475" t="s">
        <v>316</v>
      </c>
      <c r="GS29" s="475" t="s">
        <v>316</v>
      </c>
      <c r="GT29" s="475" t="s">
        <v>316</v>
      </c>
      <c r="GU29" s="475" t="s">
        <v>316</v>
      </c>
      <c r="GV29" s="475" t="s">
        <v>316</v>
      </c>
      <c r="GW29" s="475" t="s">
        <v>316</v>
      </c>
      <c r="GX29" s="475" t="s">
        <v>316</v>
      </c>
      <c r="GY29" s="475" t="s">
        <v>316</v>
      </c>
      <c r="GZ29" s="475" t="s">
        <v>316</v>
      </c>
      <c r="HA29" s="475" t="s">
        <v>316</v>
      </c>
      <c r="HB29" s="475" t="s">
        <v>316</v>
      </c>
      <c r="HC29" s="475" t="s">
        <v>316</v>
      </c>
      <c r="HD29" s="475" t="s">
        <v>316</v>
      </c>
      <c r="HE29" s="475" t="s">
        <v>316</v>
      </c>
      <c r="HF29" s="475" t="s">
        <v>316</v>
      </c>
      <c r="HG29" s="475" t="s">
        <v>316</v>
      </c>
      <c r="HH29" s="475" t="s">
        <v>316</v>
      </c>
      <c r="HI29" s="475" t="s">
        <v>316</v>
      </c>
      <c r="HJ29" s="475" t="s">
        <v>316</v>
      </c>
      <c r="HK29" s="475" t="s">
        <v>316</v>
      </c>
      <c r="HL29" s="475" t="s">
        <v>316</v>
      </c>
      <c r="HM29" s="475" t="s">
        <v>316</v>
      </c>
      <c r="HN29" s="475" t="s">
        <v>316</v>
      </c>
      <c r="HO29" s="475" t="s">
        <v>316</v>
      </c>
      <c r="HP29" s="475" t="s">
        <v>316</v>
      </c>
      <c r="HQ29" s="475" t="s">
        <v>316</v>
      </c>
      <c r="HR29" s="475" t="s">
        <v>316</v>
      </c>
      <c r="HS29" s="475" t="s">
        <v>316</v>
      </c>
      <c r="HT29" s="475" t="s">
        <v>316</v>
      </c>
      <c r="HU29" s="475" t="s">
        <v>316</v>
      </c>
      <c r="HV29" s="475" t="s">
        <v>316</v>
      </c>
      <c r="HW29" s="475" t="s">
        <v>316</v>
      </c>
      <c r="HX29" s="475" t="s">
        <v>316</v>
      </c>
      <c r="HY29" s="475" t="s">
        <v>316</v>
      </c>
      <c r="HZ29" s="475" t="s">
        <v>316</v>
      </c>
      <c r="IA29" s="475" t="s">
        <v>316</v>
      </c>
      <c r="IB29" s="475" t="s">
        <v>316</v>
      </c>
      <c r="IC29" s="475" t="s">
        <v>316</v>
      </c>
      <c r="ID29" s="475" t="s">
        <v>316</v>
      </c>
      <c r="IE29" s="475" t="s">
        <v>316</v>
      </c>
      <c r="IF29" s="475" t="s">
        <v>316</v>
      </c>
      <c r="IG29" s="475" t="s">
        <v>316</v>
      </c>
      <c r="IH29" s="475" t="s">
        <v>316</v>
      </c>
      <c r="II29" s="475" t="s">
        <v>316</v>
      </c>
      <c r="IJ29" s="475" t="s">
        <v>316</v>
      </c>
      <c r="IK29" s="475" t="s">
        <v>316</v>
      </c>
      <c r="IL29" s="475" t="s">
        <v>316</v>
      </c>
      <c r="IM29" s="475" t="s">
        <v>316</v>
      </c>
      <c r="IN29" s="475" t="s">
        <v>316</v>
      </c>
      <c r="IO29" s="475" t="s">
        <v>316</v>
      </c>
      <c r="IP29" s="475" t="s">
        <v>316</v>
      </c>
      <c r="IQ29" s="475" t="s">
        <v>316</v>
      </c>
      <c r="IR29" s="475" t="s">
        <v>316</v>
      </c>
      <c r="IS29" s="475" t="s">
        <v>316</v>
      </c>
      <c r="IT29" s="475" t="s">
        <v>316</v>
      </c>
      <c r="IU29" s="475" t="s">
        <v>316</v>
      </c>
      <c r="IV29" s="475" t="s">
        <v>316</v>
      </c>
      <c r="IW29" s="475" t="s">
        <v>316</v>
      </c>
      <c r="IX29" s="475" t="s">
        <v>316</v>
      </c>
      <c r="IY29" s="475" t="s">
        <v>316</v>
      </c>
      <c r="IZ29" s="475" t="s">
        <v>316</v>
      </c>
      <c r="JA29" s="475" t="s">
        <v>316</v>
      </c>
      <c r="JB29" s="475" t="s">
        <v>316</v>
      </c>
      <c r="JC29" s="475" t="s">
        <v>316</v>
      </c>
      <c r="JD29" s="475" t="s">
        <v>316</v>
      </c>
      <c r="JE29" s="475" t="s">
        <v>316</v>
      </c>
      <c r="JF29" s="475" t="s">
        <v>316</v>
      </c>
      <c r="JG29" s="475" t="s">
        <v>316</v>
      </c>
      <c r="JH29" s="475" t="s">
        <v>316</v>
      </c>
      <c r="JI29" s="475" t="s">
        <v>316</v>
      </c>
      <c r="JJ29" s="475" t="s">
        <v>316</v>
      </c>
      <c r="JK29" s="475" t="s">
        <v>316</v>
      </c>
      <c r="JL29" s="475" t="s">
        <v>316</v>
      </c>
      <c r="JM29" s="475" t="s">
        <v>316</v>
      </c>
      <c r="JN29" s="475" t="s">
        <v>316</v>
      </c>
      <c r="JO29" s="475" t="s">
        <v>316</v>
      </c>
      <c r="JP29" s="475" t="s">
        <v>316</v>
      </c>
      <c r="JQ29" s="475" t="s">
        <v>316</v>
      </c>
      <c r="JR29" s="475" t="s">
        <v>316</v>
      </c>
    </row>
    <row r="30" spans="1:279" ht="14.25" thickTop="1">
      <c r="A30" s="45"/>
      <c r="B30" s="36"/>
      <c r="C30" s="36" t="s">
        <v>230</v>
      </c>
      <c r="D30" s="26" t="s">
        <v>185</v>
      </c>
      <c r="E30" s="26" t="s">
        <v>265</v>
      </c>
      <c r="FE30" s="598">
        <v>2</v>
      </c>
      <c r="FF30" s="598">
        <v>2</v>
      </c>
      <c r="FG30" s="598">
        <v>2</v>
      </c>
      <c r="FH30" s="598">
        <v>2</v>
      </c>
      <c r="FI30" s="598">
        <v>2</v>
      </c>
      <c r="FJ30" s="598">
        <v>2</v>
      </c>
      <c r="FK30" s="598">
        <v>2</v>
      </c>
      <c r="FL30" s="598">
        <v>2</v>
      </c>
      <c r="FM30" s="598">
        <v>2</v>
      </c>
      <c r="FN30" s="598">
        <v>2</v>
      </c>
      <c r="FO30" s="598">
        <v>2</v>
      </c>
      <c r="FP30" s="598">
        <v>2</v>
      </c>
      <c r="FQ30" s="598">
        <v>2</v>
      </c>
      <c r="FR30" s="598">
        <v>2</v>
      </c>
      <c r="FS30" s="598">
        <v>2</v>
      </c>
      <c r="FT30" s="598">
        <v>2</v>
      </c>
      <c r="FU30" s="598">
        <v>2</v>
      </c>
      <c r="FV30" s="598">
        <v>2</v>
      </c>
      <c r="FW30" s="598">
        <v>2</v>
      </c>
      <c r="FX30" s="598">
        <v>2</v>
      </c>
      <c r="FY30" s="598">
        <v>2</v>
      </c>
      <c r="FZ30" s="598">
        <v>2</v>
      </c>
      <c r="GA30" s="598">
        <v>2</v>
      </c>
      <c r="GB30" s="598">
        <v>2</v>
      </c>
      <c r="GC30" s="598">
        <v>2</v>
      </c>
      <c r="GD30" s="598">
        <v>2</v>
      </c>
      <c r="GE30" s="598">
        <v>2</v>
      </c>
      <c r="GF30" s="598">
        <v>2</v>
      </c>
      <c r="GG30" s="598">
        <v>2</v>
      </c>
      <c r="GH30" s="598">
        <v>2</v>
      </c>
      <c r="GI30" s="598">
        <v>2</v>
      </c>
      <c r="GJ30" s="598">
        <v>2</v>
      </c>
      <c r="GK30" s="598">
        <v>2</v>
      </c>
      <c r="GL30" s="598">
        <v>2</v>
      </c>
      <c r="GM30" s="598">
        <v>2</v>
      </c>
      <c r="GN30" s="598">
        <v>2</v>
      </c>
      <c r="GO30" s="598">
        <v>2</v>
      </c>
      <c r="GP30" s="598">
        <v>2</v>
      </c>
      <c r="GQ30" s="598">
        <v>2</v>
      </c>
      <c r="GR30" s="598">
        <v>2</v>
      </c>
      <c r="GS30" s="598">
        <v>2</v>
      </c>
      <c r="GT30" s="598">
        <v>2</v>
      </c>
      <c r="GU30" s="598">
        <v>2</v>
      </c>
      <c r="GV30" s="598">
        <v>2</v>
      </c>
      <c r="GW30" s="598">
        <v>2</v>
      </c>
      <c r="GX30" s="598">
        <v>2</v>
      </c>
      <c r="GY30" s="598">
        <v>2</v>
      </c>
      <c r="GZ30" s="598">
        <v>2</v>
      </c>
      <c r="HA30" s="598">
        <v>2</v>
      </c>
      <c r="HB30" s="598">
        <v>2</v>
      </c>
      <c r="HC30" s="598">
        <v>2</v>
      </c>
      <c r="HD30" s="598">
        <v>2</v>
      </c>
      <c r="HE30" s="598">
        <v>2</v>
      </c>
      <c r="HF30" s="598">
        <v>2</v>
      </c>
      <c r="HG30" s="598">
        <v>2</v>
      </c>
      <c r="HH30" s="598">
        <v>2</v>
      </c>
      <c r="HI30" s="598">
        <v>2</v>
      </c>
      <c r="HJ30" s="598">
        <v>2</v>
      </c>
      <c r="HK30" s="598">
        <v>2</v>
      </c>
      <c r="HL30" s="598">
        <v>2</v>
      </c>
      <c r="HM30" s="598">
        <v>2</v>
      </c>
      <c r="HN30" s="598">
        <v>2</v>
      </c>
      <c r="HO30" s="598">
        <v>2</v>
      </c>
      <c r="HP30" s="598">
        <v>2</v>
      </c>
      <c r="HQ30" s="598">
        <v>2</v>
      </c>
      <c r="HR30" s="598">
        <v>2</v>
      </c>
      <c r="HS30" s="598">
        <v>2</v>
      </c>
      <c r="HT30" s="598">
        <v>2</v>
      </c>
      <c r="HU30" s="598">
        <v>2</v>
      </c>
      <c r="HV30" s="598">
        <v>2</v>
      </c>
      <c r="HW30" s="598">
        <v>2</v>
      </c>
      <c r="HX30" s="598">
        <v>2</v>
      </c>
      <c r="HY30" s="598">
        <v>2</v>
      </c>
      <c r="HZ30" s="598">
        <v>2</v>
      </c>
      <c r="IA30" s="598">
        <v>2</v>
      </c>
      <c r="IB30" s="598">
        <v>2</v>
      </c>
      <c r="IC30" s="598">
        <v>2</v>
      </c>
      <c r="ID30" s="598">
        <v>2</v>
      </c>
      <c r="IE30" s="598">
        <v>2</v>
      </c>
      <c r="IF30" s="598">
        <v>2</v>
      </c>
      <c r="IG30" s="598">
        <v>2</v>
      </c>
      <c r="IH30" s="598">
        <v>2</v>
      </c>
      <c r="II30" s="598">
        <v>2</v>
      </c>
      <c r="IJ30" s="598">
        <v>2</v>
      </c>
      <c r="IK30" s="598">
        <v>2</v>
      </c>
      <c r="IL30" s="598">
        <v>2</v>
      </c>
      <c r="IM30" s="598">
        <v>2</v>
      </c>
      <c r="IN30" s="598">
        <v>2</v>
      </c>
      <c r="IO30" s="598">
        <v>2</v>
      </c>
      <c r="IP30" s="598">
        <v>2</v>
      </c>
      <c r="IQ30" s="598">
        <v>2</v>
      </c>
      <c r="IR30" s="598">
        <v>2</v>
      </c>
      <c r="IS30" s="598">
        <v>2</v>
      </c>
      <c r="IT30" s="598">
        <v>2</v>
      </c>
      <c r="IU30" s="598">
        <v>2</v>
      </c>
      <c r="IV30" s="598">
        <v>2</v>
      </c>
      <c r="IW30" s="598">
        <v>2</v>
      </c>
      <c r="IX30" s="598">
        <v>2</v>
      </c>
      <c r="IY30" s="598">
        <v>2</v>
      </c>
      <c r="IZ30" s="598">
        <v>2</v>
      </c>
      <c r="JA30" s="598">
        <v>2</v>
      </c>
      <c r="JB30" s="598">
        <v>2</v>
      </c>
      <c r="JC30" s="598">
        <v>2</v>
      </c>
      <c r="JD30" s="598">
        <v>2</v>
      </c>
      <c r="JE30" s="598">
        <v>2</v>
      </c>
      <c r="JF30" s="598">
        <v>2</v>
      </c>
      <c r="JG30" s="598">
        <v>2</v>
      </c>
      <c r="JH30" s="598">
        <v>2</v>
      </c>
      <c r="JI30" s="598">
        <v>2</v>
      </c>
      <c r="JJ30" s="598">
        <v>2</v>
      </c>
      <c r="JK30" s="598">
        <v>2</v>
      </c>
      <c r="JL30" s="598">
        <v>2</v>
      </c>
      <c r="JM30" s="598">
        <v>2</v>
      </c>
      <c r="JN30" s="598">
        <v>2</v>
      </c>
      <c r="JO30" s="598">
        <v>2</v>
      </c>
      <c r="JP30" s="598">
        <v>2</v>
      </c>
      <c r="JQ30" s="598">
        <v>2</v>
      </c>
      <c r="JR30" s="598">
        <v>2</v>
      </c>
    </row>
    <row r="31" spans="1:279" ht="13.5">
      <c r="A31" s="45"/>
      <c r="B31" s="36"/>
      <c r="C31" s="36" t="s">
        <v>232</v>
      </c>
      <c r="D31" s="26" t="s">
        <v>128</v>
      </c>
      <c r="E31" s="26" t="s">
        <v>233</v>
      </c>
      <c r="FE31" s="599">
        <v>0.1</v>
      </c>
      <c r="FF31" s="599">
        <v>0.1</v>
      </c>
      <c r="FG31" s="599">
        <v>0.1</v>
      </c>
      <c r="FH31" s="599">
        <v>0.1</v>
      </c>
      <c r="FI31" s="599">
        <v>0.1</v>
      </c>
      <c r="FJ31" s="599">
        <v>0.1</v>
      </c>
      <c r="FK31" s="599">
        <v>0.1</v>
      </c>
      <c r="FL31" s="599">
        <v>0.1</v>
      </c>
      <c r="FM31" s="599">
        <v>0.1</v>
      </c>
      <c r="FN31" s="599">
        <v>0.1</v>
      </c>
      <c r="FO31" s="599">
        <v>0.1</v>
      </c>
      <c r="FP31" s="599">
        <v>0.1</v>
      </c>
      <c r="FQ31" s="599">
        <v>0.1</v>
      </c>
      <c r="FR31" s="599">
        <v>0.1</v>
      </c>
      <c r="FS31" s="599">
        <v>0.1</v>
      </c>
      <c r="FT31" s="599">
        <v>0.1</v>
      </c>
      <c r="FU31" s="599">
        <v>0.1</v>
      </c>
      <c r="FV31" s="599">
        <v>0.1</v>
      </c>
      <c r="FW31" s="599">
        <v>0.1</v>
      </c>
      <c r="FX31" s="599">
        <v>0.1</v>
      </c>
      <c r="FY31" s="599">
        <v>0.1</v>
      </c>
      <c r="FZ31" s="599">
        <v>0.1</v>
      </c>
      <c r="GA31" s="599">
        <v>0.1</v>
      </c>
      <c r="GB31" s="599">
        <v>0.1</v>
      </c>
      <c r="GC31" s="599">
        <v>0.1</v>
      </c>
      <c r="GD31" s="599">
        <v>0.1</v>
      </c>
      <c r="GE31" s="599">
        <v>0.1</v>
      </c>
      <c r="GF31" s="599">
        <v>0.1</v>
      </c>
      <c r="GG31" s="599">
        <v>0.1</v>
      </c>
      <c r="GH31" s="599">
        <v>0.1</v>
      </c>
      <c r="GI31" s="599">
        <v>0.1</v>
      </c>
      <c r="GJ31" s="599">
        <v>0.1</v>
      </c>
      <c r="GK31" s="599">
        <v>0.1</v>
      </c>
      <c r="GL31" s="599">
        <v>0.1</v>
      </c>
      <c r="GM31" s="599">
        <v>0.1</v>
      </c>
      <c r="GN31" s="599">
        <v>0.1</v>
      </c>
      <c r="GO31" s="599">
        <v>0.1</v>
      </c>
      <c r="GP31" s="599">
        <v>0.1</v>
      </c>
      <c r="GQ31" s="599">
        <v>0.1</v>
      </c>
      <c r="GR31" s="599">
        <v>0.1</v>
      </c>
      <c r="GS31" s="599">
        <v>0.1</v>
      </c>
      <c r="GT31" s="599">
        <v>0.1</v>
      </c>
      <c r="GU31" s="599">
        <v>0.1</v>
      </c>
      <c r="GV31" s="599">
        <v>0.1</v>
      </c>
      <c r="GW31" s="599">
        <v>0.1</v>
      </c>
      <c r="GX31" s="599">
        <v>0.1</v>
      </c>
      <c r="GY31" s="599">
        <v>0.1</v>
      </c>
      <c r="GZ31" s="599">
        <v>0.1</v>
      </c>
      <c r="HA31" s="599">
        <v>0.1</v>
      </c>
      <c r="HB31" s="599">
        <v>0.1</v>
      </c>
      <c r="HC31" s="599">
        <v>0.1</v>
      </c>
      <c r="HD31" s="599">
        <v>0.1</v>
      </c>
      <c r="HE31" s="599">
        <v>0.1</v>
      </c>
      <c r="HF31" s="599">
        <v>0.1</v>
      </c>
      <c r="HG31" s="599">
        <v>0.1</v>
      </c>
      <c r="HH31" s="599">
        <v>0.1</v>
      </c>
      <c r="HI31" s="599">
        <v>0.1</v>
      </c>
      <c r="HJ31" s="599">
        <v>0.1</v>
      </c>
      <c r="HK31" s="599">
        <v>0.1</v>
      </c>
      <c r="HL31" s="599">
        <v>0.1</v>
      </c>
      <c r="HM31" s="599">
        <v>0.1</v>
      </c>
      <c r="HN31" s="599">
        <v>0.1</v>
      </c>
      <c r="HO31" s="599">
        <v>0.1</v>
      </c>
      <c r="HP31" s="599">
        <v>0.1</v>
      </c>
      <c r="HQ31" s="599">
        <v>0.1</v>
      </c>
      <c r="HR31" s="599">
        <v>0.1</v>
      </c>
      <c r="HS31" s="599">
        <v>0.1</v>
      </c>
      <c r="HT31" s="599">
        <v>0.1</v>
      </c>
      <c r="HU31" s="599">
        <v>0.1</v>
      </c>
      <c r="HV31" s="599">
        <v>0.1</v>
      </c>
      <c r="HW31" s="599">
        <v>0.1</v>
      </c>
      <c r="HX31" s="599">
        <v>0.1</v>
      </c>
      <c r="HY31" s="599">
        <v>0.1</v>
      </c>
      <c r="HZ31" s="599">
        <v>0.1</v>
      </c>
      <c r="IA31" s="599">
        <v>0.1</v>
      </c>
      <c r="IB31" s="599">
        <v>0.1</v>
      </c>
      <c r="IC31" s="599">
        <v>0.1</v>
      </c>
      <c r="ID31" s="599">
        <v>0.1</v>
      </c>
      <c r="IE31" s="599">
        <v>0.1</v>
      </c>
      <c r="IF31" s="599">
        <v>0.1</v>
      </c>
      <c r="IG31" s="599">
        <v>0.1</v>
      </c>
      <c r="IH31" s="599">
        <v>0.1</v>
      </c>
      <c r="II31" s="599">
        <v>0.1</v>
      </c>
      <c r="IJ31" s="599">
        <v>0.1</v>
      </c>
      <c r="IK31" s="599">
        <v>0.1</v>
      </c>
      <c r="IL31" s="599">
        <v>0.1</v>
      </c>
      <c r="IM31" s="599">
        <v>0.1</v>
      </c>
      <c r="IN31" s="599">
        <v>0.1</v>
      </c>
      <c r="IO31" s="599">
        <v>0.1</v>
      </c>
      <c r="IP31" s="599">
        <v>0.1</v>
      </c>
      <c r="IQ31" s="599">
        <v>0.1</v>
      </c>
      <c r="IR31" s="599">
        <v>0.1</v>
      </c>
      <c r="IS31" s="599">
        <v>0.1</v>
      </c>
      <c r="IT31" s="599">
        <v>0.1</v>
      </c>
      <c r="IU31" s="599">
        <v>0.1</v>
      </c>
      <c r="IV31" s="599">
        <v>0.1</v>
      </c>
      <c r="IW31" s="599">
        <v>0.1</v>
      </c>
      <c r="IX31" s="599">
        <v>0.1</v>
      </c>
      <c r="IY31" s="599">
        <v>0.1</v>
      </c>
      <c r="IZ31" s="599">
        <v>0.1</v>
      </c>
      <c r="JA31" s="599">
        <v>0.1</v>
      </c>
      <c r="JB31" s="599">
        <v>0.1</v>
      </c>
      <c r="JC31" s="599">
        <v>0.1</v>
      </c>
      <c r="JD31" s="599">
        <v>0.1</v>
      </c>
      <c r="JE31" s="599">
        <v>0.1</v>
      </c>
      <c r="JF31" s="599">
        <v>0.1</v>
      </c>
      <c r="JG31" s="599">
        <v>0.1</v>
      </c>
      <c r="JH31" s="599">
        <v>0.1</v>
      </c>
      <c r="JI31" s="599">
        <v>0.1</v>
      </c>
      <c r="JJ31" s="599">
        <v>0.1</v>
      </c>
      <c r="JK31" s="599">
        <v>0.1</v>
      </c>
      <c r="JL31" s="599">
        <v>0.1</v>
      </c>
      <c r="JM31" s="599">
        <v>0.1</v>
      </c>
      <c r="JN31" s="599">
        <v>0.1</v>
      </c>
      <c r="JO31" s="599">
        <v>0.1</v>
      </c>
      <c r="JP31" s="599">
        <v>0.1</v>
      </c>
      <c r="JQ31" s="599">
        <v>0.1</v>
      </c>
      <c r="JR31" s="599">
        <v>0.1</v>
      </c>
    </row>
    <row r="32" spans="1:279" ht="13.5">
      <c r="A32" s="45"/>
      <c r="B32" s="36"/>
      <c r="C32" s="36" t="s">
        <v>142</v>
      </c>
      <c r="D32" s="26" t="s">
        <v>197</v>
      </c>
      <c r="E32" s="26" t="s">
        <v>139</v>
      </c>
      <c r="FE32" s="359">
        <v>1E-3</v>
      </c>
      <c r="FF32" s="359">
        <v>1E-3</v>
      </c>
      <c r="FG32" s="359">
        <v>1E-3</v>
      </c>
      <c r="FH32" s="359">
        <v>1E-3</v>
      </c>
      <c r="FI32" s="359">
        <v>1E-3</v>
      </c>
      <c r="FJ32" s="359">
        <v>1E-3</v>
      </c>
      <c r="FK32" s="359">
        <v>1E-3</v>
      </c>
      <c r="FL32" s="359">
        <v>1E-3</v>
      </c>
      <c r="FM32" s="359">
        <v>1E-3</v>
      </c>
      <c r="FN32" s="359">
        <v>1E-3</v>
      </c>
      <c r="FO32" s="359">
        <v>1E-3</v>
      </c>
      <c r="FP32" s="359">
        <v>1E-3</v>
      </c>
      <c r="FQ32" s="359">
        <v>1E-3</v>
      </c>
      <c r="FR32" s="359">
        <v>1E-3</v>
      </c>
      <c r="FS32" s="359">
        <v>1E-3</v>
      </c>
      <c r="FT32" s="359">
        <v>1E-3</v>
      </c>
      <c r="FU32" s="359">
        <v>1E-3</v>
      </c>
      <c r="FV32" s="359">
        <v>1E-3</v>
      </c>
      <c r="FW32" s="359">
        <v>1E-3</v>
      </c>
      <c r="FX32" s="359">
        <v>1E-3</v>
      </c>
      <c r="FY32" s="359">
        <v>1E-3</v>
      </c>
      <c r="FZ32" s="359">
        <v>1E-3</v>
      </c>
      <c r="GA32" s="359">
        <v>1E-3</v>
      </c>
      <c r="GB32" s="359">
        <v>1E-3</v>
      </c>
      <c r="GC32" s="359">
        <v>1E-3</v>
      </c>
      <c r="GD32" s="359">
        <v>1E-3</v>
      </c>
      <c r="GE32" s="359">
        <v>1E-3</v>
      </c>
      <c r="GF32" s="359">
        <v>1E-3</v>
      </c>
      <c r="GG32" s="359">
        <v>1E-3</v>
      </c>
      <c r="GH32" s="359">
        <v>1E-3</v>
      </c>
      <c r="GI32" s="359">
        <v>1E-3</v>
      </c>
      <c r="GJ32" s="359">
        <v>1E-3</v>
      </c>
      <c r="GK32" s="359">
        <v>1E-3</v>
      </c>
      <c r="GL32" s="359">
        <v>1E-3</v>
      </c>
      <c r="GM32" s="359">
        <v>1E-3</v>
      </c>
      <c r="GN32" s="359">
        <v>1E-3</v>
      </c>
      <c r="GO32" s="359">
        <v>1E-3</v>
      </c>
      <c r="GP32" s="359">
        <v>1E-3</v>
      </c>
      <c r="GQ32" s="359">
        <v>1E-3</v>
      </c>
      <c r="GR32" s="359">
        <v>1E-3</v>
      </c>
      <c r="GS32" s="359">
        <v>1E-3</v>
      </c>
      <c r="GT32" s="359">
        <v>1E-3</v>
      </c>
      <c r="GU32" s="359">
        <v>1E-3</v>
      </c>
      <c r="GV32" s="359">
        <v>1E-3</v>
      </c>
      <c r="GW32" s="359">
        <v>1E-3</v>
      </c>
      <c r="GX32" s="359">
        <v>1E-3</v>
      </c>
      <c r="GY32" s="359">
        <v>1E-3</v>
      </c>
      <c r="GZ32" s="359">
        <v>1E-3</v>
      </c>
      <c r="HA32" s="359">
        <v>1E-3</v>
      </c>
      <c r="HB32" s="359">
        <v>1E-3</v>
      </c>
      <c r="HC32" s="359">
        <v>1E-3</v>
      </c>
      <c r="HD32" s="359">
        <v>1E-3</v>
      </c>
      <c r="HE32" s="359">
        <v>1E-3</v>
      </c>
      <c r="HF32" s="359">
        <v>1E-3</v>
      </c>
      <c r="HG32" s="359">
        <v>1E-3</v>
      </c>
      <c r="HH32" s="359">
        <v>1E-3</v>
      </c>
      <c r="HI32" s="359">
        <v>1E-3</v>
      </c>
      <c r="HJ32" s="359">
        <v>1E-3</v>
      </c>
      <c r="HK32" s="359">
        <v>1E-3</v>
      </c>
      <c r="HL32" s="359">
        <v>1E-3</v>
      </c>
      <c r="HM32" s="359">
        <v>1E-3</v>
      </c>
      <c r="HN32" s="359">
        <v>1E-3</v>
      </c>
      <c r="HO32" s="359">
        <v>1E-3</v>
      </c>
      <c r="HP32" s="359">
        <v>1E-3</v>
      </c>
      <c r="HQ32" s="359">
        <v>1E-3</v>
      </c>
      <c r="HR32" s="359">
        <v>1E-3</v>
      </c>
      <c r="HS32" s="359">
        <v>1E-3</v>
      </c>
      <c r="HT32" s="359">
        <v>1E-3</v>
      </c>
      <c r="HU32" s="359">
        <v>1E-3</v>
      </c>
      <c r="HV32" s="359">
        <v>1E-3</v>
      </c>
      <c r="HW32" s="359">
        <v>1E-3</v>
      </c>
      <c r="HX32" s="359">
        <v>1E-3</v>
      </c>
      <c r="HY32" s="359">
        <v>1E-3</v>
      </c>
      <c r="HZ32" s="359">
        <v>1E-3</v>
      </c>
      <c r="IA32" s="359">
        <v>1E-3</v>
      </c>
      <c r="IB32" s="359">
        <v>1E-3</v>
      </c>
      <c r="IC32" s="359">
        <v>1E-3</v>
      </c>
      <c r="ID32" s="359">
        <v>1E-3</v>
      </c>
      <c r="IE32" s="359">
        <v>1E-3</v>
      </c>
      <c r="IF32" s="359">
        <v>1E-3</v>
      </c>
      <c r="IG32" s="359">
        <v>1E-3</v>
      </c>
      <c r="IH32" s="359">
        <v>1E-3</v>
      </c>
      <c r="II32" s="359">
        <v>1E-3</v>
      </c>
      <c r="IJ32" s="359">
        <v>1E-3</v>
      </c>
      <c r="IK32" s="359">
        <v>1E-3</v>
      </c>
      <c r="IL32" s="359">
        <v>1E-3</v>
      </c>
      <c r="IM32" s="359">
        <v>1E-3</v>
      </c>
      <c r="IN32" s="359">
        <v>1E-3</v>
      </c>
      <c r="IO32" s="359">
        <v>1E-3</v>
      </c>
      <c r="IP32" s="359">
        <v>1E-3</v>
      </c>
      <c r="IQ32" s="359">
        <v>1E-3</v>
      </c>
      <c r="IR32" s="359">
        <v>1E-3</v>
      </c>
      <c r="IS32" s="359">
        <v>1E-3</v>
      </c>
      <c r="IT32" s="359">
        <v>1E-3</v>
      </c>
      <c r="IU32" s="359">
        <v>1E-3</v>
      </c>
      <c r="IV32" s="359">
        <v>1E-3</v>
      </c>
      <c r="IW32" s="359">
        <v>1E-3</v>
      </c>
      <c r="IX32" s="359">
        <v>1E-3</v>
      </c>
      <c r="IY32" s="359">
        <v>1E-3</v>
      </c>
      <c r="IZ32" s="359">
        <v>1E-3</v>
      </c>
      <c r="JA32" s="359">
        <v>1E-3</v>
      </c>
      <c r="JB32" s="359">
        <v>1E-3</v>
      </c>
      <c r="JC32" s="359">
        <v>1E-3</v>
      </c>
      <c r="JD32" s="359">
        <v>1E-3</v>
      </c>
      <c r="JE32" s="359">
        <v>1E-3</v>
      </c>
      <c r="JF32" s="359">
        <v>1E-3</v>
      </c>
      <c r="JG32" s="359">
        <v>1E-3</v>
      </c>
      <c r="JH32" s="359">
        <v>1E-3</v>
      </c>
      <c r="JI32" s="359">
        <v>1E-3</v>
      </c>
      <c r="JJ32" s="359">
        <v>1E-3</v>
      </c>
      <c r="JK32" s="359">
        <v>1E-3</v>
      </c>
      <c r="JL32" s="359">
        <v>1E-3</v>
      </c>
      <c r="JM32" s="359">
        <v>1E-3</v>
      </c>
      <c r="JN32" s="359">
        <v>1E-3</v>
      </c>
      <c r="JO32" s="359">
        <v>1E-3</v>
      </c>
      <c r="JP32" s="359">
        <v>1E-3</v>
      </c>
      <c r="JQ32" s="359">
        <v>1E-3</v>
      </c>
      <c r="JR32" s="359">
        <v>1E-3</v>
      </c>
    </row>
    <row r="33" spans="1:278" ht="13.5">
      <c r="A33" s="45"/>
      <c r="B33" s="36"/>
      <c r="C33" s="36" t="s">
        <v>335</v>
      </c>
      <c r="D33" s="26" t="s">
        <v>185</v>
      </c>
      <c r="E33" s="26" t="s">
        <v>141</v>
      </c>
      <c r="FE33" s="599">
        <v>150</v>
      </c>
      <c r="FF33" s="599">
        <v>150</v>
      </c>
      <c r="FG33" s="599">
        <v>150</v>
      </c>
      <c r="FH33" s="599">
        <v>150</v>
      </c>
      <c r="FI33" s="599">
        <v>150</v>
      </c>
      <c r="FJ33" s="599">
        <v>150</v>
      </c>
      <c r="FK33" s="599">
        <v>150</v>
      </c>
      <c r="FL33" s="599">
        <v>150</v>
      </c>
      <c r="FM33" s="599">
        <v>150</v>
      </c>
      <c r="FN33" s="599">
        <v>150</v>
      </c>
      <c r="FO33" s="599">
        <v>150</v>
      </c>
      <c r="FP33" s="599">
        <v>150</v>
      </c>
      <c r="FQ33" s="599">
        <v>150</v>
      </c>
      <c r="FR33" s="599">
        <v>150</v>
      </c>
      <c r="FS33" s="599">
        <v>150</v>
      </c>
      <c r="FT33" s="599">
        <v>150</v>
      </c>
      <c r="FU33" s="599">
        <v>150</v>
      </c>
      <c r="FV33" s="599">
        <v>150</v>
      </c>
      <c r="FW33" s="599">
        <v>150</v>
      </c>
      <c r="FX33" s="599">
        <v>150</v>
      </c>
      <c r="FY33" s="599">
        <v>150</v>
      </c>
      <c r="FZ33" s="599">
        <v>150</v>
      </c>
      <c r="GA33" s="599">
        <v>150</v>
      </c>
      <c r="GB33" s="599">
        <v>150</v>
      </c>
      <c r="GC33" s="599">
        <v>150</v>
      </c>
      <c r="GD33" s="599">
        <v>150</v>
      </c>
      <c r="GE33" s="599">
        <v>150</v>
      </c>
      <c r="GF33" s="599">
        <v>150</v>
      </c>
      <c r="GG33" s="599">
        <v>150</v>
      </c>
      <c r="GH33" s="599">
        <v>150</v>
      </c>
      <c r="GI33" s="599">
        <v>150</v>
      </c>
      <c r="GJ33" s="599">
        <v>150</v>
      </c>
      <c r="GK33" s="599">
        <v>150</v>
      </c>
      <c r="GL33" s="599">
        <v>150</v>
      </c>
      <c r="GM33" s="599">
        <v>150</v>
      </c>
      <c r="GN33" s="599">
        <v>150</v>
      </c>
      <c r="GO33" s="599">
        <v>150</v>
      </c>
      <c r="GP33" s="599">
        <v>150</v>
      </c>
      <c r="GQ33" s="599">
        <v>150</v>
      </c>
      <c r="GR33" s="599">
        <v>150</v>
      </c>
      <c r="GS33" s="599">
        <v>150</v>
      </c>
      <c r="GT33" s="599">
        <v>150</v>
      </c>
      <c r="GU33" s="599">
        <v>150</v>
      </c>
      <c r="GV33" s="599">
        <v>150</v>
      </c>
      <c r="GW33" s="599">
        <v>150</v>
      </c>
      <c r="GX33" s="599">
        <v>150</v>
      </c>
      <c r="GY33" s="599">
        <v>150</v>
      </c>
      <c r="GZ33" s="599">
        <v>150</v>
      </c>
      <c r="HA33" s="599">
        <v>150</v>
      </c>
      <c r="HB33" s="599">
        <v>150</v>
      </c>
      <c r="HC33" s="599">
        <v>150</v>
      </c>
      <c r="HD33" s="599">
        <v>150</v>
      </c>
      <c r="HE33" s="599">
        <v>150</v>
      </c>
      <c r="HF33" s="599">
        <v>150</v>
      </c>
      <c r="HG33" s="599">
        <v>150</v>
      </c>
      <c r="HH33" s="599">
        <v>150</v>
      </c>
      <c r="HI33" s="599">
        <v>150</v>
      </c>
      <c r="HJ33" s="599">
        <v>150</v>
      </c>
      <c r="HK33" s="599">
        <v>150</v>
      </c>
      <c r="HL33" s="599">
        <v>150</v>
      </c>
      <c r="HM33" s="599">
        <v>150</v>
      </c>
      <c r="HN33" s="599">
        <v>150</v>
      </c>
      <c r="HO33" s="599">
        <v>150</v>
      </c>
      <c r="HP33" s="599">
        <v>150</v>
      </c>
      <c r="HQ33" s="599">
        <v>150</v>
      </c>
      <c r="HR33" s="599">
        <v>150</v>
      </c>
      <c r="HS33" s="599">
        <v>150</v>
      </c>
      <c r="HT33" s="599">
        <v>150</v>
      </c>
      <c r="HU33" s="599">
        <v>150</v>
      </c>
      <c r="HV33" s="599">
        <v>150</v>
      </c>
      <c r="HW33" s="599">
        <v>150</v>
      </c>
      <c r="HX33" s="599">
        <v>150</v>
      </c>
      <c r="HY33" s="599">
        <v>150</v>
      </c>
      <c r="HZ33" s="599">
        <v>150</v>
      </c>
      <c r="IA33" s="599">
        <v>150</v>
      </c>
      <c r="IB33" s="599">
        <v>150</v>
      </c>
      <c r="IC33" s="599">
        <v>150</v>
      </c>
      <c r="ID33" s="599">
        <v>150</v>
      </c>
      <c r="IE33" s="599">
        <v>150</v>
      </c>
      <c r="IF33" s="599">
        <v>150</v>
      </c>
      <c r="IG33" s="599">
        <v>150</v>
      </c>
      <c r="IH33" s="599">
        <v>150</v>
      </c>
      <c r="II33" s="599">
        <v>150</v>
      </c>
      <c r="IJ33" s="599">
        <v>150</v>
      </c>
      <c r="IK33" s="599">
        <v>150</v>
      </c>
      <c r="IL33" s="599">
        <v>150</v>
      </c>
      <c r="IM33" s="599">
        <v>150</v>
      </c>
      <c r="IN33" s="599">
        <v>150</v>
      </c>
      <c r="IO33" s="599">
        <v>150</v>
      </c>
      <c r="IP33" s="599">
        <v>150</v>
      </c>
      <c r="IQ33" s="599">
        <v>150</v>
      </c>
      <c r="IR33" s="599">
        <v>150</v>
      </c>
      <c r="IS33" s="599">
        <v>150</v>
      </c>
      <c r="IT33" s="599">
        <v>150</v>
      </c>
      <c r="IU33" s="599">
        <v>150</v>
      </c>
      <c r="IV33" s="599">
        <v>150</v>
      </c>
      <c r="IW33" s="599">
        <v>150</v>
      </c>
      <c r="IX33" s="599">
        <v>150</v>
      </c>
      <c r="IY33" s="599">
        <v>150</v>
      </c>
      <c r="IZ33" s="599">
        <v>150</v>
      </c>
      <c r="JA33" s="599">
        <v>150</v>
      </c>
      <c r="JB33" s="599">
        <v>150</v>
      </c>
      <c r="JC33" s="599">
        <v>150</v>
      </c>
      <c r="JD33" s="599">
        <v>150</v>
      </c>
      <c r="JE33" s="599">
        <v>150</v>
      </c>
      <c r="JF33" s="599">
        <v>150</v>
      </c>
      <c r="JG33" s="599">
        <v>150</v>
      </c>
      <c r="JH33" s="599">
        <v>150</v>
      </c>
      <c r="JI33" s="599">
        <v>150</v>
      </c>
      <c r="JJ33" s="599">
        <v>150</v>
      </c>
      <c r="JK33" s="599">
        <v>150</v>
      </c>
      <c r="JL33" s="599">
        <v>150</v>
      </c>
      <c r="JM33" s="599">
        <v>150</v>
      </c>
      <c r="JN33" s="599">
        <v>150</v>
      </c>
      <c r="JO33" s="599">
        <v>150</v>
      </c>
      <c r="JP33" s="599">
        <v>150</v>
      </c>
      <c r="JQ33" s="599">
        <v>150</v>
      </c>
      <c r="JR33" s="599">
        <v>150</v>
      </c>
    </row>
    <row r="34" spans="1:278" ht="13.5">
      <c r="A34" s="45"/>
      <c r="B34" s="36"/>
      <c r="C34" s="36" t="s">
        <v>134</v>
      </c>
      <c r="D34" s="26" t="s">
        <v>201</v>
      </c>
      <c r="E34" s="26" t="s">
        <v>135</v>
      </c>
      <c r="FE34" s="599">
        <v>3.66</v>
      </c>
      <c r="FF34" s="599">
        <v>3.66</v>
      </c>
      <c r="FG34" s="599">
        <v>3.66</v>
      </c>
      <c r="FH34" s="599">
        <v>3.66</v>
      </c>
      <c r="FI34" s="599">
        <v>3.66</v>
      </c>
      <c r="FJ34" s="599">
        <v>3.66</v>
      </c>
      <c r="FK34" s="599">
        <v>3.66</v>
      </c>
      <c r="FL34" s="599">
        <v>3.66</v>
      </c>
      <c r="FM34" s="599">
        <v>3.66</v>
      </c>
      <c r="FN34" s="599">
        <v>3.66</v>
      </c>
      <c r="FO34" s="599">
        <v>3.66</v>
      </c>
      <c r="FP34" s="599">
        <v>3.66</v>
      </c>
      <c r="FQ34" s="599">
        <v>3.66</v>
      </c>
      <c r="FR34" s="599">
        <v>3.66</v>
      </c>
      <c r="FS34" s="599">
        <v>3.66</v>
      </c>
      <c r="FT34" s="599">
        <v>3.66</v>
      </c>
      <c r="FU34" s="599">
        <v>3.66</v>
      </c>
      <c r="FV34" s="599">
        <v>3.66</v>
      </c>
      <c r="FW34" s="599">
        <v>3.66</v>
      </c>
      <c r="FX34" s="599">
        <v>3.66</v>
      </c>
      <c r="FY34" s="599">
        <v>3.66</v>
      </c>
      <c r="FZ34" s="599">
        <v>3.66</v>
      </c>
      <c r="GA34" s="599">
        <v>3.66</v>
      </c>
      <c r="GB34" s="599">
        <v>3.66</v>
      </c>
      <c r="GC34" s="599">
        <v>3.66</v>
      </c>
      <c r="GD34" s="599">
        <v>3.66</v>
      </c>
      <c r="GE34" s="599">
        <v>3.66</v>
      </c>
      <c r="GF34" s="599">
        <v>3.66</v>
      </c>
      <c r="GG34" s="599">
        <v>3.66</v>
      </c>
      <c r="GH34" s="599">
        <v>3.66</v>
      </c>
      <c r="GI34" s="599">
        <v>3.66</v>
      </c>
      <c r="GJ34" s="599">
        <v>3.66</v>
      </c>
      <c r="GK34" s="599">
        <v>3.66</v>
      </c>
      <c r="GL34" s="599">
        <v>3.66</v>
      </c>
      <c r="GM34" s="599">
        <v>3.66</v>
      </c>
      <c r="GN34" s="599">
        <v>3.66</v>
      </c>
      <c r="GO34" s="599">
        <v>3.66</v>
      </c>
      <c r="GP34" s="599">
        <v>3.66</v>
      </c>
      <c r="GQ34" s="599">
        <v>3.66</v>
      </c>
      <c r="GR34" s="599">
        <v>3.66</v>
      </c>
      <c r="GS34" s="599">
        <v>3.66</v>
      </c>
      <c r="GT34" s="599">
        <v>3.66</v>
      </c>
      <c r="GU34" s="599">
        <v>3.66</v>
      </c>
      <c r="GV34" s="599">
        <v>3.66</v>
      </c>
      <c r="GW34" s="599">
        <v>3.66</v>
      </c>
      <c r="GX34" s="599">
        <v>3.66</v>
      </c>
      <c r="GY34" s="599">
        <v>3.66</v>
      </c>
      <c r="GZ34" s="599">
        <v>3.66</v>
      </c>
      <c r="HA34" s="599">
        <v>3.66</v>
      </c>
      <c r="HB34" s="599">
        <v>3.66</v>
      </c>
      <c r="HC34" s="599">
        <v>3.66</v>
      </c>
      <c r="HD34" s="599">
        <v>3.66</v>
      </c>
      <c r="HE34" s="599">
        <v>3.66</v>
      </c>
      <c r="HF34" s="599">
        <v>3.66</v>
      </c>
      <c r="HG34" s="599">
        <v>3.66</v>
      </c>
      <c r="HH34" s="599">
        <v>3.66</v>
      </c>
      <c r="HI34" s="599">
        <v>3.66</v>
      </c>
      <c r="HJ34" s="599">
        <v>3.66</v>
      </c>
      <c r="HK34" s="599">
        <v>3.66</v>
      </c>
      <c r="HL34" s="599">
        <v>3.66</v>
      </c>
      <c r="HM34" s="599">
        <v>3.66</v>
      </c>
      <c r="HN34" s="599">
        <v>3.66</v>
      </c>
      <c r="HO34" s="599">
        <v>3.66</v>
      </c>
      <c r="HP34" s="599">
        <v>3.66</v>
      </c>
      <c r="HQ34" s="599">
        <v>3.66</v>
      </c>
      <c r="HR34" s="599">
        <v>3.66</v>
      </c>
      <c r="HS34" s="599">
        <v>3.66</v>
      </c>
      <c r="HT34" s="599">
        <v>3.66</v>
      </c>
      <c r="HU34" s="599">
        <v>3.66</v>
      </c>
      <c r="HV34" s="599">
        <v>3.66</v>
      </c>
      <c r="HW34" s="599">
        <v>3.66</v>
      </c>
      <c r="HX34" s="599">
        <v>3.66</v>
      </c>
      <c r="HY34" s="599">
        <v>3.66</v>
      </c>
      <c r="HZ34" s="599">
        <v>3.66</v>
      </c>
      <c r="IA34" s="599">
        <v>3.66</v>
      </c>
      <c r="IB34" s="599">
        <v>3.66</v>
      </c>
      <c r="IC34" s="599">
        <v>3.66</v>
      </c>
      <c r="ID34" s="599">
        <v>3.66</v>
      </c>
      <c r="IE34" s="599">
        <v>3.66</v>
      </c>
      <c r="IF34" s="599">
        <v>3.66</v>
      </c>
      <c r="IG34" s="599">
        <v>3.66</v>
      </c>
      <c r="IH34" s="599">
        <v>3.66</v>
      </c>
      <c r="II34" s="599">
        <v>3.66</v>
      </c>
      <c r="IJ34" s="599">
        <v>3.66</v>
      </c>
      <c r="IK34" s="599">
        <v>3.66</v>
      </c>
      <c r="IL34" s="599">
        <v>3.66</v>
      </c>
      <c r="IM34" s="599">
        <v>3.66</v>
      </c>
      <c r="IN34" s="599">
        <v>3.66</v>
      </c>
      <c r="IO34" s="599">
        <v>3.66</v>
      </c>
      <c r="IP34" s="599">
        <v>3.66</v>
      </c>
      <c r="IQ34" s="599">
        <v>3.66</v>
      </c>
      <c r="IR34" s="599">
        <v>3.66</v>
      </c>
      <c r="IS34" s="599">
        <v>3.66</v>
      </c>
      <c r="IT34" s="599">
        <v>3.66</v>
      </c>
      <c r="IU34" s="599">
        <v>3.66</v>
      </c>
      <c r="IV34" s="599">
        <v>3.66</v>
      </c>
      <c r="IW34" s="599">
        <v>3.66</v>
      </c>
      <c r="IX34" s="599">
        <v>3.66</v>
      </c>
      <c r="IY34" s="599">
        <v>3.66</v>
      </c>
      <c r="IZ34" s="599">
        <v>3.66</v>
      </c>
      <c r="JA34" s="599">
        <v>3.66</v>
      </c>
      <c r="JB34" s="599">
        <v>3.66</v>
      </c>
      <c r="JC34" s="599">
        <v>3.66</v>
      </c>
      <c r="JD34" s="599">
        <v>3.66</v>
      </c>
      <c r="JE34" s="599">
        <v>3.66</v>
      </c>
      <c r="JF34" s="599">
        <v>3.66</v>
      </c>
      <c r="JG34" s="599">
        <v>3.66</v>
      </c>
      <c r="JH34" s="599">
        <v>3.66</v>
      </c>
      <c r="JI34" s="599">
        <v>3.66</v>
      </c>
      <c r="JJ34" s="599">
        <v>3.66</v>
      </c>
      <c r="JK34" s="599">
        <v>3.66</v>
      </c>
      <c r="JL34" s="599">
        <v>3.66</v>
      </c>
      <c r="JM34" s="599">
        <v>3.66</v>
      </c>
      <c r="JN34" s="599">
        <v>3.66</v>
      </c>
      <c r="JO34" s="599">
        <v>3.66</v>
      </c>
      <c r="JP34" s="599">
        <v>3.66</v>
      </c>
      <c r="JQ34" s="599">
        <v>3.66</v>
      </c>
      <c r="JR34" s="599">
        <v>3.66</v>
      </c>
    </row>
    <row r="35" spans="1:278" ht="13.5">
      <c r="A35" s="45"/>
      <c r="B35" s="36"/>
      <c r="C35" s="36" t="s">
        <v>205</v>
      </c>
      <c r="D35" s="75" t="s">
        <v>128</v>
      </c>
      <c r="E35" s="26" t="s">
        <v>314</v>
      </c>
      <c r="FE35" s="600">
        <v>0.45</v>
      </c>
      <c r="FF35" s="600">
        <v>0.45</v>
      </c>
      <c r="FG35" s="600">
        <v>0.45</v>
      </c>
      <c r="FH35" s="600">
        <v>0.45</v>
      </c>
      <c r="FI35" s="600">
        <v>0.45</v>
      </c>
      <c r="FJ35" s="600">
        <v>0.45</v>
      </c>
      <c r="FK35" s="600">
        <v>0.45</v>
      </c>
      <c r="FL35" s="600">
        <v>0.45</v>
      </c>
      <c r="FM35" s="600">
        <v>0.45</v>
      </c>
      <c r="FN35" s="600">
        <v>0.45</v>
      </c>
      <c r="FO35" s="600">
        <v>0.45</v>
      </c>
      <c r="FP35" s="600">
        <v>0.45</v>
      </c>
      <c r="FQ35" s="600">
        <v>0.45</v>
      </c>
      <c r="FR35" s="600">
        <v>0.45</v>
      </c>
      <c r="FS35" s="600">
        <v>0.45</v>
      </c>
      <c r="FT35" s="600">
        <v>0.45</v>
      </c>
      <c r="FU35" s="600">
        <v>0.45</v>
      </c>
      <c r="FV35" s="600">
        <v>0.45</v>
      </c>
      <c r="FW35" s="600">
        <v>0.45</v>
      </c>
      <c r="FX35" s="600">
        <v>0.45</v>
      </c>
      <c r="FY35" s="600">
        <v>0.45</v>
      </c>
      <c r="FZ35" s="600">
        <v>0.45</v>
      </c>
      <c r="GA35" s="600">
        <v>0.45</v>
      </c>
      <c r="GB35" s="600">
        <v>0.45</v>
      </c>
      <c r="GC35" s="600">
        <v>0.45</v>
      </c>
      <c r="GD35" s="600">
        <v>0.45</v>
      </c>
      <c r="GE35" s="600">
        <v>0.45</v>
      </c>
      <c r="GF35" s="600">
        <v>0.45</v>
      </c>
      <c r="GG35" s="600">
        <v>0.45</v>
      </c>
      <c r="GH35" s="600">
        <v>0.45</v>
      </c>
      <c r="GI35" s="600">
        <v>0.45</v>
      </c>
      <c r="GJ35" s="600">
        <v>0.45</v>
      </c>
      <c r="GK35" s="600">
        <v>0.45</v>
      </c>
      <c r="GL35" s="600">
        <v>0.45</v>
      </c>
      <c r="GM35" s="600">
        <v>0.45</v>
      </c>
      <c r="GN35" s="600">
        <v>0.45</v>
      </c>
      <c r="GO35" s="600">
        <v>0.45</v>
      </c>
      <c r="GP35" s="600">
        <v>0.45</v>
      </c>
      <c r="GQ35" s="600">
        <v>0.45</v>
      </c>
      <c r="GR35" s="600">
        <v>0.45</v>
      </c>
      <c r="GS35" s="600">
        <v>0.45</v>
      </c>
      <c r="GT35" s="600">
        <v>0.45</v>
      </c>
      <c r="GU35" s="600">
        <v>0.45</v>
      </c>
      <c r="GV35" s="600">
        <v>0.45</v>
      </c>
      <c r="GW35" s="600">
        <v>0.45</v>
      </c>
      <c r="GX35" s="600">
        <v>0.45</v>
      </c>
      <c r="GY35" s="600">
        <v>0.45</v>
      </c>
      <c r="GZ35" s="600">
        <v>0.45</v>
      </c>
      <c r="HA35" s="600">
        <v>0.45</v>
      </c>
      <c r="HB35" s="600">
        <v>0.45</v>
      </c>
      <c r="HC35" s="600">
        <v>0.45</v>
      </c>
      <c r="HD35" s="600">
        <v>0.45</v>
      </c>
      <c r="HE35" s="600">
        <v>0.45</v>
      </c>
      <c r="HF35" s="600">
        <v>0.45</v>
      </c>
      <c r="HG35" s="600">
        <v>0.45</v>
      </c>
      <c r="HH35" s="600">
        <v>0.45</v>
      </c>
      <c r="HI35" s="600">
        <v>0.45</v>
      </c>
      <c r="HJ35" s="600">
        <v>0.45</v>
      </c>
      <c r="HK35" s="600">
        <v>0.45</v>
      </c>
      <c r="HL35" s="600">
        <v>0.45</v>
      </c>
      <c r="HM35" s="600">
        <v>0.45</v>
      </c>
      <c r="HN35" s="600">
        <v>0.45</v>
      </c>
      <c r="HO35" s="600">
        <v>0.45</v>
      </c>
      <c r="HP35" s="600">
        <v>0.45</v>
      </c>
      <c r="HQ35" s="600">
        <v>0.45</v>
      </c>
      <c r="HR35" s="600">
        <v>0.45</v>
      </c>
      <c r="HS35" s="600">
        <v>0.45</v>
      </c>
      <c r="HT35" s="600">
        <v>0.45</v>
      </c>
      <c r="HU35" s="600">
        <v>0.45</v>
      </c>
      <c r="HV35" s="600">
        <v>0.45</v>
      </c>
      <c r="HW35" s="600">
        <v>0.45</v>
      </c>
      <c r="HX35" s="600">
        <v>0.45</v>
      </c>
      <c r="HY35" s="600">
        <v>0.45</v>
      </c>
      <c r="HZ35" s="600">
        <v>0.45</v>
      </c>
      <c r="IA35" s="600">
        <v>0.45</v>
      </c>
      <c r="IB35" s="600">
        <v>0.45</v>
      </c>
      <c r="IC35" s="600">
        <v>0.45</v>
      </c>
      <c r="ID35" s="600">
        <v>0.45</v>
      </c>
      <c r="IE35" s="600">
        <v>0.45</v>
      </c>
      <c r="IF35" s="600">
        <v>0.45</v>
      </c>
      <c r="IG35" s="600">
        <v>0.45</v>
      </c>
      <c r="IH35" s="600">
        <v>0.45</v>
      </c>
      <c r="II35" s="600">
        <v>0.45</v>
      </c>
      <c r="IJ35" s="600">
        <v>0.45</v>
      </c>
      <c r="IK35" s="600">
        <v>0.45</v>
      </c>
      <c r="IL35" s="600">
        <v>0.45</v>
      </c>
      <c r="IM35" s="600">
        <v>0.45</v>
      </c>
      <c r="IN35" s="600">
        <v>0.45</v>
      </c>
      <c r="IO35" s="600">
        <v>0.45</v>
      </c>
      <c r="IP35" s="600">
        <v>0.45</v>
      </c>
      <c r="IQ35" s="600">
        <v>0.45</v>
      </c>
      <c r="IR35" s="600">
        <v>0.45</v>
      </c>
      <c r="IS35" s="600">
        <v>0.45</v>
      </c>
      <c r="IT35" s="600">
        <v>0.45</v>
      </c>
      <c r="IU35" s="600">
        <v>0.45</v>
      </c>
      <c r="IV35" s="600">
        <v>0.45</v>
      </c>
      <c r="IW35" s="600">
        <v>0.45</v>
      </c>
      <c r="IX35" s="600">
        <v>0.45</v>
      </c>
      <c r="IY35" s="600">
        <v>0.45</v>
      </c>
      <c r="IZ35" s="600">
        <v>0.45</v>
      </c>
      <c r="JA35" s="600">
        <v>0.45</v>
      </c>
      <c r="JB35" s="600">
        <v>0.45</v>
      </c>
      <c r="JC35" s="600">
        <v>0.45</v>
      </c>
      <c r="JD35" s="600">
        <v>0.45</v>
      </c>
      <c r="JE35" s="600">
        <v>0.45</v>
      </c>
      <c r="JF35" s="600">
        <v>0.45</v>
      </c>
      <c r="JG35" s="600">
        <v>0.45</v>
      </c>
      <c r="JH35" s="600">
        <v>0.45</v>
      </c>
      <c r="JI35" s="600">
        <v>0.45</v>
      </c>
      <c r="JJ35" s="600">
        <v>0.45</v>
      </c>
      <c r="JK35" s="600">
        <v>0.45</v>
      </c>
      <c r="JL35" s="600">
        <v>0.45</v>
      </c>
      <c r="JM35" s="600">
        <v>0.45</v>
      </c>
      <c r="JN35" s="600">
        <v>0.45</v>
      </c>
      <c r="JO35" s="600">
        <v>0.45</v>
      </c>
      <c r="JP35" s="600">
        <v>0.45</v>
      </c>
      <c r="JQ35" s="600">
        <v>0.45</v>
      </c>
      <c r="JR35" s="600">
        <v>0.45</v>
      </c>
    </row>
    <row r="36" spans="1:278" ht="13.5">
      <c r="A36" s="45"/>
      <c r="B36" s="48"/>
      <c r="C36" s="36" t="s">
        <v>315</v>
      </c>
      <c r="D36" s="26" t="s">
        <v>202</v>
      </c>
      <c r="E36" s="26" t="s">
        <v>264</v>
      </c>
      <c r="FE36" s="601">
        <v>3.0000000000000001E-3</v>
      </c>
      <c r="FF36" s="601">
        <v>3.0000000000000001E-3</v>
      </c>
      <c r="FG36" s="601">
        <v>3.0000000000000001E-3</v>
      </c>
      <c r="FH36" s="601">
        <v>3.0000000000000001E-3</v>
      </c>
      <c r="FI36" s="601">
        <v>3.0000000000000001E-3</v>
      </c>
      <c r="FJ36" s="601">
        <v>3.0000000000000001E-3</v>
      </c>
      <c r="FK36" s="601">
        <v>3.0000000000000001E-3</v>
      </c>
      <c r="FL36" s="601">
        <v>3.0000000000000001E-3</v>
      </c>
      <c r="FM36" s="601">
        <v>3.0000000000000001E-3</v>
      </c>
      <c r="FN36" s="601">
        <v>3.0000000000000001E-3</v>
      </c>
      <c r="FO36" s="601">
        <v>3.0000000000000001E-3</v>
      </c>
      <c r="FP36" s="601">
        <v>3.0000000000000001E-3</v>
      </c>
      <c r="FQ36" s="601">
        <v>3.0000000000000001E-3</v>
      </c>
      <c r="FR36" s="601">
        <v>3.0000000000000001E-3</v>
      </c>
      <c r="FS36" s="601">
        <v>3.0000000000000001E-3</v>
      </c>
      <c r="FT36" s="601">
        <v>3.0000000000000001E-3</v>
      </c>
      <c r="FU36" s="601">
        <v>3.0000000000000001E-3</v>
      </c>
      <c r="FV36" s="601">
        <v>3.0000000000000001E-3</v>
      </c>
      <c r="FW36" s="601">
        <v>3.0000000000000001E-3</v>
      </c>
      <c r="FX36" s="601">
        <v>3.0000000000000001E-3</v>
      </c>
      <c r="FY36" s="601">
        <v>3.0000000000000001E-3</v>
      </c>
      <c r="FZ36" s="601">
        <v>3.0000000000000001E-3</v>
      </c>
      <c r="GA36" s="601">
        <v>3.0000000000000001E-3</v>
      </c>
      <c r="GB36" s="601">
        <v>3.0000000000000001E-3</v>
      </c>
      <c r="GC36" s="601">
        <v>3.0000000000000001E-3</v>
      </c>
      <c r="GD36" s="601">
        <v>3.0000000000000001E-3</v>
      </c>
      <c r="GE36" s="601">
        <v>3.0000000000000001E-3</v>
      </c>
      <c r="GF36" s="601">
        <v>3.0000000000000001E-3</v>
      </c>
      <c r="GG36" s="601">
        <v>3.0000000000000001E-3</v>
      </c>
      <c r="GH36" s="601">
        <v>3.0000000000000001E-3</v>
      </c>
      <c r="GI36" s="601">
        <v>3.0000000000000001E-3</v>
      </c>
      <c r="GJ36" s="601">
        <v>3.0000000000000001E-3</v>
      </c>
      <c r="GK36" s="601">
        <v>3.0000000000000001E-3</v>
      </c>
      <c r="GL36" s="601">
        <v>3.0000000000000001E-3</v>
      </c>
      <c r="GM36" s="601">
        <v>3.0000000000000001E-3</v>
      </c>
      <c r="GN36" s="601">
        <v>3.0000000000000001E-3</v>
      </c>
      <c r="GO36" s="601">
        <v>3.0000000000000001E-3</v>
      </c>
      <c r="GP36" s="601">
        <v>3.0000000000000001E-3</v>
      </c>
      <c r="GQ36" s="601">
        <v>3.0000000000000001E-3</v>
      </c>
      <c r="GR36" s="601">
        <v>3.0000000000000001E-3</v>
      </c>
      <c r="GS36" s="601">
        <v>3.0000000000000001E-3</v>
      </c>
      <c r="GT36" s="601">
        <v>3.0000000000000001E-3</v>
      </c>
      <c r="GU36" s="601">
        <v>3.0000000000000001E-3</v>
      </c>
      <c r="GV36" s="601">
        <v>3.0000000000000001E-3</v>
      </c>
      <c r="GW36" s="601">
        <v>3.0000000000000001E-3</v>
      </c>
      <c r="GX36" s="601">
        <v>3.0000000000000001E-3</v>
      </c>
      <c r="GY36" s="601">
        <v>3.0000000000000001E-3</v>
      </c>
      <c r="GZ36" s="601">
        <v>3.0000000000000001E-3</v>
      </c>
      <c r="HA36" s="601">
        <v>3.0000000000000001E-3</v>
      </c>
      <c r="HB36" s="601">
        <v>3.0000000000000001E-3</v>
      </c>
      <c r="HC36" s="601">
        <v>3.0000000000000001E-3</v>
      </c>
      <c r="HD36" s="601">
        <v>3.0000000000000001E-3</v>
      </c>
      <c r="HE36" s="601">
        <v>3.0000000000000001E-3</v>
      </c>
      <c r="HF36" s="601">
        <v>3.0000000000000001E-3</v>
      </c>
      <c r="HG36" s="601">
        <v>3.0000000000000001E-3</v>
      </c>
      <c r="HH36" s="601">
        <v>3.0000000000000001E-3</v>
      </c>
      <c r="HI36" s="601">
        <v>3.0000000000000001E-3</v>
      </c>
      <c r="HJ36" s="601">
        <v>3.0000000000000001E-3</v>
      </c>
      <c r="HK36" s="601">
        <v>3.0000000000000001E-3</v>
      </c>
      <c r="HL36" s="601">
        <v>3.0000000000000001E-3</v>
      </c>
      <c r="HM36" s="601">
        <v>3.0000000000000001E-3</v>
      </c>
      <c r="HN36" s="601">
        <v>3.0000000000000001E-3</v>
      </c>
      <c r="HO36" s="601">
        <v>3.0000000000000001E-3</v>
      </c>
      <c r="HP36" s="601">
        <v>3.0000000000000001E-3</v>
      </c>
      <c r="HQ36" s="601">
        <v>3.0000000000000001E-3</v>
      </c>
      <c r="HR36" s="601">
        <v>3.0000000000000001E-3</v>
      </c>
      <c r="HS36" s="601">
        <v>3.0000000000000001E-3</v>
      </c>
      <c r="HT36" s="601">
        <v>3.0000000000000001E-3</v>
      </c>
      <c r="HU36" s="601">
        <v>3.0000000000000001E-3</v>
      </c>
      <c r="HV36" s="601">
        <v>3.0000000000000001E-3</v>
      </c>
      <c r="HW36" s="601">
        <v>3.0000000000000001E-3</v>
      </c>
      <c r="HX36" s="601">
        <v>3.0000000000000001E-3</v>
      </c>
      <c r="HY36" s="601">
        <v>3.0000000000000001E-3</v>
      </c>
      <c r="HZ36" s="601">
        <v>3.0000000000000001E-3</v>
      </c>
      <c r="IA36" s="601">
        <v>3.0000000000000001E-3</v>
      </c>
      <c r="IB36" s="601">
        <v>3.0000000000000001E-3</v>
      </c>
      <c r="IC36" s="601">
        <v>3.0000000000000001E-3</v>
      </c>
      <c r="ID36" s="601">
        <v>3.0000000000000001E-3</v>
      </c>
      <c r="IE36" s="601">
        <v>3.0000000000000001E-3</v>
      </c>
      <c r="IF36" s="601">
        <v>3.0000000000000001E-3</v>
      </c>
      <c r="IG36" s="601">
        <v>3.0000000000000001E-3</v>
      </c>
      <c r="IH36" s="601">
        <v>3.0000000000000001E-3</v>
      </c>
      <c r="II36" s="601">
        <v>3.0000000000000001E-3</v>
      </c>
      <c r="IJ36" s="601">
        <v>3.0000000000000001E-3</v>
      </c>
      <c r="IK36" s="601">
        <v>3.0000000000000001E-3</v>
      </c>
      <c r="IL36" s="601">
        <v>3.0000000000000001E-3</v>
      </c>
      <c r="IM36" s="601">
        <v>3.0000000000000001E-3</v>
      </c>
      <c r="IN36" s="601">
        <v>3.0000000000000001E-3</v>
      </c>
      <c r="IO36" s="601">
        <v>3.0000000000000001E-3</v>
      </c>
      <c r="IP36" s="601">
        <v>3.0000000000000001E-3</v>
      </c>
      <c r="IQ36" s="601">
        <v>3.0000000000000001E-3</v>
      </c>
      <c r="IR36" s="601">
        <v>3.0000000000000001E-3</v>
      </c>
      <c r="IS36" s="601">
        <v>3.0000000000000001E-3</v>
      </c>
      <c r="IT36" s="601">
        <v>3.0000000000000001E-3</v>
      </c>
      <c r="IU36" s="601">
        <v>3.0000000000000001E-3</v>
      </c>
      <c r="IV36" s="601">
        <v>3.0000000000000001E-3</v>
      </c>
      <c r="IW36" s="601">
        <v>3.0000000000000001E-3</v>
      </c>
      <c r="IX36" s="601">
        <v>3.0000000000000001E-3</v>
      </c>
      <c r="IY36" s="601">
        <v>3.0000000000000001E-3</v>
      </c>
      <c r="IZ36" s="601">
        <v>3.0000000000000001E-3</v>
      </c>
      <c r="JA36" s="601">
        <v>3.0000000000000001E-3</v>
      </c>
      <c r="JB36" s="601">
        <v>3.0000000000000001E-3</v>
      </c>
      <c r="JC36" s="601">
        <v>3.0000000000000001E-3</v>
      </c>
      <c r="JD36" s="601">
        <v>3.0000000000000001E-3</v>
      </c>
      <c r="JE36" s="601">
        <v>3.0000000000000001E-3</v>
      </c>
      <c r="JF36" s="601">
        <v>3.0000000000000001E-3</v>
      </c>
      <c r="JG36" s="601">
        <v>3.0000000000000001E-3</v>
      </c>
      <c r="JH36" s="601">
        <v>3.0000000000000001E-3</v>
      </c>
      <c r="JI36" s="601">
        <v>3.0000000000000001E-3</v>
      </c>
      <c r="JJ36" s="601">
        <v>3.0000000000000001E-3</v>
      </c>
      <c r="JK36" s="601">
        <v>3.0000000000000001E-3</v>
      </c>
      <c r="JL36" s="601">
        <v>3.0000000000000001E-3</v>
      </c>
      <c r="JM36" s="601">
        <v>3.0000000000000001E-3</v>
      </c>
      <c r="JN36" s="601">
        <v>3.0000000000000001E-3</v>
      </c>
      <c r="JO36" s="601">
        <v>3.0000000000000001E-3</v>
      </c>
      <c r="JP36" s="601">
        <v>3.0000000000000001E-3</v>
      </c>
      <c r="JQ36" s="601">
        <v>3.0000000000000001E-3</v>
      </c>
      <c r="JR36" s="601">
        <v>3.0000000000000001E-3</v>
      </c>
    </row>
    <row r="37" spans="1:278" ht="27">
      <c r="A37" s="73"/>
      <c r="B37" s="79"/>
      <c r="C37" s="161" t="s">
        <v>1652</v>
      </c>
      <c r="D37" s="76" t="s">
        <v>202</v>
      </c>
      <c r="E37" s="76" t="s">
        <v>138</v>
      </c>
      <c r="FE37" s="602">
        <v>247.05</v>
      </c>
      <c r="FF37" s="602">
        <v>247.05</v>
      </c>
      <c r="FG37" s="602">
        <v>247.05</v>
      </c>
      <c r="FH37" s="602">
        <v>247.05</v>
      </c>
      <c r="FI37" s="602">
        <v>247.05</v>
      </c>
      <c r="FJ37" s="602">
        <v>247.05</v>
      </c>
      <c r="FK37" s="602">
        <v>247.05</v>
      </c>
      <c r="FL37" s="602">
        <v>247.05</v>
      </c>
      <c r="FM37" s="602">
        <v>247.05</v>
      </c>
      <c r="FN37" s="602">
        <v>247.05</v>
      </c>
      <c r="FO37" s="602">
        <v>247.05</v>
      </c>
      <c r="FP37" s="602">
        <v>247.05</v>
      </c>
      <c r="FQ37" s="602">
        <v>247.05</v>
      </c>
      <c r="FR37" s="602">
        <v>247.05</v>
      </c>
      <c r="FS37" s="602">
        <v>247.05</v>
      </c>
      <c r="FT37" s="602">
        <v>247.05</v>
      </c>
      <c r="FU37" s="602">
        <v>247.05</v>
      </c>
      <c r="FV37" s="602">
        <v>247.05</v>
      </c>
      <c r="FW37" s="602">
        <v>247.05</v>
      </c>
      <c r="FX37" s="602">
        <v>247.05</v>
      </c>
      <c r="FY37" s="602">
        <v>247.05</v>
      </c>
      <c r="FZ37" s="602">
        <v>247.05</v>
      </c>
      <c r="GA37" s="602">
        <v>247.05</v>
      </c>
      <c r="GB37" s="602">
        <v>247.05</v>
      </c>
      <c r="GC37" s="602">
        <v>247.05</v>
      </c>
      <c r="GD37" s="602">
        <v>247.05</v>
      </c>
      <c r="GE37" s="602">
        <v>247.05</v>
      </c>
      <c r="GF37" s="602">
        <v>247.05</v>
      </c>
      <c r="GG37" s="602">
        <v>247.05</v>
      </c>
      <c r="GH37" s="602">
        <v>247.05</v>
      </c>
      <c r="GI37" s="602">
        <v>247.05</v>
      </c>
      <c r="GJ37" s="602">
        <v>247.05</v>
      </c>
      <c r="GK37" s="602">
        <v>247.05</v>
      </c>
      <c r="GL37" s="602">
        <v>247.05</v>
      </c>
      <c r="GM37" s="602">
        <v>247.05</v>
      </c>
      <c r="GN37" s="602">
        <v>247.05</v>
      </c>
      <c r="GO37" s="602">
        <v>247.05</v>
      </c>
      <c r="GP37" s="602">
        <v>247.05</v>
      </c>
      <c r="GQ37" s="602">
        <v>247.05</v>
      </c>
      <c r="GR37" s="602">
        <v>247.05</v>
      </c>
      <c r="GS37" s="602">
        <v>247.05</v>
      </c>
      <c r="GT37" s="602">
        <v>247.05</v>
      </c>
      <c r="GU37" s="602">
        <v>247.05</v>
      </c>
      <c r="GV37" s="602">
        <v>247.05</v>
      </c>
      <c r="GW37" s="602">
        <v>247.05</v>
      </c>
      <c r="GX37" s="602">
        <v>247.05</v>
      </c>
      <c r="GY37" s="602">
        <v>247.05</v>
      </c>
      <c r="GZ37" s="602">
        <v>247.05</v>
      </c>
      <c r="HA37" s="602">
        <v>247.05</v>
      </c>
      <c r="HB37" s="602">
        <v>247.05</v>
      </c>
      <c r="HC37" s="602">
        <v>247.05</v>
      </c>
      <c r="HD37" s="602">
        <v>247.05</v>
      </c>
      <c r="HE37" s="602">
        <v>247.05</v>
      </c>
      <c r="HF37" s="602">
        <v>247.05</v>
      </c>
      <c r="HG37" s="602">
        <v>247.05</v>
      </c>
      <c r="HH37" s="602">
        <v>247.05</v>
      </c>
      <c r="HI37" s="602">
        <v>247.05</v>
      </c>
      <c r="HJ37" s="602">
        <v>247.05</v>
      </c>
      <c r="HK37" s="602">
        <v>247.05</v>
      </c>
      <c r="HL37" s="602">
        <v>247.05</v>
      </c>
      <c r="HM37" s="602">
        <v>247.05</v>
      </c>
      <c r="HN37" s="602">
        <v>247.05</v>
      </c>
      <c r="HO37" s="602">
        <v>247.05</v>
      </c>
      <c r="HP37" s="602">
        <v>247.05</v>
      </c>
      <c r="HQ37" s="602">
        <v>247.05</v>
      </c>
      <c r="HR37" s="602">
        <v>247.05</v>
      </c>
      <c r="HS37" s="602">
        <v>247.05</v>
      </c>
      <c r="HT37" s="602">
        <v>247.05</v>
      </c>
      <c r="HU37" s="602">
        <v>247.05</v>
      </c>
      <c r="HV37" s="602">
        <v>247.05</v>
      </c>
      <c r="HW37" s="602">
        <v>247.05</v>
      </c>
      <c r="HX37" s="602">
        <v>247.05</v>
      </c>
      <c r="HY37" s="602">
        <v>247.05</v>
      </c>
      <c r="HZ37" s="602">
        <v>247.05</v>
      </c>
      <c r="IA37" s="602">
        <v>247.05</v>
      </c>
      <c r="IB37" s="602">
        <v>247.05</v>
      </c>
      <c r="IC37" s="602">
        <v>247.05</v>
      </c>
      <c r="ID37" s="602">
        <v>247.05</v>
      </c>
      <c r="IE37" s="602">
        <v>247.05</v>
      </c>
      <c r="IF37" s="602">
        <v>247.05</v>
      </c>
      <c r="IG37" s="602">
        <v>247.05</v>
      </c>
      <c r="IH37" s="602">
        <v>247.05</v>
      </c>
      <c r="II37" s="602">
        <v>247.05</v>
      </c>
      <c r="IJ37" s="602">
        <v>247.05</v>
      </c>
      <c r="IK37" s="602">
        <v>247.05</v>
      </c>
      <c r="IL37" s="602">
        <v>247.05</v>
      </c>
      <c r="IM37" s="602">
        <v>247.05</v>
      </c>
      <c r="IN37" s="602">
        <v>247.05</v>
      </c>
      <c r="IO37" s="602">
        <v>247.05</v>
      </c>
      <c r="IP37" s="602">
        <v>247.05</v>
      </c>
      <c r="IQ37" s="602">
        <v>247.05</v>
      </c>
      <c r="IR37" s="602">
        <v>247.05</v>
      </c>
      <c r="IS37" s="602">
        <v>247.05</v>
      </c>
      <c r="IT37" s="602">
        <v>247.05</v>
      </c>
      <c r="IU37" s="602">
        <v>247.05</v>
      </c>
      <c r="IV37" s="602">
        <v>247.05</v>
      </c>
      <c r="IW37" s="602">
        <v>247.05</v>
      </c>
      <c r="IX37" s="602">
        <v>247.05</v>
      </c>
      <c r="IY37" s="602">
        <v>247.05</v>
      </c>
      <c r="IZ37" s="602">
        <v>247.05</v>
      </c>
      <c r="JA37" s="602">
        <v>247.05</v>
      </c>
      <c r="JB37" s="602">
        <v>247.05</v>
      </c>
      <c r="JC37" s="602">
        <v>247.05</v>
      </c>
      <c r="JD37" s="602">
        <v>247.05</v>
      </c>
      <c r="JE37" s="602">
        <v>247.05</v>
      </c>
      <c r="JF37" s="602">
        <v>247.05</v>
      </c>
      <c r="JG37" s="602">
        <v>247.05</v>
      </c>
      <c r="JH37" s="602">
        <v>247.05</v>
      </c>
      <c r="JI37" s="602">
        <v>247.05</v>
      </c>
      <c r="JJ37" s="602">
        <v>247.05</v>
      </c>
      <c r="JK37" s="602">
        <v>247.05</v>
      </c>
      <c r="JL37" s="602">
        <v>247.05</v>
      </c>
      <c r="JM37" s="602">
        <v>247.05</v>
      </c>
      <c r="JN37" s="602">
        <v>247.05</v>
      </c>
      <c r="JO37" s="602">
        <v>247.05</v>
      </c>
      <c r="JP37" s="602">
        <v>247.05</v>
      </c>
      <c r="JQ37" s="602">
        <v>247.05</v>
      </c>
      <c r="JR37" s="602">
        <v>247.05</v>
      </c>
    </row>
    <row r="38" spans="1:278" ht="13.5">
      <c r="A38" s="36"/>
      <c r="B38" s="147"/>
      <c r="C38" s="326"/>
      <c r="D38" s="26"/>
      <c r="E38" s="26"/>
      <c r="FE38" s="603">
        <v>0.74115000000000009</v>
      </c>
      <c r="FF38" s="603">
        <v>0.74115000000000009</v>
      </c>
      <c r="FG38" s="603">
        <v>0.74115000000000009</v>
      </c>
      <c r="FH38" s="603">
        <v>0.74115000000000009</v>
      </c>
      <c r="FI38" s="603">
        <v>0.74115000000000009</v>
      </c>
      <c r="FJ38" s="603">
        <v>0.74115000000000009</v>
      </c>
      <c r="FK38" s="603">
        <v>0.74115000000000009</v>
      </c>
      <c r="FL38" s="603">
        <v>0.74115000000000009</v>
      </c>
      <c r="FM38" s="603">
        <v>0.74115000000000009</v>
      </c>
      <c r="FN38" s="603">
        <v>0.74115000000000009</v>
      </c>
      <c r="FO38" s="603">
        <v>0.74115000000000009</v>
      </c>
      <c r="FP38" s="603">
        <v>0.74115000000000009</v>
      </c>
      <c r="FQ38" s="603">
        <v>0.74115000000000009</v>
      </c>
      <c r="FR38" s="603">
        <v>0.74115000000000009</v>
      </c>
      <c r="FS38" s="603">
        <v>0.74115000000000009</v>
      </c>
      <c r="FT38" s="603">
        <v>0.74115000000000009</v>
      </c>
      <c r="FU38" s="603">
        <v>0.74115000000000009</v>
      </c>
      <c r="FV38" s="603">
        <v>0.74115000000000009</v>
      </c>
      <c r="FW38" s="603">
        <v>0.74115000000000009</v>
      </c>
      <c r="FX38" s="603">
        <v>0.74115000000000009</v>
      </c>
      <c r="FY38" s="603">
        <v>0.74115000000000009</v>
      </c>
      <c r="FZ38" s="603">
        <v>0.74115000000000009</v>
      </c>
      <c r="GA38" s="603">
        <v>0.74115000000000009</v>
      </c>
      <c r="GB38" s="603">
        <v>0.74115000000000009</v>
      </c>
      <c r="GC38" s="603">
        <v>0.74115000000000009</v>
      </c>
      <c r="GD38" s="603">
        <v>0.74115000000000009</v>
      </c>
      <c r="GE38" s="603">
        <v>0.74115000000000009</v>
      </c>
      <c r="GF38" s="603">
        <v>0.74115000000000009</v>
      </c>
      <c r="GG38" s="603">
        <v>0.74115000000000009</v>
      </c>
      <c r="GH38" s="603">
        <v>0.74115000000000009</v>
      </c>
      <c r="GI38" s="603">
        <v>0.74115000000000009</v>
      </c>
      <c r="GJ38" s="603">
        <v>0.74115000000000009</v>
      </c>
      <c r="GK38" s="603">
        <v>0.74115000000000009</v>
      </c>
      <c r="GL38" s="603">
        <v>0.74115000000000009</v>
      </c>
      <c r="GM38" s="603">
        <v>0.74115000000000009</v>
      </c>
      <c r="GN38" s="603">
        <v>0.74115000000000009</v>
      </c>
      <c r="GO38" s="603">
        <v>0.74115000000000009</v>
      </c>
      <c r="GP38" s="603">
        <v>0.74115000000000009</v>
      </c>
      <c r="GQ38" s="603">
        <v>0.74115000000000009</v>
      </c>
      <c r="GR38" s="603">
        <v>0.74115000000000009</v>
      </c>
      <c r="GS38" s="603">
        <v>0.74115000000000009</v>
      </c>
      <c r="GT38" s="603">
        <v>0.74115000000000009</v>
      </c>
      <c r="GU38" s="603">
        <v>0.74115000000000009</v>
      </c>
      <c r="GV38" s="603">
        <v>0.74115000000000009</v>
      </c>
      <c r="GW38" s="603">
        <v>0.74115000000000009</v>
      </c>
      <c r="GX38" s="603">
        <v>0.74115000000000009</v>
      </c>
      <c r="GY38" s="603">
        <v>0.74115000000000009</v>
      </c>
      <c r="GZ38" s="603">
        <v>0.74115000000000009</v>
      </c>
      <c r="HA38" s="603">
        <v>0.74115000000000009</v>
      </c>
      <c r="HB38" s="603">
        <v>0.74115000000000009</v>
      </c>
      <c r="HC38" s="603">
        <v>0.74115000000000009</v>
      </c>
      <c r="HD38" s="603">
        <v>0.74115000000000009</v>
      </c>
      <c r="HE38" s="603">
        <v>0.74115000000000009</v>
      </c>
      <c r="HF38" s="603">
        <v>0.74115000000000009</v>
      </c>
      <c r="HG38" s="603">
        <v>0.74115000000000009</v>
      </c>
      <c r="HH38" s="603">
        <v>0.74115000000000009</v>
      </c>
      <c r="HI38" s="603">
        <v>0.74115000000000009</v>
      </c>
      <c r="HJ38" s="603">
        <v>0.74115000000000009</v>
      </c>
      <c r="HK38" s="603">
        <v>0.74115000000000009</v>
      </c>
      <c r="HL38" s="603">
        <v>0.74115000000000009</v>
      </c>
      <c r="HM38" s="603">
        <v>0.74115000000000009</v>
      </c>
      <c r="HN38" s="603">
        <v>0.74115000000000009</v>
      </c>
      <c r="HO38" s="603">
        <v>0.74115000000000009</v>
      </c>
      <c r="HP38" s="603">
        <v>0.74115000000000009</v>
      </c>
      <c r="HQ38" s="603">
        <v>0.74115000000000009</v>
      </c>
      <c r="HR38" s="603">
        <v>0.74115000000000009</v>
      </c>
      <c r="HS38" s="603">
        <v>0.74115000000000009</v>
      </c>
      <c r="HT38" s="603">
        <v>0.74115000000000009</v>
      </c>
      <c r="HU38" s="603">
        <v>0.74115000000000009</v>
      </c>
      <c r="HV38" s="603">
        <v>0.74115000000000009</v>
      </c>
      <c r="HW38" s="603">
        <v>0.74115000000000009</v>
      </c>
      <c r="HX38" s="603">
        <v>0.74115000000000009</v>
      </c>
      <c r="HY38" s="603">
        <v>0.74115000000000009</v>
      </c>
      <c r="HZ38" s="603">
        <v>0.74115000000000009</v>
      </c>
      <c r="IA38" s="603">
        <v>0.74115000000000009</v>
      </c>
      <c r="IB38" s="603">
        <v>0.74115000000000009</v>
      </c>
      <c r="IC38" s="603">
        <v>0.74115000000000009</v>
      </c>
      <c r="ID38" s="603">
        <v>0.74115000000000009</v>
      </c>
      <c r="IE38" s="603">
        <v>0.74115000000000009</v>
      </c>
      <c r="IF38" s="603">
        <v>0.74115000000000009</v>
      </c>
      <c r="IG38" s="603">
        <v>0.74115000000000009</v>
      </c>
      <c r="IH38" s="603">
        <v>0.74115000000000009</v>
      </c>
      <c r="II38" s="603">
        <v>0.74115000000000009</v>
      </c>
      <c r="IJ38" s="603">
        <v>0.74115000000000009</v>
      </c>
      <c r="IK38" s="603">
        <v>0.74115000000000009</v>
      </c>
      <c r="IL38" s="603">
        <v>0.74115000000000009</v>
      </c>
      <c r="IM38" s="603">
        <v>0.74115000000000009</v>
      </c>
      <c r="IN38" s="603">
        <v>0.74115000000000009</v>
      </c>
      <c r="IO38" s="603">
        <v>0.74115000000000009</v>
      </c>
      <c r="IP38" s="603">
        <v>0.74115000000000009</v>
      </c>
      <c r="IQ38" s="603">
        <v>0.74115000000000009</v>
      </c>
      <c r="IR38" s="603">
        <v>0.74115000000000009</v>
      </c>
      <c r="IS38" s="603">
        <v>0.74115000000000009</v>
      </c>
      <c r="IT38" s="603">
        <v>0.74115000000000009</v>
      </c>
      <c r="IU38" s="603">
        <v>0.74115000000000009</v>
      </c>
      <c r="IV38" s="603">
        <v>0.74115000000000009</v>
      </c>
      <c r="IW38" s="603">
        <v>0.74115000000000009</v>
      </c>
      <c r="IX38" s="603">
        <v>0.74115000000000009</v>
      </c>
      <c r="IY38" s="603">
        <v>0.74115000000000009</v>
      </c>
      <c r="IZ38" s="603">
        <v>0.74115000000000009</v>
      </c>
      <c r="JA38" s="603">
        <v>0.74115000000000009</v>
      </c>
      <c r="JB38" s="603">
        <v>0.74115000000000009</v>
      </c>
      <c r="JC38" s="603">
        <v>0.74115000000000009</v>
      </c>
      <c r="JD38" s="603">
        <v>0.74115000000000009</v>
      </c>
      <c r="JE38" s="603">
        <v>0.74115000000000009</v>
      </c>
      <c r="JF38" s="603">
        <v>0.74115000000000009</v>
      </c>
      <c r="JG38" s="603">
        <v>0.74115000000000009</v>
      </c>
      <c r="JH38" s="603">
        <v>0.74115000000000009</v>
      </c>
      <c r="JI38" s="603">
        <v>0.74115000000000009</v>
      </c>
      <c r="JJ38" s="603">
        <v>0.74115000000000009</v>
      </c>
      <c r="JK38" s="603">
        <v>0.74115000000000009</v>
      </c>
      <c r="JL38" s="603">
        <v>0.74115000000000009</v>
      </c>
      <c r="JM38" s="603">
        <v>0.74115000000000009</v>
      </c>
      <c r="JN38" s="603">
        <v>0.74115000000000009</v>
      </c>
      <c r="JO38" s="603">
        <v>0.74115000000000009</v>
      </c>
      <c r="JP38" s="603">
        <v>0.74115000000000009</v>
      </c>
      <c r="JQ38" s="603">
        <v>0.74115000000000009</v>
      </c>
      <c r="JR38" s="603">
        <v>0.74115000000000009</v>
      </c>
    </row>
    <row r="39" spans="1:278" ht="18">
      <c r="A39" s="701" t="s">
        <v>125</v>
      </c>
      <c r="B39" s="702"/>
      <c r="C39" s="702"/>
      <c r="D39" s="324" t="s">
        <v>136</v>
      </c>
      <c r="E39" s="324" t="s">
        <v>137</v>
      </c>
      <c r="FE39" s="616" t="s">
        <v>267</v>
      </c>
      <c r="FF39" s="616" t="s">
        <v>267</v>
      </c>
      <c r="FG39" s="616" t="s">
        <v>267</v>
      </c>
      <c r="FH39" s="616" t="s">
        <v>267</v>
      </c>
      <c r="FI39" s="616" t="s">
        <v>267</v>
      </c>
      <c r="FJ39" s="616" t="s">
        <v>267</v>
      </c>
      <c r="FK39" s="616" t="s">
        <v>267</v>
      </c>
      <c r="FL39" s="616" t="s">
        <v>267</v>
      </c>
      <c r="FM39" s="616" t="s">
        <v>267</v>
      </c>
      <c r="FN39" s="616" t="s">
        <v>267</v>
      </c>
      <c r="FO39" s="616" t="s">
        <v>267</v>
      </c>
      <c r="FP39" s="616" t="s">
        <v>267</v>
      </c>
      <c r="FQ39" s="616" t="s">
        <v>267</v>
      </c>
      <c r="FR39" s="616" t="s">
        <v>267</v>
      </c>
      <c r="FS39" s="616" t="s">
        <v>267</v>
      </c>
      <c r="FT39" s="616" t="s">
        <v>267</v>
      </c>
      <c r="FU39" s="616" t="s">
        <v>267</v>
      </c>
      <c r="FV39" s="616" t="s">
        <v>267</v>
      </c>
      <c r="FW39" s="616" t="s">
        <v>267</v>
      </c>
      <c r="FX39" s="616" t="s">
        <v>267</v>
      </c>
      <c r="FY39" s="616" t="s">
        <v>267</v>
      </c>
      <c r="FZ39" s="616" t="s">
        <v>267</v>
      </c>
      <c r="GA39" s="616" t="s">
        <v>267</v>
      </c>
      <c r="GB39" s="616" t="s">
        <v>267</v>
      </c>
      <c r="GC39" s="616" t="s">
        <v>267</v>
      </c>
      <c r="GD39" s="616" t="s">
        <v>267</v>
      </c>
      <c r="GE39" s="616" t="s">
        <v>267</v>
      </c>
      <c r="GF39" s="616" t="s">
        <v>267</v>
      </c>
      <c r="GG39" s="616" t="s">
        <v>267</v>
      </c>
      <c r="GH39" s="616" t="s">
        <v>267</v>
      </c>
      <c r="GI39" s="616" t="s">
        <v>267</v>
      </c>
      <c r="GJ39" s="616" t="s">
        <v>267</v>
      </c>
      <c r="GK39" s="616" t="s">
        <v>267</v>
      </c>
      <c r="GL39" s="616" t="s">
        <v>267</v>
      </c>
      <c r="GM39" s="616" t="s">
        <v>267</v>
      </c>
      <c r="GN39" s="616" t="s">
        <v>267</v>
      </c>
      <c r="GO39" s="616" t="s">
        <v>267</v>
      </c>
      <c r="GP39" s="616" t="s">
        <v>267</v>
      </c>
      <c r="GQ39" s="616" t="s">
        <v>267</v>
      </c>
      <c r="GR39" s="616" t="s">
        <v>267</v>
      </c>
      <c r="GS39" s="616" t="s">
        <v>267</v>
      </c>
      <c r="GT39" s="616" t="s">
        <v>267</v>
      </c>
      <c r="GU39" s="616" t="s">
        <v>267</v>
      </c>
      <c r="GV39" s="616" t="s">
        <v>267</v>
      </c>
      <c r="GW39" s="616" t="s">
        <v>267</v>
      </c>
      <c r="GX39" s="616" t="s">
        <v>267</v>
      </c>
      <c r="GY39" s="616" t="s">
        <v>267</v>
      </c>
      <c r="GZ39" s="616" t="s">
        <v>267</v>
      </c>
      <c r="HA39" s="616" t="s">
        <v>267</v>
      </c>
      <c r="HB39" s="616" t="s">
        <v>267</v>
      </c>
      <c r="HC39" s="616" t="s">
        <v>267</v>
      </c>
      <c r="HD39" s="616" t="s">
        <v>267</v>
      </c>
      <c r="HE39" s="616" t="s">
        <v>267</v>
      </c>
      <c r="HF39" s="616" t="s">
        <v>267</v>
      </c>
      <c r="HG39" s="616" t="s">
        <v>267</v>
      </c>
      <c r="HH39" s="616" t="s">
        <v>267</v>
      </c>
      <c r="HI39" s="616" t="s">
        <v>267</v>
      </c>
      <c r="HJ39" s="616" t="s">
        <v>267</v>
      </c>
      <c r="HK39" s="616" t="s">
        <v>267</v>
      </c>
      <c r="HL39" s="616" t="s">
        <v>267</v>
      </c>
      <c r="HM39" s="616" t="s">
        <v>267</v>
      </c>
      <c r="HN39" s="616" t="s">
        <v>267</v>
      </c>
      <c r="HO39" s="616" t="s">
        <v>267</v>
      </c>
      <c r="HP39" s="616" t="s">
        <v>267</v>
      </c>
      <c r="HQ39" s="616" t="s">
        <v>267</v>
      </c>
      <c r="HR39" s="616" t="s">
        <v>267</v>
      </c>
      <c r="HS39" s="616" t="s">
        <v>267</v>
      </c>
      <c r="HT39" s="616" t="s">
        <v>267</v>
      </c>
      <c r="HU39" s="616" t="s">
        <v>267</v>
      </c>
      <c r="HV39" s="616" t="s">
        <v>267</v>
      </c>
      <c r="HW39" s="616" t="s">
        <v>267</v>
      </c>
      <c r="HX39" s="616" t="s">
        <v>267</v>
      </c>
      <c r="HY39" s="616" t="s">
        <v>267</v>
      </c>
      <c r="HZ39" s="616" t="s">
        <v>267</v>
      </c>
      <c r="IA39" s="616" t="s">
        <v>267</v>
      </c>
      <c r="IB39" s="616" t="s">
        <v>267</v>
      </c>
      <c r="IC39" s="616" t="s">
        <v>267</v>
      </c>
      <c r="ID39" s="616" t="s">
        <v>267</v>
      </c>
      <c r="IE39" s="616" t="s">
        <v>267</v>
      </c>
      <c r="IF39" s="616" t="s">
        <v>267</v>
      </c>
      <c r="IG39" s="616" t="s">
        <v>267</v>
      </c>
      <c r="IH39" s="616" t="s">
        <v>267</v>
      </c>
      <c r="II39" s="616" t="s">
        <v>267</v>
      </c>
      <c r="IJ39" s="616" t="s">
        <v>267</v>
      </c>
      <c r="IK39" s="616" t="s">
        <v>267</v>
      </c>
      <c r="IL39" s="616" t="s">
        <v>267</v>
      </c>
      <c r="IM39" s="616" t="s">
        <v>267</v>
      </c>
      <c r="IN39" s="616" t="s">
        <v>267</v>
      </c>
      <c r="IO39" s="616" t="s">
        <v>267</v>
      </c>
      <c r="IP39" s="616" t="s">
        <v>267</v>
      </c>
      <c r="IQ39" s="616" t="s">
        <v>267</v>
      </c>
      <c r="IR39" s="616" t="s">
        <v>267</v>
      </c>
      <c r="IS39" s="616" t="s">
        <v>267</v>
      </c>
      <c r="IT39" s="616" t="s">
        <v>267</v>
      </c>
      <c r="IU39" s="616" t="s">
        <v>267</v>
      </c>
      <c r="IV39" s="616" t="s">
        <v>267</v>
      </c>
      <c r="IW39" s="616" t="s">
        <v>267</v>
      </c>
      <c r="IX39" s="616" t="s">
        <v>267</v>
      </c>
      <c r="IY39" s="616" t="s">
        <v>267</v>
      </c>
      <c r="IZ39" s="616" t="s">
        <v>267</v>
      </c>
      <c r="JA39" s="616" t="s">
        <v>267</v>
      </c>
      <c r="JB39" s="616" t="s">
        <v>267</v>
      </c>
      <c r="JC39" s="616" t="s">
        <v>267</v>
      </c>
      <c r="JD39" s="616" t="s">
        <v>267</v>
      </c>
      <c r="JE39" s="616" t="s">
        <v>267</v>
      </c>
      <c r="JF39" s="616" t="s">
        <v>267</v>
      </c>
      <c r="JG39" s="616" t="s">
        <v>267</v>
      </c>
      <c r="JH39" s="616" t="s">
        <v>267</v>
      </c>
      <c r="JI39" s="616" t="s">
        <v>267</v>
      </c>
      <c r="JJ39" s="616" t="s">
        <v>267</v>
      </c>
      <c r="JK39" s="616" t="s">
        <v>267</v>
      </c>
      <c r="JL39" s="616" t="s">
        <v>267</v>
      </c>
      <c r="JM39" s="616" t="s">
        <v>267</v>
      </c>
      <c r="JN39" s="616" t="s">
        <v>267</v>
      </c>
      <c r="JO39" s="616" t="s">
        <v>267</v>
      </c>
      <c r="JP39" s="616" t="s">
        <v>267</v>
      </c>
      <c r="JQ39" s="616" t="s">
        <v>267</v>
      </c>
      <c r="JR39" s="616" t="s">
        <v>267</v>
      </c>
    </row>
    <row r="40" spans="1:278" ht="18" thickBot="1">
      <c r="A40" s="41" t="s">
        <v>308</v>
      </c>
      <c r="B40" s="100"/>
      <c r="C40" s="170"/>
      <c r="D40" s="26"/>
      <c r="E40" s="26"/>
      <c r="FE40" s="606"/>
      <c r="FF40" s="606"/>
      <c r="FG40" s="606"/>
      <c r="FH40" s="606"/>
      <c r="FI40" s="606"/>
      <c r="FJ40" s="606"/>
      <c r="FK40" s="606"/>
      <c r="FL40" s="606"/>
      <c r="FM40" s="606"/>
      <c r="FN40" s="606"/>
      <c r="FO40" s="606"/>
      <c r="FP40" s="606"/>
      <c r="FQ40" s="606"/>
      <c r="FR40" s="606"/>
      <c r="FS40" s="606"/>
      <c r="FT40" s="606"/>
      <c r="FU40" s="606"/>
      <c r="FV40" s="606"/>
      <c r="FW40" s="606"/>
      <c r="FX40" s="606"/>
      <c r="FY40" s="606"/>
      <c r="FZ40" s="606"/>
      <c r="GA40" s="606"/>
      <c r="GB40" s="606"/>
      <c r="GC40" s="606"/>
      <c r="GD40" s="606"/>
      <c r="GE40" s="606"/>
      <c r="GF40" s="606"/>
      <c r="GG40" s="606"/>
      <c r="GH40" s="606"/>
      <c r="GI40" s="606"/>
      <c r="GJ40" s="606"/>
      <c r="GK40" s="606"/>
      <c r="GL40" s="606"/>
      <c r="GM40" s="606"/>
      <c r="GN40" s="606"/>
      <c r="GO40" s="606"/>
      <c r="GP40" s="606"/>
      <c r="GQ40" s="606"/>
      <c r="GR40" s="606"/>
      <c r="GS40" s="606"/>
      <c r="GT40" s="606"/>
      <c r="GU40" s="606"/>
      <c r="GV40" s="606"/>
      <c r="GW40" s="606"/>
      <c r="GX40" s="606"/>
      <c r="GY40" s="606"/>
      <c r="GZ40" s="606"/>
      <c r="HA40" s="606"/>
      <c r="HB40" s="606"/>
      <c r="HC40" s="606"/>
      <c r="HD40" s="606"/>
      <c r="HE40" s="606"/>
      <c r="HF40" s="606"/>
      <c r="HG40" s="606"/>
      <c r="HH40" s="606"/>
      <c r="HI40" s="606"/>
      <c r="HJ40" s="606"/>
      <c r="HK40" s="606"/>
      <c r="HL40" s="606"/>
      <c r="HM40" s="606"/>
      <c r="HN40" s="606"/>
      <c r="HO40" s="606"/>
      <c r="HP40" s="606"/>
      <c r="HQ40" s="606"/>
      <c r="HR40" s="606"/>
      <c r="HS40" s="606"/>
      <c r="HT40" s="606"/>
      <c r="HU40" s="606"/>
      <c r="HV40" s="606"/>
      <c r="HW40" s="606"/>
      <c r="HX40" s="606"/>
      <c r="HY40" s="606"/>
      <c r="HZ40" s="606"/>
      <c r="IA40" s="606"/>
      <c r="IB40" s="606"/>
      <c r="IC40" s="606"/>
      <c r="ID40" s="606"/>
      <c r="IE40" s="606"/>
      <c r="IF40" s="606"/>
      <c r="IG40" s="606"/>
      <c r="IH40" s="606"/>
      <c r="II40" s="606"/>
      <c r="IJ40" s="606"/>
      <c r="IK40" s="606"/>
      <c r="IL40" s="606"/>
      <c r="IM40" s="606"/>
      <c r="IN40" s="606"/>
      <c r="IO40" s="606"/>
      <c r="IP40" s="606"/>
      <c r="IQ40" s="606"/>
      <c r="IR40" s="606"/>
      <c r="IS40" s="606"/>
      <c r="IT40" s="606"/>
      <c r="IU40" s="606"/>
      <c r="IV40" s="606"/>
      <c r="IW40" s="606"/>
      <c r="IX40" s="606"/>
      <c r="IY40" s="606"/>
      <c r="IZ40" s="606"/>
      <c r="JA40" s="606"/>
      <c r="JB40" s="606"/>
      <c r="JC40" s="606"/>
      <c r="JD40" s="606"/>
      <c r="JE40" s="606"/>
      <c r="JF40" s="606"/>
      <c r="JG40" s="606"/>
      <c r="JH40" s="606"/>
      <c r="JI40" s="606"/>
      <c r="JJ40" s="606"/>
      <c r="JK40" s="606"/>
      <c r="JL40" s="606"/>
      <c r="JM40" s="606"/>
      <c r="JN40" s="606"/>
      <c r="JO40" s="606"/>
      <c r="JP40" s="606"/>
      <c r="JQ40" s="606"/>
      <c r="JR40" s="606"/>
    </row>
    <row r="41" spans="1:278" ht="18.75" thickTop="1" thickBot="1">
      <c r="A41" s="101"/>
      <c r="B41" s="98" t="s">
        <v>310</v>
      </c>
      <c r="C41" s="170"/>
      <c r="D41" s="26"/>
      <c r="E41" s="26" t="s">
        <v>127</v>
      </c>
      <c r="FE41" s="349" t="s">
        <v>29</v>
      </c>
      <c r="FF41" s="349" t="s">
        <v>29</v>
      </c>
      <c r="FG41" s="349" t="s">
        <v>29</v>
      </c>
      <c r="FH41" s="349" t="s">
        <v>29</v>
      </c>
      <c r="FI41" s="349" t="s">
        <v>29</v>
      </c>
      <c r="FJ41" s="349" t="s">
        <v>29</v>
      </c>
      <c r="FK41" s="349" t="s">
        <v>29</v>
      </c>
      <c r="FL41" s="349" t="s">
        <v>29</v>
      </c>
      <c r="FM41" s="349" t="s">
        <v>29</v>
      </c>
      <c r="FN41" s="349" t="s">
        <v>29</v>
      </c>
      <c r="FO41" s="349" t="s">
        <v>29</v>
      </c>
      <c r="FP41" s="349" t="s">
        <v>29</v>
      </c>
      <c r="FQ41" s="349" t="s">
        <v>29</v>
      </c>
      <c r="FR41" s="349" t="s">
        <v>29</v>
      </c>
      <c r="FS41" s="349" t="s">
        <v>29</v>
      </c>
      <c r="FT41" s="349" t="s">
        <v>29</v>
      </c>
      <c r="FU41" s="349" t="s">
        <v>29</v>
      </c>
      <c r="FV41" s="349" t="s">
        <v>29</v>
      </c>
      <c r="FW41" s="349" t="s">
        <v>29</v>
      </c>
      <c r="FX41" s="349" t="s">
        <v>29</v>
      </c>
      <c r="FY41" s="349" t="s">
        <v>29</v>
      </c>
      <c r="FZ41" s="349" t="s">
        <v>29</v>
      </c>
      <c r="GA41" s="349" t="s">
        <v>29</v>
      </c>
      <c r="GB41" s="349" t="s">
        <v>29</v>
      </c>
      <c r="GC41" s="349" t="s">
        <v>29</v>
      </c>
      <c r="GD41" s="349" t="s">
        <v>29</v>
      </c>
      <c r="GE41" s="349" t="s">
        <v>29</v>
      </c>
      <c r="GF41" s="349" t="s">
        <v>29</v>
      </c>
      <c r="GG41" s="349" t="s">
        <v>29</v>
      </c>
      <c r="GH41" s="349" t="s">
        <v>29</v>
      </c>
      <c r="GI41" s="349" t="s">
        <v>29</v>
      </c>
      <c r="GJ41" s="349" t="s">
        <v>29</v>
      </c>
      <c r="GK41" s="349" t="s">
        <v>29</v>
      </c>
      <c r="GL41" s="349" t="s">
        <v>29</v>
      </c>
      <c r="GM41" s="349" t="s">
        <v>29</v>
      </c>
      <c r="GN41" s="349" t="s">
        <v>29</v>
      </c>
      <c r="GO41" s="349" t="s">
        <v>29</v>
      </c>
      <c r="GP41" s="349" t="s">
        <v>29</v>
      </c>
      <c r="GQ41" s="349" t="s">
        <v>29</v>
      </c>
      <c r="GR41" s="349" t="s">
        <v>29</v>
      </c>
      <c r="GS41" s="349" t="s">
        <v>29</v>
      </c>
      <c r="GT41" s="349" t="s">
        <v>29</v>
      </c>
      <c r="GU41" s="349" t="s">
        <v>29</v>
      </c>
      <c r="GV41" s="349" t="s">
        <v>29</v>
      </c>
      <c r="GW41" s="349" t="s">
        <v>29</v>
      </c>
      <c r="GX41" s="349" t="s">
        <v>29</v>
      </c>
      <c r="GY41" s="349" t="s">
        <v>29</v>
      </c>
      <c r="GZ41" s="349" t="s">
        <v>29</v>
      </c>
      <c r="HA41" s="349" t="s">
        <v>29</v>
      </c>
      <c r="HB41" s="349" t="s">
        <v>29</v>
      </c>
      <c r="HC41" s="349" t="s">
        <v>29</v>
      </c>
      <c r="HD41" s="349" t="s">
        <v>29</v>
      </c>
      <c r="HE41" s="349" t="s">
        <v>29</v>
      </c>
      <c r="HF41" s="349" t="s">
        <v>29</v>
      </c>
      <c r="HG41" s="349" t="s">
        <v>29</v>
      </c>
      <c r="HH41" s="349" t="s">
        <v>29</v>
      </c>
      <c r="HI41" s="349" t="s">
        <v>29</v>
      </c>
      <c r="HJ41" s="349" t="s">
        <v>29</v>
      </c>
      <c r="HK41" s="349" t="s">
        <v>29</v>
      </c>
      <c r="HL41" s="349" t="s">
        <v>29</v>
      </c>
      <c r="HM41" s="349" t="s">
        <v>29</v>
      </c>
      <c r="HN41" s="349" t="s">
        <v>29</v>
      </c>
      <c r="HO41" s="349" t="s">
        <v>29</v>
      </c>
      <c r="HP41" s="349" t="s">
        <v>29</v>
      </c>
      <c r="HQ41" s="349" t="s">
        <v>29</v>
      </c>
      <c r="HR41" s="349" t="s">
        <v>29</v>
      </c>
      <c r="HS41" s="349" t="s">
        <v>29</v>
      </c>
      <c r="HT41" s="349" t="s">
        <v>29</v>
      </c>
      <c r="HU41" s="349" t="s">
        <v>29</v>
      </c>
      <c r="HV41" s="349" t="s">
        <v>29</v>
      </c>
      <c r="HW41" s="349" t="s">
        <v>29</v>
      </c>
      <c r="HX41" s="349" t="s">
        <v>29</v>
      </c>
      <c r="HY41" s="349" t="s">
        <v>29</v>
      </c>
      <c r="HZ41" s="349" t="s">
        <v>29</v>
      </c>
      <c r="IA41" s="349" t="s">
        <v>29</v>
      </c>
      <c r="IB41" s="349" t="s">
        <v>29</v>
      </c>
      <c r="IC41" s="349" t="s">
        <v>29</v>
      </c>
      <c r="ID41" s="349" t="s">
        <v>29</v>
      </c>
      <c r="IE41" s="349" t="s">
        <v>29</v>
      </c>
      <c r="IF41" s="349" t="s">
        <v>29</v>
      </c>
      <c r="IG41" s="349" t="s">
        <v>29</v>
      </c>
      <c r="IH41" s="349" t="s">
        <v>29</v>
      </c>
      <c r="II41" s="349" t="s">
        <v>29</v>
      </c>
      <c r="IJ41" s="349" t="s">
        <v>29</v>
      </c>
      <c r="IK41" s="349" t="s">
        <v>29</v>
      </c>
      <c r="IL41" s="349" t="s">
        <v>29</v>
      </c>
      <c r="IM41" s="349" t="s">
        <v>29</v>
      </c>
      <c r="IN41" s="349" t="s">
        <v>29</v>
      </c>
      <c r="IO41" s="349" t="s">
        <v>29</v>
      </c>
      <c r="IP41" s="349" t="s">
        <v>29</v>
      </c>
      <c r="IQ41" s="349" t="s">
        <v>29</v>
      </c>
      <c r="IR41" s="349" t="s">
        <v>29</v>
      </c>
      <c r="IS41" s="349" t="s">
        <v>29</v>
      </c>
      <c r="IT41" s="349" t="s">
        <v>29</v>
      </c>
      <c r="IU41" s="349" t="s">
        <v>29</v>
      </c>
      <c r="IV41" s="349" t="s">
        <v>29</v>
      </c>
      <c r="IW41" s="349" t="s">
        <v>29</v>
      </c>
      <c r="IX41" s="349" t="s">
        <v>29</v>
      </c>
      <c r="IY41" s="349" t="s">
        <v>29</v>
      </c>
      <c r="IZ41" s="349" t="s">
        <v>29</v>
      </c>
      <c r="JA41" s="349" t="s">
        <v>29</v>
      </c>
      <c r="JB41" s="349" t="s">
        <v>29</v>
      </c>
      <c r="JC41" s="349" t="s">
        <v>29</v>
      </c>
      <c r="JD41" s="349" t="s">
        <v>29</v>
      </c>
      <c r="JE41" s="349" t="s">
        <v>29</v>
      </c>
      <c r="JF41" s="349" t="s">
        <v>29</v>
      </c>
      <c r="JG41" s="349" t="s">
        <v>29</v>
      </c>
      <c r="JH41" s="349" t="s">
        <v>29</v>
      </c>
      <c r="JI41" s="349" t="s">
        <v>29</v>
      </c>
      <c r="JJ41" s="349" t="s">
        <v>29</v>
      </c>
      <c r="JK41" s="349" t="s">
        <v>29</v>
      </c>
      <c r="JL41" s="349" t="s">
        <v>29</v>
      </c>
      <c r="JM41" s="349" t="s">
        <v>29</v>
      </c>
      <c r="JN41" s="349" t="s">
        <v>29</v>
      </c>
      <c r="JO41" s="349" t="s">
        <v>29</v>
      </c>
      <c r="JP41" s="349" t="s">
        <v>29</v>
      </c>
      <c r="JQ41" s="349" t="s">
        <v>29</v>
      </c>
      <c r="JR41" s="349" t="s">
        <v>29</v>
      </c>
    </row>
    <row r="42" spans="1:278" ht="18" thickTop="1">
      <c r="A42" s="101"/>
      <c r="B42" s="98" t="s">
        <v>309</v>
      </c>
      <c r="C42" s="170"/>
      <c r="D42" s="26" t="s">
        <v>185</v>
      </c>
      <c r="E42" s="26" t="s">
        <v>211</v>
      </c>
      <c r="FE42" s="357">
        <v>5</v>
      </c>
      <c r="FF42" s="357">
        <v>5</v>
      </c>
      <c r="FG42" s="357">
        <v>5</v>
      </c>
      <c r="FH42" s="357">
        <v>5</v>
      </c>
      <c r="FI42" s="357">
        <v>5</v>
      </c>
      <c r="FJ42" s="357">
        <v>5</v>
      </c>
      <c r="FK42" s="357">
        <v>5</v>
      </c>
      <c r="FL42" s="357">
        <v>5</v>
      </c>
      <c r="FM42" s="357">
        <v>5</v>
      </c>
      <c r="FN42" s="357">
        <v>5</v>
      </c>
      <c r="FO42" s="357">
        <v>5</v>
      </c>
      <c r="FP42" s="357">
        <v>5</v>
      </c>
      <c r="FQ42" s="357">
        <v>5</v>
      </c>
      <c r="FR42" s="357">
        <v>5</v>
      </c>
      <c r="FS42" s="357">
        <v>5</v>
      </c>
      <c r="FT42" s="357">
        <v>5</v>
      </c>
      <c r="FU42" s="357">
        <v>5</v>
      </c>
      <c r="FV42" s="357">
        <v>5</v>
      </c>
      <c r="FW42" s="357">
        <v>5</v>
      </c>
      <c r="FX42" s="357">
        <v>5</v>
      </c>
      <c r="FY42" s="357">
        <v>5</v>
      </c>
      <c r="FZ42" s="357">
        <v>5</v>
      </c>
      <c r="GA42" s="357">
        <v>5</v>
      </c>
      <c r="GB42" s="357">
        <v>5</v>
      </c>
      <c r="GC42" s="357">
        <v>5</v>
      </c>
      <c r="GD42" s="357">
        <v>5</v>
      </c>
      <c r="GE42" s="357">
        <v>5</v>
      </c>
      <c r="GF42" s="357">
        <v>5</v>
      </c>
      <c r="GG42" s="357">
        <v>5</v>
      </c>
      <c r="GH42" s="357">
        <v>5</v>
      </c>
      <c r="GI42" s="357">
        <v>5</v>
      </c>
      <c r="GJ42" s="357">
        <v>5</v>
      </c>
      <c r="GK42" s="357">
        <v>5</v>
      </c>
      <c r="GL42" s="357">
        <v>5</v>
      </c>
      <c r="GM42" s="357">
        <v>5</v>
      </c>
      <c r="GN42" s="357">
        <v>5</v>
      </c>
      <c r="GO42" s="357">
        <v>5</v>
      </c>
      <c r="GP42" s="357">
        <v>5</v>
      </c>
      <c r="GQ42" s="357">
        <v>5</v>
      </c>
      <c r="GR42" s="357">
        <v>5</v>
      </c>
      <c r="GS42" s="357">
        <v>5</v>
      </c>
      <c r="GT42" s="357">
        <v>5</v>
      </c>
      <c r="GU42" s="357">
        <v>5</v>
      </c>
      <c r="GV42" s="357">
        <v>5</v>
      </c>
      <c r="GW42" s="357">
        <v>5</v>
      </c>
      <c r="GX42" s="357">
        <v>5</v>
      </c>
      <c r="GY42" s="357">
        <v>5</v>
      </c>
      <c r="GZ42" s="357">
        <v>5</v>
      </c>
      <c r="HA42" s="357">
        <v>5</v>
      </c>
      <c r="HB42" s="357">
        <v>5</v>
      </c>
      <c r="HC42" s="357">
        <v>5</v>
      </c>
      <c r="HD42" s="357">
        <v>5</v>
      </c>
      <c r="HE42" s="357">
        <v>5</v>
      </c>
      <c r="HF42" s="357">
        <v>5</v>
      </c>
      <c r="HG42" s="357">
        <v>5</v>
      </c>
      <c r="HH42" s="357">
        <v>5</v>
      </c>
      <c r="HI42" s="357">
        <v>5</v>
      </c>
      <c r="HJ42" s="357">
        <v>5</v>
      </c>
      <c r="HK42" s="357">
        <v>5</v>
      </c>
      <c r="HL42" s="357">
        <v>5</v>
      </c>
      <c r="HM42" s="357">
        <v>5</v>
      </c>
      <c r="HN42" s="357">
        <v>5</v>
      </c>
      <c r="HO42" s="357">
        <v>5</v>
      </c>
      <c r="HP42" s="357">
        <v>5</v>
      </c>
      <c r="HQ42" s="357">
        <v>5</v>
      </c>
      <c r="HR42" s="357">
        <v>5</v>
      </c>
      <c r="HS42" s="357">
        <v>5</v>
      </c>
      <c r="HT42" s="357">
        <v>5</v>
      </c>
      <c r="HU42" s="357">
        <v>5</v>
      </c>
      <c r="HV42" s="357">
        <v>5</v>
      </c>
      <c r="HW42" s="357">
        <v>5</v>
      </c>
      <c r="HX42" s="357">
        <v>5</v>
      </c>
      <c r="HY42" s="357">
        <v>5</v>
      </c>
      <c r="HZ42" s="357">
        <v>5</v>
      </c>
      <c r="IA42" s="357">
        <v>5</v>
      </c>
      <c r="IB42" s="357">
        <v>5</v>
      </c>
      <c r="IC42" s="357">
        <v>5</v>
      </c>
      <c r="ID42" s="357">
        <v>5</v>
      </c>
      <c r="IE42" s="357">
        <v>5</v>
      </c>
      <c r="IF42" s="357">
        <v>5</v>
      </c>
      <c r="IG42" s="357">
        <v>5</v>
      </c>
      <c r="IH42" s="357">
        <v>5</v>
      </c>
      <c r="II42" s="357">
        <v>5</v>
      </c>
      <c r="IJ42" s="357">
        <v>5</v>
      </c>
      <c r="IK42" s="357">
        <v>5</v>
      </c>
      <c r="IL42" s="357">
        <v>5</v>
      </c>
      <c r="IM42" s="357">
        <v>5</v>
      </c>
      <c r="IN42" s="357">
        <v>5</v>
      </c>
      <c r="IO42" s="357">
        <v>5</v>
      </c>
      <c r="IP42" s="357">
        <v>5</v>
      </c>
      <c r="IQ42" s="357">
        <v>5</v>
      </c>
      <c r="IR42" s="357">
        <v>5</v>
      </c>
      <c r="IS42" s="357">
        <v>5</v>
      </c>
      <c r="IT42" s="357">
        <v>5</v>
      </c>
      <c r="IU42" s="357">
        <v>5</v>
      </c>
      <c r="IV42" s="357">
        <v>5</v>
      </c>
      <c r="IW42" s="357">
        <v>5</v>
      </c>
      <c r="IX42" s="357">
        <v>5</v>
      </c>
      <c r="IY42" s="357">
        <v>5</v>
      </c>
      <c r="IZ42" s="357">
        <v>5</v>
      </c>
      <c r="JA42" s="357">
        <v>5</v>
      </c>
      <c r="JB42" s="357">
        <v>5</v>
      </c>
      <c r="JC42" s="357">
        <v>5</v>
      </c>
      <c r="JD42" s="357">
        <v>5</v>
      </c>
      <c r="JE42" s="357">
        <v>5</v>
      </c>
      <c r="JF42" s="357">
        <v>5</v>
      </c>
      <c r="JG42" s="357">
        <v>5</v>
      </c>
      <c r="JH42" s="357">
        <v>5</v>
      </c>
      <c r="JI42" s="357">
        <v>5</v>
      </c>
      <c r="JJ42" s="357">
        <v>5</v>
      </c>
      <c r="JK42" s="357">
        <v>5</v>
      </c>
      <c r="JL42" s="357">
        <v>5</v>
      </c>
      <c r="JM42" s="357">
        <v>5</v>
      </c>
      <c r="JN42" s="357">
        <v>5</v>
      </c>
      <c r="JO42" s="357">
        <v>5</v>
      </c>
      <c r="JP42" s="357">
        <v>5</v>
      </c>
      <c r="JQ42" s="357">
        <v>5</v>
      </c>
      <c r="JR42" s="357">
        <v>5</v>
      </c>
    </row>
    <row r="43" spans="1:278" ht="17.25">
      <c r="A43" s="101"/>
      <c r="B43" s="100"/>
      <c r="C43" s="170" t="s">
        <v>186</v>
      </c>
      <c r="D43" s="26" t="s">
        <v>128</v>
      </c>
      <c r="E43" s="26" t="s">
        <v>212</v>
      </c>
      <c r="FE43" s="358">
        <v>0.375</v>
      </c>
      <c r="FF43" s="358">
        <v>0.375</v>
      </c>
      <c r="FG43" s="358">
        <v>0.375</v>
      </c>
      <c r="FH43" s="358">
        <v>0.375</v>
      </c>
      <c r="FI43" s="358">
        <v>0.375</v>
      </c>
      <c r="FJ43" s="358">
        <v>0.375</v>
      </c>
      <c r="FK43" s="358">
        <v>0.375</v>
      </c>
      <c r="FL43" s="358">
        <v>0.375</v>
      </c>
      <c r="FM43" s="358">
        <v>0.375</v>
      </c>
      <c r="FN43" s="358">
        <v>0.375</v>
      </c>
      <c r="FO43" s="358">
        <v>0.375</v>
      </c>
      <c r="FP43" s="358">
        <v>0.375</v>
      </c>
      <c r="FQ43" s="358">
        <v>0.375</v>
      </c>
      <c r="FR43" s="358">
        <v>0.375</v>
      </c>
      <c r="FS43" s="358">
        <v>0.375</v>
      </c>
      <c r="FT43" s="358">
        <v>0.375</v>
      </c>
      <c r="FU43" s="358">
        <v>0.375</v>
      </c>
      <c r="FV43" s="358">
        <v>0.375</v>
      </c>
      <c r="FW43" s="358">
        <v>0.375</v>
      </c>
      <c r="FX43" s="358">
        <v>0.375</v>
      </c>
      <c r="FY43" s="358">
        <v>0.375</v>
      </c>
      <c r="FZ43" s="358">
        <v>0.375</v>
      </c>
      <c r="GA43" s="358">
        <v>0.375</v>
      </c>
      <c r="GB43" s="358">
        <v>0.375</v>
      </c>
      <c r="GC43" s="358">
        <v>0.375</v>
      </c>
      <c r="GD43" s="358">
        <v>0.375</v>
      </c>
      <c r="GE43" s="358">
        <v>0.375</v>
      </c>
      <c r="GF43" s="358">
        <v>0.375</v>
      </c>
      <c r="GG43" s="358">
        <v>0.375</v>
      </c>
      <c r="GH43" s="358">
        <v>0.375</v>
      </c>
      <c r="GI43" s="358">
        <v>0.375</v>
      </c>
      <c r="GJ43" s="358">
        <v>0.375</v>
      </c>
      <c r="GK43" s="358">
        <v>0.375</v>
      </c>
      <c r="GL43" s="358">
        <v>0.375</v>
      </c>
      <c r="GM43" s="358">
        <v>0.375</v>
      </c>
      <c r="GN43" s="358">
        <v>0.375</v>
      </c>
      <c r="GO43" s="358">
        <v>0.375</v>
      </c>
      <c r="GP43" s="358">
        <v>0.375</v>
      </c>
      <c r="GQ43" s="358">
        <v>0.375</v>
      </c>
      <c r="GR43" s="358">
        <v>0.375</v>
      </c>
      <c r="GS43" s="358">
        <v>0.375</v>
      </c>
      <c r="GT43" s="358">
        <v>0.375</v>
      </c>
      <c r="GU43" s="358">
        <v>0.375</v>
      </c>
      <c r="GV43" s="358">
        <v>0.375</v>
      </c>
      <c r="GW43" s="358">
        <v>0.375</v>
      </c>
      <c r="GX43" s="358">
        <v>0.375</v>
      </c>
      <c r="GY43" s="358">
        <v>0.375</v>
      </c>
      <c r="GZ43" s="358">
        <v>0.375</v>
      </c>
      <c r="HA43" s="358">
        <v>0.375</v>
      </c>
      <c r="HB43" s="358">
        <v>0.375</v>
      </c>
      <c r="HC43" s="358">
        <v>0.375</v>
      </c>
      <c r="HD43" s="358">
        <v>0.375</v>
      </c>
      <c r="HE43" s="358">
        <v>0.375</v>
      </c>
      <c r="HF43" s="358">
        <v>0.375</v>
      </c>
      <c r="HG43" s="358">
        <v>0.375</v>
      </c>
      <c r="HH43" s="358">
        <v>0.375</v>
      </c>
      <c r="HI43" s="358">
        <v>0.375</v>
      </c>
      <c r="HJ43" s="358">
        <v>0.375</v>
      </c>
      <c r="HK43" s="358">
        <v>0.375</v>
      </c>
      <c r="HL43" s="358">
        <v>0.375</v>
      </c>
      <c r="HM43" s="358">
        <v>0.375</v>
      </c>
      <c r="HN43" s="358">
        <v>0.375</v>
      </c>
      <c r="HO43" s="358">
        <v>0.375</v>
      </c>
      <c r="HP43" s="358">
        <v>0.375</v>
      </c>
      <c r="HQ43" s="358">
        <v>0.375</v>
      </c>
      <c r="HR43" s="358">
        <v>0.375</v>
      </c>
      <c r="HS43" s="358">
        <v>0.375</v>
      </c>
      <c r="HT43" s="358">
        <v>0.375</v>
      </c>
      <c r="HU43" s="358">
        <v>0.375</v>
      </c>
      <c r="HV43" s="358">
        <v>0.375</v>
      </c>
      <c r="HW43" s="358">
        <v>0.375</v>
      </c>
      <c r="HX43" s="358">
        <v>0.375</v>
      </c>
      <c r="HY43" s="358">
        <v>0.375</v>
      </c>
      <c r="HZ43" s="358">
        <v>0.375</v>
      </c>
      <c r="IA43" s="358">
        <v>0.375</v>
      </c>
      <c r="IB43" s="358">
        <v>0.375</v>
      </c>
      <c r="IC43" s="358">
        <v>0.375</v>
      </c>
      <c r="ID43" s="358">
        <v>0.375</v>
      </c>
      <c r="IE43" s="358">
        <v>0.375</v>
      </c>
      <c r="IF43" s="358">
        <v>0.375</v>
      </c>
      <c r="IG43" s="358">
        <v>0.375</v>
      </c>
      <c r="IH43" s="358">
        <v>0.375</v>
      </c>
      <c r="II43" s="358">
        <v>0.375</v>
      </c>
      <c r="IJ43" s="358">
        <v>0.375</v>
      </c>
      <c r="IK43" s="358">
        <v>0.375</v>
      </c>
      <c r="IL43" s="358">
        <v>0.375</v>
      </c>
      <c r="IM43" s="358">
        <v>0.375</v>
      </c>
      <c r="IN43" s="358">
        <v>0.375</v>
      </c>
      <c r="IO43" s="358">
        <v>0.375</v>
      </c>
      <c r="IP43" s="358">
        <v>0.375</v>
      </c>
      <c r="IQ43" s="358">
        <v>0.375</v>
      </c>
      <c r="IR43" s="358">
        <v>0.375</v>
      </c>
      <c r="IS43" s="358">
        <v>0.375</v>
      </c>
      <c r="IT43" s="358">
        <v>0.375</v>
      </c>
      <c r="IU43" s="358">
        <v>0.375</v>
      </c>
      <c r="IV43" s="358">
        <v>0.375</v>
      </c>
      <c r="IW43" s="358">
        <v>0.375</v>
      </c>
      <c r="IX43" s="358">
        <v>0.375</v>
      </c>
      <c r="IY43" s="358">
        <v>0.375</v>
      </c>
      <c r="IZ43" s="358">
        <v>0.375</v>
      </c>
      <c r="JA43" s="358">
        <v>0.375</v>
      </c>
      <c r="JB43" s="358">
        <v>0.375</v>
      </c>
      <c r="JC43" s="358">
        <v>0.375</v>
      </c>
      <c r="JD43" s="358">
        <v>0.375</v>
      </c>
      <c r="JE43" s="358">
        <v>0.375</v>
      </c>
      <c r="JF43" s="358">
        <v>0.375</v>
      </c>
      <c r="JG43" s="358">
        <v>0.375</v>
      </c>
      <c r="JH43" s="358">
        <v>0.375</v>
      </c>
      <c r="JI43" s="358">
        <v>0.375</v>
      </c>
      <c r="JJ43" s="358">
        <v>0.375</v>
      </c>
      <c r="JK43" s="358">
        <v>0.375</v>
      </c>
      <c r="JL43" s="358">
        <v>0.375</v>
      </c>
      <c r="JM43" s="358">
        <v>0.375</v>
      </c>
      <c r="JN43" s="358">
        <v>0.375</v>
      </c>
      <c r="JO43" s="358">
        <v>0.375</v>
      </c>
      <c r="JP43" s="358">
        <v>0.375</v>
      </c>
      <c r="JQ43" s="358">
        <v>0.375</v>
      </c>
      <c r="JR43" s="358">
        <v>0.375</v>
      </c>
    </row>
    <row r="44" spans="1:278" ht="17.25">
      <c r="A44" s="101"/>
      <c r="B44" s="100"/>
      <c r="C44" s="170" t="s">
        <v>187</v>
      </c>
      <c r="D44" s="26" t="s">
        <v>128</v>
      </c>
      <c r="E44" s="26" t="s">
        <v>213</v>
      </c>
      <c r="FE44" s="359">
        <v>5.3999999999999999E-2</v>
      </c>
      <c r="FF44" s="359">
        <v>5.3999999999999999E-2</v>
      </c>
      <c r="FG44" s="359">
        <v>5.3999999999999999E-2</v>
      </c>
      <c r="FH44" s="359">
        <v>5.3999999999999999E-2</v>
      </c>
      <c r="FI44" s="359">
        <v>5.3999999999999999E-2</v>
      </c>
      <c r="FJ44" s="359">
        <v>5.3999999999999999E-2</v>
      </c>
      <c r="FK44" s="359">
        <v>5.3999999999999999E-2</v>
      </c>
      <c r="FL44" s="359">
        <v>5.3999999999999999E-2</v>
      </c>
      <c r="FM44" s="359">
        <v>5.3999999999999999E-2</v>
      </c>
      <c r="FN44" s="359">
        <v>5.3999999999999999E-2</v>
      </c>
      <c r="FO44" s="359">
        <v>5.3999999999999999E-2</v>
      </c>
      <c r="FP44" s="359">
        <v>5.3999999999999999E-2</v>
      </c>
      <c r="FQ44" s="359">
        <v>5.3999999999999999E-2</v>
      </c>
      <c r="FR44" s="359">
        <v>5.3999999999999999E-2</v>
      </c>
      <c r="FS44" s="359">
        <v>5.3999999999999999E-2</v>
      </c>
      <c r="FT44" s="359">
        <v>5.3999999999999999E-2</v>
      </c>
      <c r="FU44" s="359">
        <v>5.3999999999999999E-2</v>
      </c>
      <c r="FV44" s="359">
        <v>5.3999999999999999E-2</v>
      </c>
      <c r="FW44" s="359">
        <v>5.3999999999999999E-2</v>
      </c>
      <c r="FX44" s="359">
        <v>5.3999999999999999E-2</v>
      </c>
      <c r="FY44" s="359">
        <v>5.3999999999999999E-2</v>
      </c>
      <c r="FZ44" s="359">
        <v>5.3999999999999999E-2</v>
      </c>
      <c r="GA44" s="359">
        <v>5.3999999999999999E-2</v>
      </c>
      <c r="GB44" s="359">
        <v>5.3999999999999999E-2</v>
      </c>
      <c r="GC44" s="359">
        <v>5.3999999999999999E-2</v>
      </c>
      <c r="GD44" s="359">
        <v>5.3999999999999999E-2</v>
      </c>
      <c r="GE44" s="359">
        <v>5.3999999999999999E-2</v>
      </c>
      <c r="GF44" s="359">
        <v>5.3999999999999999E-2</v>
      </c>
      <c r="GG44" s="359">
        <v>5.3999999999999999E-2</v>
      </c>
      <c r="GH44" s="359">
        <v>5.3999999999999999E-2</v>
      </c>
      <c r="GI44" s="359">
        <v>5.3999999999999999E-2</v>
      </c>
      <c r="GJ44" s="359">
        <v>5.3999999999999999E-2</v>
      </c>
      <c r="GK44" s="359">
        <v>5.3999999999999999E-2</v>
      </c>
      <c r="GL44" s="359">
        <v>5.3999999999999999E-2</v>
      </c>
      <c r="GM44" s="359">
        <v>5.3999999999999999E-2</v>
      </c>
      <c r="GN44" s="359">
        <v>5.3999999999999999E-2</v>
      </c>
      <c r="GO44" s="359">
        <v>5.3999999999999999E-2</v>
      </c>
      <c r="GP44" s="359">
        <v>5.3999999999999999E-2</v>
      </c>
      <c r="GQ44" s="359">
        <v>5.3999999999999999E-2</v>
      </c>
      <c r="GR44" s="359">
        <v>5.3999999999999999E-2</v>
      </c>
      <c r="GS44" s="359">
        <v>5.3999999999999999E-2</v>
      </c>
      <c r="GT44" s="359">
        <v>5.3999999999999999E-2</v>
      </c>
      <c r="GU44" s="359">
        <v>5.3999999999999999E-2</v>
      </c>
      <c r="GV44" s="359">
        <v>5.3999999999999999E-2</v>
      </c>
      <c r="GW44" s="359">
        <v>5.3999999999999999E-2</v>
      </c>
      <c r="GX44" s="359">
        <v>5.3999999999999999E-2</v>
      </c>
      <c r="GY44" s="359">
        <v>5.3999999999999999E-2</v>
      </c>
      <c r="GZ44" s="359">
        <v>5.3999999999999999E-2</v>
      </c>
      <c r="HA44" s="359">
        <v>5.3999999999999999E-2</v>
      </c>
      <c r="HB44" s="359">
        <v>5.3999999999999999E-2</v>
      </c>
      <c r="HC44" s="359">
        <v>5.3999999999999999E-2</v>
      </c>
      <c r="HD44" s="359">
        <v>5.3999999999999999E-2</v>
      </c>
      <c r="HE44" s="359">
        <v>5.3999999999999999E-2</v>
      </c>
      <c r="HF44" s="359">
        <v>5.3999999999999999E-2</v>
      </c>
      <c r="HG44" s="359">
        <v>5.3999999999999999E-2</v>
      </c>
      <c r="HH44" s="359">
        <v>5.3999999999999999E-2</v>
      </c>
      <c r="HI44" s="359">
        <v>5.3999999999999999E-2</v>
      </c>
      <c r="HJ44" s="359">
        <v>5.3999999999999999E-2</v>
      </c>
      <c r="HK44" s="359">
        <v>5.3999999999999999E-2</v>
      </c>
      <c r="HL44" s="359">
        <v>5.3999999999999999E-2</v>
      </c>
      <c r="HM44" s="359">
        <v>5.3999999999999999E-2</v>
      </c>
      <c r="HN44" s="359">
        <v>5.3999999999999999E-2</v>
      </c>
      <c r="HO44" s="359">
        <v>5.3999999999999999E-2</v>
      </c>
      <c r="HP44" s="359">
        <v>5.3999999999999999E-2</v>
      </c>
      <c r="HQ44" s="359">
        <v>5.3999999999999999E-2</v>
      </c>
      <c r="HR44" s="359">
        <v>5.3999999999999999E-2</v>
      </c>
      <c r="HS44" s="359">
        <v>5.3999999999999999E-2</v>
      </c>
      <c r="HT44" s="359">
        <v>5.3999999999999999E-2</v>
      </c>
      <c r="HU44" s="359">
        <v>5.3999999999999999E-2</v>
      </c>
      <c r="HV44" s="359">
        <v>5.3999999999999999E-2</v>
      </c>
      <c r="HW44" s="359">
        <v>5.3999999999999999E-2</v>
      </c>
      <c r="HX44" s="359">
        <v>5.3999999999999999E-2</v>
      </c>
      <c r="HY44" s="359">
        <v>5.3999999999999999E-2</v>
      </c>
      <c r="HZ44" s="359">
        <v>5.3999999999999999E-2</v>
      </c>
      <c r="IA44" s="359">
        <v>5.3999999999999999E-2</v>
      </c>
      <c r="IB44" s="359">
        <v>5.3999999999999999E-2</v>
      </c>
      <c r="IC44" s="359">
        <v>5.3999999999999999E-2</v>
      </c>
      <c r="ID44" s="359">
        <v>5.3999999999999999E-2</v>
      </c>
      <c r="IE44" s="359">
        <v>5.3999999999999999E-2</v>
      </c>
      <c r="IF44" s="359">
        <v>5.3999999999999999E-2</v>
      </c>
      <c r="IG44" s="359">
        <v>5.3999999999999999E-2</v>
      </c>
      <c r="IH44" s="359">
        <v>5.3999999999999999E-2</v>
      </c>
      <c r="II44" s="359">
        <v>5.3999999999999999E-2</v>
      </c>
      <c r="IJ44" s="359">
        <v>5.3999999999999999E-2</v>
      </c>
      <c r="IK44" s="359">
        <v>5.3999999999999999E-2</v>
      </c>
      <c r="IL44" s="359">
        <v>5.3999999999999999E-2</v>
      </c>
      <c r="IM44" s="359">
        <v>5.3999999999999999E-2</v>
      </c>
      <c r="IN44" s="359">
        <v>5.3999999999999999E-2</v>
      </c>
      <c r="IO44" s="359">
        <v>5.3999999999999999E-2</v>
      </c>
      <c r="IP44" s="359">
        <v>5.3999999999999999E-2</v>
      </c>
      <c r="IQ44" s="359">
        <v>5.3999999999999999E-2</v>
      </c>
      <c r="IR44" s="359">
        <v>5.3999999999999999E-2</v>
      </c>
      <c r="IS44" s="359">
        <v>5.3999999999999999E-2</v>
      </c>
      <c r="IT44" s="359">
        <v>5.3999999999999999E-2</v>
      </c>
      <c r="IU44" s="359">
        <v>5.3999999999999999E-2</v>
      </c>
      <c r="IV44" s="359">
        <v>5.3999999999999999E-2</v>
      </c>
      <c r="IW44" s="359">
        <v>5.3999999999999999E-2</v>
      </c>
      <c r="IX44" s="359">
        <v>5.3999999999999999E-2</v>
      </c>
      <c r="IY44" s="359">
        <v>5.3999999999999999E-2</v>
      </c>
      <c r="IZ44" s="359">
        <v>5.3999999999999999E-2</v>
      </c>
      <c r="JA44" s="359">
        <v>5.3999999999999999E-2</v>
      </c>
      <c r="JB44" s="359">
        <v>5.3999999999999999E-2</v>
      </c>
      <c r="JC44" s="359">
        <v>5.3999999999999999E-2</v>
      </c>
      <c r="JD44" s="359">
        <v>5.3999999999999999E-2</v>
      </c>
      <c r="JE44" s="359">
        <v>5.3999999999999999E-2</v>
      </c>
      <c r="JF44" s="359">
        <v>5.3999999999999999E-2</v>
      </c>
      <c r="JG44" s="359">
        <v>5.3999999999999999E-2</v>
      </c>
      <c r="JH44" s="359">
        <v>5.3999999999999999E-2</v>
      </c>
      <c r="JI44" s="359">
        <v>5.3999999999999999E-2</v>
      </c>
      <c r="JJ44" s="359">
        <v>5.3999999999999999E-2</v>
      </c>
      <c r="JK44" s="359">
        <v>5.3999999999999999E-2</v>
      </c>
      <c r="JL44" s="359">
        <v>5.3999999999999999E-2</v>
      </c>
      <c r="JM44" s="359">
        <v>5.3999999999999999E-2</v>
      </c>
      <c r="JN44" s="359">
        <v>5.3999999999999999E-2</v>
      </c>
      <c r="JO44" s="359">
        <v>5.3999999999999999E-2</v>
      </c>
      <c r="JP44" s="359">
        <v>5.3999999999999999E-2</v>
      </c>
      <c r="JQ44" s="359">
        <v>5.3999999999999999E-2</v>
      </c>
      <c r="JR44" s="359">
        <v>5.3999999999999999E-2</v>
      </c>
    </row>
    <row r="45" spans="1:278" ht="17.25">
      <c r="A45" s="101"/>
      <c r="B45" s="100"/>
      <c r="C45" s="170" t="s">
        <v>188</v>
      </c>
      <c r="D45" s="86" t="s">
        <v>332</v>
      </c>
      <c r="E45" s="26" t="s">
        <v>214</v>
      </c>
      <c r="FE45" s="359">
        <v>1.66</v>
      </c>
      <c r="FF45" s="359">
        <v>1.66</v>
      </c>
      <c r="FG45" s="359">
        <v>1.66</v>
      </c>
      <c r="FH45" s="359">
        <v>1.66</v>
      </c>
      <c r="FI45" s="359">
        <v>1.66</v>
      </c>
      <c r="FJ45" s="359">
        <v>1.66</v>
      </c>
      <c r="FK45" s="359">
        <v>1.66</v>
      </c>
      <c r="FL45" s="359">
        <v>1.66</v>
      </c>
      <c r="FM45" s="359">
        <v>1.66</v>
      </c>
      <c r="FN45" s="359">
        <v>1.66</v>
      </c>
      <c r="FO45" s="359">
        <v>1.66</v>
      </c>
      <c r="FP45" s="359">
        <v>1.66</v>
      </c>
      <c r="FQ45" s="359">
        <v>1.66</v>
      </c>
      <c r="FR45" s="359">
        <v>1.66</v>
      </c>
      <c r="FS45" s="359">
        <v>1.66</v>
      </c>
      <c r="FT45" s="359">
        <v>1.66</v>
      </c>
      <c r="FU45" s="359">
        <v>1.66</v>
      </c>
      <c r="FV45" s="359">
        <v>1.66</v>
      </c>
      <c r="FW45" s="359">
        <v>1.66</v>
      </c>
      <c r="FX45" s="359">
        <v>1.66</v>
      </c>
      <c r="FY45" s="359">
        <v>1.66</v>
      </c>
      <c r="FZ45" s="359">
        <v>1.66</v>
      </c>
      <c r="GA45" s="359">
        <v>1.66</v>
      </c>
      <c r="GB45" s="359">
        <v>1.66</v>
      </c>
      <c r="GC45" s="359">
        <v>1.66</v>
      </c>
      <c r="GD45" s="359">
        <v>1.66</v>
      </c>
      <c r="GE45" s="359">
        <v>1.66</v>
      </c>
      <c r="GF45" s="359">
        <v>1.66</v>
      </c>
      <c r="GG45" s="359">
        <v>1.66</v>
      </c>
      <c r="GH45" s="359">
        <v>1.66</v>
      </c>
      <c r="GI45" s="359">
        <v>1.66</v>
      </c>
      <c r="GJ45" s="359">
        <v>1.66</v>
      </c>
      <c r="GK45" s="359">
        <v>1.66</v>
      </c>
      <c r="GL45" s="359">
        <v>1.66</v>
      </c>
      <c r="GM45" s="359">
        <v>1.66</v>
      </c>
      <c r="GN45" s="359">
        <v>1.66</v>
      </c>
      <c r="GO45" s="359">
        <v>1.66</v>
      </c>
      <c r="GP45" s="359">
        <v>1.66</v>
      </c>
      <c r="GQ45" s="359">
        <v>1.66</v>
      </c>
      <c r="GR45" s="359">
        <v>1.66</v>
      </c>
      <c r="GS45" s="359">
        <v>1.66</v>
      </c>
      <c r="GT45" s="359">
        <v>1.66</v>
      </c>
      <c r="GU45" s="359">
        <v>1.66</v>
      </c>
      <c r="GV45" s="359">
        <v>1.66</v>
      </c>
      <c r="GW45" s="359">
        <v>1.66</v>
      </c>
      <c r="GX45" s="359">
        <v>1.66</v>
      </c>
      <c r="GY45" s="359">
        <v>1.66</v>
      </c>
      <c r="GZ45" s="359">
        <v>1.66</v>
      </c>
      <c r="HA45" s="359">
        <v>1.66</v>
      </c>
      <c r="HB45" s="359">
        <v>1.66</v>
      </c>
      <c r="HC45" s="359">
        <v>1.66</v>
      </c>
      <c r="HD45" s="359">
        <v>1.66</v>
      </c>
      <c r="HE45" s="359">
        <v>1.66</v>
      </c>
      <c r="HF45" s="359">
        <v>1.66</v>
      </c>
      <c r="HG45" s="359">
        <v>1.66</v>
      </c>
      <c r="HH45" s="359">
        <v>1.66</v>
      </c>
      <c r="HI45" s="359">
        <v>1.66</v>
      </c>
      <c r="HJ45" s="359">
        <v>1.66</v>
      </c>
      <c r="HK45" s="359">
        <v>1.66</v>
      </c>
      <c r="HL45" s="359">
        <v>1.66</v>
      </c>
      <c r="HM45" s="359">
        <v>1.66</v>
      </c>
      <c r="HN45" s="359">
        <v>1.66</v>
      </c>
      <c r="HO45" s="359">
        <v>1.66</v>
      </c>
      <c r="HP45" s="359">
        <v>1.66</v>
      </c>
      <c r="HQ45" s="359">
        <v>1.66</v>
      </c>
      <c r="HR45" s="359">
        <v>1.66</v>
      </c>
      <c r="HS45" s="359">
        <v>1.66</v>
      </c>
      <c r="HT45" s="359">
        <v>1.66</v>
      </c>
      <c r="HU45" s="359">
        <v>1.66</v>
      </c>
      <c r="HV45" s="359">
        <v>1.66</v>
      </c>
      <c r="HW45" s="359">
        <v>1.66</v>
      </c>
      <c r="HX45" s="359">
        <v>1.66</v>
      </c>
      <c r="HY45" s="359">
        <v>1.66</v>
      </c>
      <c r="HZ45" s="359">
        <v>1.66</v>
      </c>
      <c r="IA45" s="359">
        <v>1.66</v>
      </c>
      <c r="IB45" s="359">
        <v>1.66</v>
      </c>
      <c r="IC45" s="359">
        <v>1.66</v>
      </c>
      <c r="ID45" s="359">
        <v>1.66</v>
      </c>
      <c r="IE45" s="359">
        <v>1.66</v>
      </c>
      <c r="IF45" s="359">
        <v>1.66</v>
      </c>
      <c r="IG45" s="359">
        <v>1.66</v>
      </c>
      <c r="IH45" s="359">
        <v>1.66</v>
      </c>
      <c r="II45" s="359">
        <v>1.66</v>
      </c>
      <c r="IJ45" s="359">
        <v>1.66</v>
      </c>
      <c r="IK45" s="359">
        <v>1.66</v>
      </c>
      <c r="IL45" s="359">
        <v>1.66</v>
      </c>
      <c r="IM45" s="359">
        <v>1.66</v>
      </c>
      <c r="IN45" s="359">
        <v>1.66</v>
      </c>
      <c r="IO45" s="359">
        <v>1.66</v>
      </c>
      <c r="IP45" s="359">
        <v>1.66</v>
      </c>
      <c r="IQ45" s="359">
        <v>1.66</v>
      </c>
      <c r="IR45" s="359">
        <v>1.66</v>
      </c>
      <c r="IS45" s="359">
        <v>1.66</v>
      </c>
      <c r="IT45" s="359">
        <v>1.66</v>
      </c>
      <c r="IU45" s="359">
        <v>1.66</v>
      </c>
      <c r="IV45" s="359">
        <v>1.66</v>
      </c>
      <c r="IW45" s="359">
        <v>1.66</v>
      </c>
      <c r="IX45" s="359">
        <v>1.66</v>
      </c>
      <c r="IY45" s="359">
        <v>1.66</v>
      </c>
      <c r="IZ45" s="359">
        <v>1.66</v>
      </c>
      <c r="JA45" s="359">
        <v>1.66</v>
      </c>
      <c r="JB45" s="359">
        <v>1.66</v>
      </c>
      <c r="JC45" s="359">
        <v>1.66</v>
      </c>
      <c r="JD45" s="359">
        <v>1.66</v>
      </c>
      <c r="JE45" s="359">
        <v>1.66</v>
      </c>
      <c r="JF45" s="359">
        <v>1.66</v>
      </c>
      <c r="JG45" s="359">
        <v>1.66</v>
      </c>
      <c r="JH45" s="359">
        <v>1.66</v>
      </c>
      <c r="JI45" s="359">
        <v>1.66</v>
      </c>
      <c r="JJ45" s="359">
        <v>1.66</v>
      </c>
      <c r="JK45" s="359">
        <v>1.66</v>
      </c>
      <c r="JL45" s="359">
        <v>1.66</v>
      </c>
      <c r="JM45" s="359">
        <v>1.66</v>
      </c>
      <c r="JN45" s="359">
        <v>1.66</v>
      </c>
      <c r="JO45" s="359">
        <v>1.66</v>
      </c>
      <c r="JP45" s="359">
        <v>1.66</v>
      </c>
      <c r="JQ45" s="359">
        <v>1.66</v>
      </c>
      <c r="JR45" s="359">
        <v>1.66</v>
      </c>
    </row>
    <row r="46" spans="1:278" ht="18" thickBot="1">
      <c r="A46" s="41" t="s">
        <v>311</v>
      </c>
      <c r="B46" s="100"/>
      <c r="C46" s="170"/>
      <c r="D46" s="26"/>
      <c r="E46" s="26"/>
      <c r="FE46" s="606"/>
      <c r="FF46" s="606"/>
      <c r="FG46" s="606"/>
      <c r="FH46" s="606"/>
      <c r="FI46" s="606"/>
      <c r="FJ46" s="606"/>
      <c r="FK46" s="606"/>
      <c r="FL46" s="606"/>
      <c r="FM46" s="606"/>
      <c r="FN46" s="606"/>
      <c r="FO46" s="606"/>
      <c r="FP46" s="606"/>
      <c r="FQ46" s="606"/>
      <c r="FR46" s="606"/>
      <c r="FS46" s="606"/>
      <c r="FT46" s="606"/>
      <c r="FU46" s="606"/>
      <c r="FV46" s="606"/>
      <c r="FW46" s="606"/>
      <c r="FX46" s="606"/>
      <c r="FY46" s="606"/>
      <c r="FZ46" s="606"/>
      <c r="GA46" s="606"/>
      <c r="GB46" s="606"/>
      <c r="GC46" s="606"/>
      <c r="GD46" s="606"/>
      <c r="GE46" s="606"/>
      <c r="GF46" s="606"/>
      <c r="GG46" s="606"/>
      <c r="GH46" s="606"/>
      <c r="GI46" s="606"/>
      <c r="GJ46" s="606"/>
      <c r="GK46" s="606"/>
      <c r="GL46" s="606"/>
      <c r="GM46" s="606"/>
      <c r="GN46" s="606"/>
      <c r="GO46" s="606"/>
      <c r="GP46" s="606"/>
      <c r="GQ46" s="606"/>
      <c r="GR46" s="606"/>
      <c r="GS46" s="606"/>
      <c r="GT46" s="606"/>
      <c r="GU46" s="606"/>
      <c r="GV46" s="606"/>
      <c r="GW46" s="606"/>
      <c r="GX46" s="606"/>
      <c r="GY46" s="606"/>
      <c r="GZ46" s="606"/>
      <c r="HA46" s="606"/>
      <c r="HB46" s="606"/>
      <c r="HC46" s="606"/>
      <c r="HD46" s="606"/>
      <c r="HE46" s="606"/>
      <c r="HF46" s="606"/>
      <c r="HG46" s="606"/>
      <c r="HH46" s="606"/>
      <c r="HI46" s="606"/>
      <c r="HJ46" s="606"/>
      <c r="HK46" s="606"/>
      <c r="HL46" s="606"/>
      <c r="HM46" s="606"/>
      <c r="HN46" s="606"/>
      <c r="HO46" s="606"/>
      <c r="HP46" s="606"/>
      <c r="HQ46" s="606"/>
      <c r="HR46" s="606"/>
      <c r="HS46" s="606"/>
      <c r="HT46" s="606"/>
      <c r="HU46" s="606"/>
      <c r="HV46" s="606"/>
      <c r="HW46" s="606"/>
      <c r="HX46" s="606"/>
      <c r="HY46" s="606"/>
      <c r="HZ46" s="606"/>
      <c r="IA46" s="606"/>
      <c r="IB46" s="606"/>
      <c r="IC46" s="606"/>
      <c r="ID46" s="606"/>
      <c r="IE46" s="606"/>
      <c r="IF46" s="606"/>
      <c r="IG46" s="606"/>
      <c r="IH46" s="606"/>
      <c r="II46" s="606"/>
      <c r="IJ46" s="606"/>
      <c r="IK46" s="606"/>
      <c r="IL46" s="606"/>
      <c r="IM46" s="606"/>
      <c r="IN46" s="606"/>
      <c r="IO46" s="606"/>
      <c r="IP46" s="606"/>
      <c r="IQ46" s="606"/>
      <c r="IR46" s="606"/>
      <c r="IS46" s="606"/>
      <c r="IT46" s="606"/>
      <c r="IU46" s="606"/>
      <c r="IV46" s="606"/>
      <c r="IW46" s="606"/>
      <c r="IX46" s="606"/>
      <c r="IY46" s="606"/>
      <c r="IZ46" s="606"/>
      <c r="JA46" s="606"/>
      <c r="JB46" s="606"/>
      <c r="JC46" s="606"/>
      <c r="JD46" s="606"/>
      <c r="JE46" s="606"/>
      <c r="JF46" s="606"/>
      <c r="JG46" s="606"/>
      <c r="JH46" s="606"/>
      <c r="JI46" s="606"/>
      <c r="JJ46" s="606"/>
      <c r="JK46" s="606"/>
      <c r="JL46" s="606"/>
      <c r="JM46" s="606"/>
      <c r="JN46" s="606"/>
      <c r="JO46" s="606"/>
      <c r="JP46" s="606"/>
      <c r="JQ46" s="606"/>
      <c r="JR46" s="606"/>
    </row>
    <row r="47" spans="1:278" ht="18.75" thickTop="1" thickBot="1">
      <c r="A47" s="101"/>
      <c r="B47" s="98" t="s">
        <v>312</v>
      </c>
      <c r="C47" s="170"/>
      <c r="D47" s="26"/>
      <c r="E47" s="26" t="s">
        <v>130</v>
      </c>
      <c r="FE47" s="360" t="s">
        <v>208</v>
      </c>
      <c r="FF47" s="360" t="s">
        <v>208</v>
      </c>
      <c r="FG47" s="360" t="s">
        <v>208</v>
      </c>
      <c r="FH47" s="360" t="s">
        <v>208</v>
      </c>
      <c r="FI47" s="360" t="s">
        <v>208</v>
      </c>
      <c r="FJ47" s="360" t="s">
        <v>208</v>
      </c>
      <c r="FK47" s="360" t="s">
        <v>208</v>
      </c>
      <c r="FL47" s="360" t="s">
        <v>208</v>
      </c>
      <c r="FM47" s="360" t="s">
        <v>208</v>
      </c>
      <c r="FN47" s="360" t="s">
        <v>208</v>
      </c>
      <c r="FO47" s="360" t="s">
        <v>208</v>
      </c>
      <c r="FP47" s="360" t="s">
        <v>208</v>
      </c>
      <c r="FQ47" s="360" t="s">
        <v>208</v>
      </c>
      <c r="FR47" s="360" t="s">
        <v>208</v>
      </c>
      <c r="FS47" s="360" t="s">
        <v>208</v>
      </c>
      <c r="FT47" s="360" t="s">
        <v>208</v>
      </c>
      <c r="FU47" s="360" t="s">
        <v>208</v>
      </c>
      <c r="FV47" s="360" t="s">
        <v>208</v>
      </c>
      <c r="FW47" s="360" t="s">
        <v>208</v>
      </c>
      <c r="FX47" s="360" t="s">
        <v>208</v>
      </c>
      <c r="FY47" s="360" t="s">
        <v>208</v>
      </c>
      <c r="FZ47" s="360" t="s">
        <v>208</v>
      </c>
      <c r="GA47" s="360" t="s">
        <v>208</v>
      </c>
      <c r="GB47" s="360" t="s">
        <v>208</v>
      </c>
      <c r="GC47" s="360" t="s">
        <v>208</v>
      </c>
      <c r="GD47" s="360" t="s">
        <v>208</v>
      </c>
      <c r="GE47" s="360" t="s">
        <v>208</v>
      </c>
      <c r="GF47" s="360" t="s">
        <v>208</v>
      </c>
      <c r="GG47" s="360" t="s">
        <v>208</v>
      </c>
      <c r="GH47" s="360" t="s">
        <v>208</v>
      </c>
      <c r="GI47" s="360" t="s">
        <v>208</v>
      </c>
      <c r="GJ47" s="360" t="s">
        <v>208</v>
      </c>
      <c r="GK47" s="360" t="s">
        <v>208</v>
      </c>
      <c r="GL47" s="360" t="s">
        <v>208</v>
      </c>
      <c r="GM47" s="360" t="s">
        <v>208</v>
      </c>
      <c r="GN47" s="360" t="s">
        <v>208</v>
      </c>
      <c r="GO47" s="360" t="s">
        <v>208</v>
      </c>
      <c r="GP47" s="360" t="s">
        <v>208</v>
      </c>
      <c r="GQ47" s="360" t="s">
        <v>208</v>
      </c>
      <c r="GR47" s="360" t="s">
        <v>208</v>
      </c>
      <c r="GS47" s="360" t="s">
        <v>208</v>
      </c>
      <c r="GT47" s="360" t="s">
        <v>208</v>
      </c>
      <c r="GU47" s="360" t="s">
        <v>208</v>
      </c>
      <c r="GV47" s="360" t="s">
        <v>208</v>
      </c>
      <c r="GW47" s="360" t="s">
        <v>208</v>
      </c>
      <c r="GX47" s="360" t="s">
        <v>208</v>
      </c>
      <c r="GY47" s="360" t="s">
        <v>208</v>
      </c>
      <c r="GZ47" s="360" t="s">
        <v>208</v>
      </c>
      <c r="HA47" s="360" t="s">
        <v>208</v>
      </c>
      <c r="HB47" s="360" t="s">
        <v>208</v>
      </c>
      <c r="HC47" s="360" t="s">
        <v>208</v>
      </c>
      <c r="HD47" s="360" t="s">
        <v>208</v>
      </c>
      <c r="HE47" s="360" t="s">
        <v>208</v>
      </c>
      <c r="HF47" s="360" t="s">
        <v>208</v>
      </c>
      <c r="HG47" s="360" t="s">
        <v>208</v>
      </c>
      <c r="HH47" s="360" t="s">
        <v>208</v>
      </c>
      <c r="HI47" s="360" t="s">
        <v>208</v>
      </c>
      <c r="HJ47" s="360" t="s">
        <v>208</v>
      </c>
      <c r="HK47" s="360" t="s">
        <v>208</v>
      </c>
      <c r="HL47" s="360" t="s">
        <v>208</v>
      </c>
      <c r="HM47" s="360" t="s">
        <v>208</v>
      </c>
      <c r="HN47" s="360" t="s">
        <v>208</v>
      </c>
      <c r="HO47" s="360" t="s">
        <v>208</v>
      </c>
      <c r="HP47" s="360" t="s">
        <v>208</v>
      </c>
      <c r="HQ47" s="360" t="s">
        <v>208</v>
      </c>
      <c r="HR47" s="360" t="s">
        <v>208</v>
      </c>
      <c r="HS47" s="360" t="s">
        <v>208</v>
      </c>
      <c r="HT47" s="360" t="s">
        <v>208</v>
      </c>
      <c r="HU47" s="360" t="s">
        <v>208</v>
      </c>
      <c r="HV47" s="360" t="s">
        <v>208</v>
      </c>
      <c r="HW47" s="360" t="s">
        <v>208</v>
      </c>
      <c r="HX47" s="360" t="s">
        <v>208</v>
      </c>
      <c r="HY47" s="360" t="s">
        <v>208</v>
      </c>
      <c r="HZ47" s="360" t="s">
        <v>208</v>
      </c>
      <c r="IA47" s="360" t="s">
        <v>208</v>
      </c>
      <c r="IB47" s="360" t="s">
        <v>208</v>
      </c>
      <c r="IC47" s="360" t="s">
        <v>208</v>
      </c>
      <c r="ID47" s="360" t="s">
        <v>208</v>
      </c>
      <c r="IE47" s="360" t="s">
        <v>208</v>
      </c>
      <c r="IF47" s="360" t="s">
        <v>208</v>
      </c>
      <c r="IG47" s="360" t="s">
        <v>208</v>
      </c>
      <c r="IH47" s="360" t="s">
        <v>208</v>
      </c>
      <c r="II47" s="360" t="s">
        <v>208</v>
      </c>
      <c r="IJ47" s="360" t="s">
        <v>208</v>
      </c>
      <c r="IK47" s="360" t="s">
        <v>208</v>
      </c>
      <c r="IL47" s="360" t="s">
        <v>208</v>
      </c>
      <c r="IM47" s="360" t="s">
        <v>208</v>
      </c>
      <c r="IN47" s="360" t="s">
        <v>208</v>
      </c>
      <c r="IO47" s="360" t="s">
        <v>208</v>
      </c>
      <c r="IP47" s="360" t="s">
        <v>208</v>
      </c>
      <c r="IQ47" s="360" t="s">
        <v>208</v>
      </c>
      <c r="IR47" s="360" t="s">
        <v>208</v>
      </c>
      <c r="IS47" s="360" t="s">
        <v>208</v>
      </c>
      <c r="IT47" s="360" t="s">
        <v>208</v>
      </c>
      <c r="IU47" s="360" t="s">
        <v>208</v>
      </c>
      <c r="IV47" s="360" t="s">
        <v>208</v>
      </c>
      <c r="IW47" s="360" t="s">
        <v>208</v>
      </c>
      <c r="IX47" s="360" t="s">
        <v>208</v>
      </c>
      <c r="IY47" s="360" t="s">
        <v>208</v>
      </c>
      <c r="IZ47" s="360" t="s">
        <v>208</v>
      </c>
      <c r="JA47" s="360" t="s">
        <v>208</v>
      </c>
      <c r="JB47" s="360" t="s">
        <v>208</v>
      </c>
      <c r="JC47" s="360" t="s">
        <v>208</v>
      </c>
      <c r="JD47" s="360" t="s">
        <v>208</v>
      </c>
      <c r="JE47" s="360" t="s">
        <v>208</v>
      </c>
      <c r="JF47" s="360" t="s">
        <v>208</v>
      </c>
      <c r="JG47" s="360" t="s">
        <v>208</v>
      </c>
      <c r="JH47" s="360" t="s">
        <v>208</v>
      </c>
      <c r="JI47" s="360" t="s">
        <v>208</v>
      </c>
      <c r="JJ47" s="360" t="s">
        <v>208</v>
      </c>
      <c r="JK47" s="360" t="s">
        <v>208</v>
      </c>
      <c r="JL47" s="360" t="s">
        <v>208</v>
      </c>
      <c r="JM47" s="360" t="s">
        <v>208</v>
      </c>
      <c r="JN47" s="360" t="s">
        <v>208</v>
      </c>
      <c r="JO47" s="360" t="s">
        <v>208</v>
      </c>
      <c r="JP47" s="360" t="s">
        <v>208</v>
      </c>
      <c r="JQ47" s="360" t="s">
        <v>208</v>
      </c>
      <c r="JR47" s="360" t="s">
        <v>208</v>
      </c>
    </row>
    <row r="48" spans="1:278" ht="18" thickTop="1">
      <c r="A48" s="101"/>
      <c r="B48" s="98" t="s">
        <v>189</v>
      </c>
      <c r="C48" s="170"/>
      <c r="D48" s="26" t="s">
        <v>185</v>
      </c>
      <c r="E48" s="26" t="s">
        <v>215</v>
      </c>
      <c r="FE48" s="357">
        <v>0</v>
      </c>
      <c r="FF48" s="357">
        <v>0</v>
      </c>
      <c r="FG48" s="357">
        <v>0</v>
      </c>
      <c r="FH48" s="357">
        <v>0</v>
      </c>
      <c r="FI48" s="357">
        <v>0</v>
      </c>
      <c r="FJ48" s="357">
        <v>0</v>
      </c>
      <c r="FK48" s="357">
        <v>0</v>
      </c>
      <c r="FL48" s="357">
        <v>0</v>
      </c>
      <c r="FM48" s="357">
        <v>0</v>
      </c>
      <c r="FN48" s="357">
        <v>0</v>
      </c>
      <c r="FO48" s="357">
        <v>0</v>
      </c>
      <c r="FP48" s="357">
        <v>0</v>
      </c>
      <c r="FQ48" s="357">
        <v>0</v>
      </c>
      <c r="FR48" s="357">
        <v>0</v>
      </c>
      <c r="FS48" s="357">
        <v>0</v>
      </c>
      <c r="FT48" s="357">
        <v>0</v>
      </c>
      <c r="FU48" s="357">
        <v>0</v>
      </c>
      <c r="FV48" s="357">
        <v>0</v>
      </c>
      <c r="FW48" s="357">
        <v>0</v>
      </c>
      <c r="FX48" s="357">
        <v>0</v>
      </c>
      <c r="FY48" s="357">
        <v>0</v>
      </c>
      <c r="FZ48" s="357">
        <v>0</v>
      </c>
      <c r="GA48" s="357">
        <v>0</v>
      </c>
      <c r="GB48" s="357">
        <v>0</v>
      </c>
      <c r="GC48" s="357">
        <v>0</v>
      </c>
      <c r="GD48" s="357">
        <v>0</v>
      </c>
      <c r="GE48" s="357">
        <v>0</v>
      </c>
      <c r="GF48" s="357">
        <v>0</v>
      </c>
      <c r="GG48" s="357">
        <v>0</v>
      </c>
      <c r="GH48" s="357">
        <v>0</v>
      </c>
      <c r="GI48" s="357">
        <v>0</v>
      </c>
      <c r="GJ48" s="357">
        <v>0</v>
      </c>
      <c r="GK48" s="357">
        <v>0</v>
      </c>
      <c r="GL48" s="357">
        <v>0</v>
      </c>
      <c r="GM48" s="357">
        <v>0</v>
      </c>
      <c r="GN48" s="357">
        <v>0</v>
      </c>
      <c r="GO48" s="357">
        <v>0</v>
      </c>
      <c r="GP48" s="357">
        <v>0</v>
      </c>
      <c r="GQ48" s="357">
        <v>0</v>
      </c>
      <c r="GR48" s="357">
        <v>0</v>
      </c>
      <c r="GS48" s="357">
        <v>0</v>
      </c>
      <c r="GT48" s="357">
        <v>0</v>
      </c>
      <c r="GU48" s="357">
        <v>0</v>
      </c>
      <c r="GV48" s="357">
        <v>0</v>
      </c>
      <c r="GW48" s="357">
        <v>0</v>
      </c>
      <c r="GX48" s="357">
        <v>0</v>
      </c>
      <c r="GY48" s="357">
        <v>0</v>
      </c>
      <c r="GZ48" s="357">
        <v>0</v>
      </c>
      <c r="HA48" s="357">
        <v>0</v>
      </c>
      <c r="HB48" s="357">
        <v>0</v>
      </c>
      <c r="HC48" s="357">
        <v>0</v>
      </c>
      <c r="HD48" s="357">
        <v>0</v>
      </c>
      <c r="HE48" s="357">
        <v>0</v>
      </c>
      <c r="HF48" s="357">
        <v>0</v>
      </c>
      <c r="HG48" s="357">
        <v>0</v>
      </c>
      <c r="HH48" s="357">
        <v>0</v>
      </c>
      <c r="HI48" s="357">
        <v>0</v>
      </c>
      <c r="HJ48" s="357">
        <v>0</v>
      </c>
      <c r="HK48" s="357">
        <v>0</v>
      </c>
      <c r="HL48" s="357">
        <v>0</v>
      </c>
      <c r="HM48" s="357">
        <v>0</v>
      </c>
      <c r="HN48" s="357">
        <v>0</v>
      </c>
      <c r="HO48" s="357">
        <v>0</v>
      </c>
      <c r="HP48" s="357">
        <v>0</v>
      </c>
      <c r="HQ48" s="357">
        <v>0</v>
      </c>
      <c r="HR48" s="357">
        <v>0</v>
      </c>
      <c r="HS48" s="357">
        <v>0</v>
      </c>
      <c r="HT48" s="357">
        <v>0</v>
      </c>
      <c r="HU48" s="357">
        <v>0</v>
      </c>
      <c r="HV48" s="357">
        <v>0</v>
      </c>
      <c r="HW48" s="357">
        <v>0</v>
      </c>
      <c r="HX48" s="357">
        <v>0</v>
      </c>
      <c r="HY48" s="357">
        <v>0</v>
      </c>
      <c r="HZ48" s="357">
        <v>0</v>
      </c>
      <c r="IA48" s="357">
        <v>0</v>
      </c>
      <c r="IB48" s="357">
        <v>0</v>
      </c>
      <c r="IC48" s="357">
        <v>0</v>
      </c>
      <c r="ID48" s="357">
        <v>0</v>
      </c>
      <c r="IE48" s="357">
        <v>0</v>
      </c>
      <c r="IF48" s="357">
        <v>0</v>
      </c>
      <c r="IG48" s="357">
        <v>0</v>
      </c>
      <c r="IH48" s="357">
        <v>0</v>
      </c>
      <c r="II48" s="357">
        <v>0</v>
      </c>
      <c r="IJ48" s="357">
        <v>0</v>
      </c>
      <c r="IK48" s="357">
        <v>0</v>
      </c>
      <c r="IL48" s="357">
        <v>0</v>
      </c>
      <c r="IM48" s="357">
        <v>0</v>
      </c>
      <c r="IN48" s="357">
        <v>0</v>
      </c>
      <c r="IO48" s="357">
        <v>0</v>
      </c>
      <c r="IP48" s="357">
        <v>0</v>
      </c>
      <c r="IQ48" s="357">
        <v>0</v>
      </c>
      <c r="IR48" s="357">
        <v>0</v>
      </c>
      <c r="IS48" s="357">
        <v>0</v>
      </c>
      <c r="IT48" s="357">
        <v>0</v>
      </c>
      <c r="IU48" s="357">
        <v>0</v>
      </c>
      <c r="IV48" s="357">
        <v>0</v>
      </c>
      <c r="IW48" s="357">
        <v>0</v>
      </c>
      <c r="IX48" s="357">
        <v>0</v>
      </c>
      <c r="IY48" s="357">
        <v>0</v>
      </c>
      <c r="IZ48" s="357">
        <v>0</v>
      </c>
      <c r="JA48" s="357">
        <v>0</v>
      </c>
      <c r="JB48" s="357">
        <v>0</v>
      </c>
      <c r="JC48" s="357">
        <v>0</v>
      </c>
      <c r="JD48" s="357">
        <v>0</v>
      </c>
      <c r="JE48" s="357">
        <v>0</v>
      </c>
      <c r="JF48" s="357">
        <v>0</v>
      </c>
      <c r="JG48" s="357">
        <v>0</v>
      </c>
      <c r="JH48" s="357">
        <v>0</v>
      </c>
      <c r="JI48" s="357">
        <v>0</v>
      </c>
      <c r="JJ48" s="357">
        <v>0</v>
      </c>
      <c r="JK48" s="357">
        <v>0</v>
      </c>
      <c r="JL48" s="357">
        <v>0</v>
      </c>
      <c r="JM48" s="357">
        <v>0</v>
      </c>
      <c r="JN48" s="357">
        <v>0</v>
      </c>
      <c r="JO48" s="357">
        <v>0</v>
      </c>
      <c r="JP48" s="357">
        <v>0</v>
      </c>
      <c r="JQ48" s="357">
        <v>0</v>
      </c>
      <c r="JR48" s="357">
        <v>0</v>
      </c>
    </row>
    <row r="49" spans="1:278" ht="17.25">
      <c r="A49" s="101"/>
      <c r="B49" s="100"/>
      <c r="C49" s="170" t="s">
        <v>190</v>
      </c>
      <c r="D49" s="26" t="s">
        <v>128</v>
      </c>
      <c r="E49" s="26" t="s">
        <v>216</v>
      </c>
      <c r="FE49" s="610" t="s">
        <v>43</v>
      </c>
      <c r="FF49" s="610" t="s">
        <v>43</v>
      </c>
      <c r="FG49" s="610" t="s">
        <v>43</v>
      </c>
      <c r="FH49" s="610" t="s">
        <v>43</v>
      </c>
      <c r="FI49" s="610" t="s">
        <v>43</v>
      </c>
      <c r="FJ49" s="610" t="s">
        <v>43</v>
      </c>
      <c r="FK49" s="610" t="s">
        <v>43</v>
      </c>
      <c r="FL49" s="610" t="s">
        <v>43</v>
      </c>
      <c r="FM49" s="610" t="s">
        <v>43</v>
      </c>
      <c r="FN49" s="610" t="s">
        <v>43</v>
      </c>
      <c r="FO49" s="610" t="s">
        <v>43</v>
      </c>
      <c r="FP49" s="610" t="s">
        <v>43</v>
      </c>
      <c r="FQ49" s="610" t="s">
        <v>43</v>
      </c>
      <c r="FR49" s="610" t="s">
        <v>43</v>
      </c>
      <c r="FS49" s="610" t="s">
        <v>43</v>
      </c>
      <c r="FT49" s="610" t="s">
        <v>43</v>
      </c>
      <c r="FU49" s="610" t="s">
        <v>43</v>
      </c>
      <c r="FV49" s="610" t="s">
        <v>43</v>
      </c>
      <c r="FW49" s="610" t="s">
        <v>43</v>
      </c>
      <c r="FX49" s="610" t="s">
        <v>43</v>
      </c>
      <c r="FY49" s="610" t="s">
        <v>43</v>
      </c>
      <c r="FZ49" s="610" t="s">
        <v>43</v>
      </c>
      <c r="GA49" s="610" t="s">
        <v>43</v>
      </c>
      <c r="GB49" s="610" t="s">
        <v>43</v>
      </c>
      <c r="GC49" s="610" t="s">
        <v>43</v>
      </c>
      <c r="GD49" s="610" t="s">
        <v>43</v>
      </c>
      <c r="GE49" s="610" t="s">
        <v>43</v>
      </c>
      <c r="GF49" s="610" t="s">
        <v>43</v>
      </c>
      <c r="GG49" s="610" t="s">
        <v>43</v>
      </c>
      <c r="GH49" s="610" t="s">
        <v>43</v>
      </c>
      <c r="GI49" s="610" t="s">
        <v>43</v>
      </c>
      <c r="GJ49" s="610" t="s">
        <v>43</v>
      </c>
      <c r="GK49" s="610" t="s">
        <v>43</v>
      </c>
      <c r="GL49" s="610" t="s">
        <v>43</v>
      </c>
      <c r="GM49" s="610" t="s">
        <v>43</v>
      </c>
      <c r="GN49" s="610" t="s">
        <v>43</v>
      </c>
      <c r="GO49" s="610" t="s">
        <v>43</v>
      </c>
      <c r="GP49" s="610" t="s">
        <v>43</v>
      </c>
      <c r="GQ49" s="610" t="s">
        <v>43</v>
      </c>
      <c r="GR49" s="610" t="s">
        <v>43</v>
      </c>
      <c r="GS49" s="610" t="s">
        <v>43</v>
      </c>
      <c r="GT49" s="610" t="s">
        <v>43</v>
      </c>
      <c r="GU49" s="610" t="s">
        <v>43</v>
      </c>
      <c r="GV49" s="610" t="s">
        <v>43</v>
      </c>
      <c r="GW49" s="610" t="s">
        <v>43</v>
      </c>
      <c r="GX49" s="610" t="s">
        <v>43</v>
      </c>
      <c r="GY49" s="610" t="s">
        <v>43</v>
      </c>
      <c r="GZ49" s="610" t="s">
        <v>43</v>
      </c>
      <c r="HA49" s="610" t="s">
        <v>43</v>
      </c>
      <c r="HB49" s="610" t="s">
        <v>43</v>
      </c>
      <c r="HC49" s="610" t="s">
        <v>43</v>
      </c>
      <c r="HD49" s="610" t="s">
        <v>43</v>
      </c>
      <c r="HE49" s="610" t="s">
        <v>43</v>
      </c>
      <c r="HF49" s="610" t="s">
        <v>43</v>
      </c>
      <c r="HG49" s="610" t="s">
        <v>43</v>
      </c>
      <c r="HH49" s="610" t="s">
        <v>43</v>
      </c>
      <c r="HI49" s="610" t="s">
        <v>43</v>
      </c>
      <c r="HJ49" s="610" t="s">
        <v>43</v>
      </c>
      <c r="HK49" s="610" t="s">
        <v>43</v>
      </c>
      <c r="HL49" s="610" t="s">
        <v>43</v>
      </c>
      <c r="HM49" s="610" t="s">
        <v>43</v>
      </c>
      <c r="HN49" s="610" t="s">
        <v>43</v>
      </c>
      <c r="HO49" s="610" t="s">
        <v>43</v>
      </c>
      <c r="HP49" s="610" t="s">
        <v>43</v>
      </c>
      <c r="HQ49" s="610" t="s">
        <v>43</v>
      </c>
      <c r="HR49" s="610" t="s">
        <v>43</v>
      </c>
      <c r="HS49" s="610" t="s">
        <v>43</v>
      </c>
      <c r="HT49" s="610" t="s">
        <v>43</v>
      </c>
      <c r="HU49" s="610" t="s">
        <v>43</v>
      </c>
      <c r="HV49" s="610" t="s">
        <v>43</v>
      </c>
      <c r="HW49" s="610" t="s">
        <v>43</v>
      </c>
      <c r="HX49" s="610" t="s">
        <v>43</v>
      </c>
      <c r="HY49" s="610" t="s">
        <v>43</v>
      </c>
      <c r="HZ49" s="610" t="s">
        <v>43</v>
      </c>
      <c r="IA49" s="610" t="s">
        <v>43</v>
      </c>
      <c r="IB49" s="610" t="s">
        <v>43</v>
      </c>
      <c r="IC49" s="610" t="s">
        <v>43</v>
      </c>
      <c r="ID49" s="610" t="s">
        <v>43</v>
      </c>
      <c r="IE49" s="610" t="s">
        <v>43</v>
      </c>
      <c r="IF49" s="610" t="s">
        <v>43</v>
      </c>
      <c r="IG49" s="610" t="s">
        <v>43</v>
      </c>
      <c r="IH49" s="610" t="s">
        <v>43</v>
      </c>
      <c r="II49" s="610" t="s">
        <v>43</v>
      </c>
      <c r="IJ49" s="610" t="s">
        <v>43</v>
      </c>
      <c r="IK49" s="610" t="s">
        <v>43</v>
      </c>
      <c r="IL49" s="610" t="s">
        <v>43</v>
      </c>
      <c r="IM49" s="610" t="s">
        <v>43</v>
      </c>
      <c r="IN49" s="610" t="s">
        <v>43</v>
      </c>
      <c r="IO49" s="610" t="s">
        <v>43</v>
      </c>
      <c r="IP49" s="610" t="s">
        <v>43</v>
      </c>
      <c r="IQ49" s="610" t="s">
        <v>43</v>
      </c>
      <c r="IR49" s="610" t="s">
        <v>43</v>
      </c>
      <c r="IS49" s="610" t="s">
        <v>43</v>
      </c>
      <c r="IT49" s="610" t="s">
        <v>43</v>
      </c>
      <c r="IU49" s="610" t="s">
        <v>43</v>
      </c>
      <c r="IV49" s="610" t="s">
        <v>43</v>
      </c>
      <c r="IW49" s="610" t="s">
        <v>43</v>
      </c>
      <c r="IX49" s="610" t="s">
        <v>43</v>
      </c>
      <c r="IY49" s="610" t="s">
        <v>43</v>
      </c>
      <c r="IZ49" s="610" t="s">
        <v>43</v>
      </c>
      <c r="JA49" s="610" t="s">
        <v>43</v>
      </c>
      <c r="JB49" s="610" t="s">
        <v>43</v>
      </c>
      <c r="JC49" s="610" t="s">
        <v>43</v>
      </c>
      <c r="JD49" s="610" t="s">
        <v>43</v>
      </c>
      <c r="JE49" s="610" t="s">
        <v>43</v>
      </c>
      <c r="JF49" s="610" t="s">
        <v>43</v>
      </c>
      <c r="JG49" s="610" t="s">
        <v>43</v>
      </c>
      <c r="JH49" s="610" t="s">
        <v>43</v>
      </c>
      <c r="JI49" s="610" t="s">
        <v>43</v>
      </c>
      <c r="JJ49" s="610" t="s">
        <v>43</v>
      </c>
      <c r="JK49" s="610" t="s">
        <v>43</v>
      </c>
      <c r="JL49" s="610" t="s">
        <v>43</v>
      </c>
      <c r="JM49" s="610" t="s">
        <v>43</v>
      </c>
      <c r="JN49" s="610" t="s">
        <v>43</v>
      </c>
      <c r="JO49" s="610" t="s">
        <v>43</v>
      </c>
      <c r="JP49" s="610" t="s">
        <v>43</v>
      </c>
      <c r="JQ49" s="610" t="s">
        <v>43</v>
      </c>
      <c r="JR49" s="610" t="s">
        <v>43</v>
      </c>
    </row>
    <row r="50" spans="1:278" ht="17.25">
      <c r="A50" s="101"/>
      <c r="B50" s="100"/>
      <c r="C50" s="170" t="s">
        <v>191</v>
      </c>
      <c r="D50" s="26" t="s">
        <v>128</v>
      </c>
      <c r="E50" s="26" t="s">
        <v>217</v>
      </c>
      <c r="FE50" s="359" t="s">
        <v>43</v>
      </c>
      <c r="FF50" s="359" t="s">
        <v>43</v>
      </c>
      <c r="FG50" s="359" t="s">
        <v>43</v>
      </c>
      <c r="FH50" s="359" t="s">
        <v>43</v>
      </c>
      <c r="FI50" s="359" t="s">
        <v>43</v>
      </c>
      <c r="FJ50" s="359" t="s">
        <v>43</v>
      </c>
      <c r="FK50" s="359" t="s">
        <v>43</v>
      </c>
      <c r="FL50" s="359" t="s">
        <v>43</v>
      </c>
      <c r="FM50" s="359" t="s">
        <v>43</v>
      </c>
      <c r="FN50" s="359" t="s">
        <v>43</v>
      </c>
      <c r="FO50" s="359" t="s">
        <v>43</v>
      </c>
      <c r="FP50" s="359" t="s">
        <v>43</v>
      </c>
      <c r="FQ50" s="359" t="s">
        <v>43</v>
      </c>
      <c r="FR50" s="359" t="s">
        <v>43</v>
      </c>
      <c r="FS50" s="359" t="s">
        <v>43</v>
      </c>
      <c r="FT50" s="359" t="s">
        <v>43</v>
      </c>
      <c r="FU50" s="359" t="s">
        <v>43</v>
      </c>
      <c r="FV50" s="359" t="s">
        <v>43</v>
      </c>
      <c r="FW50" s="359" t="s">
        <v>43</v>
      </c>
      <c r="FX50" s="359" t="s">
        <v>43</v>
      </c>
      <c r="FY50" s="359" t="s">
        <v>43</v>
      </c>
      <c r="FZ50" s="359" t="s">
        <v>43</v>
      </c>
      <c r="GA50" s="359" t="s">
        <v>43</v>
      </c>
      <c r="GB50" s="359" t="s">
        <v>43</v>
      </c>
      <c r="GC50" s="359" t="s">
        <v>43</v>
      </c>
      <c r="GD50" s="359" t="s">
        <v>43</v>
      </c>
      <c r="GE50" s="359" t="s">
        <v>43</v>
      </c>
      <c r="GF50" s="359" t="s">
        <v>43</v>
      </c>
      <c r="GG50" s="359" t="s">
        <v>43</v>
      </c>
      <c r="GH50" s="359" t="s">
        <v>43</v>
      </c>
      <c r="GI50" s="359" t="s">
        <v>43</v>
      </c>
      <c r="GJ50" s="359" t="s">
        <v>43</v>
      </c>
      <c r="GK50" s="359" t="s">
        <v>43</v>
      </c>
      <c r="GL50" s="359" t="s">
        <v>43</v>
      </c>
      <c r="GM50" s="359" t="s">
        <v>43</v>
      </c>
      <c r="GN50" s="359" t="s">
        <v>43</v>
      </c>
      <c r="GO50" s="359" t="s">
        <v>43</v>
      </c>
      <c r="GP50" s="359" t="s">
        <v>43</v>
      </c>
      <c r="GQ50" s="359" t="s">
        <v>43</v>
      </c>
      <c r="GR50" s="359" t="s">
        <v>43</v>
      </c>
      <c r="GS50" s="359" t="s">
        <v>43</v>
      </c>
      <c r="GT50" s="359" t="s">
        <v>43</v>
      </c>
      <c r="GU50" s="359" t="s">
        <v>43</v>
      </c>
      <c r="GV50" s="359" t="s">
        <v>43</v>
      </c>
      <c r="GW50" s="359" t="s">
        <v>43</v>
      </c>
      <c r="GX50" s="359" t="s">
        <v>43</v>
      </c>
      <c r="GY50" s="359" t="s">
        <v>43</v>
      </c>
      <c r="GZ50" s="359" t="s">
        <v>43</v>
      </c>
      <c r="HA50" s="359" t="s">
        <v>43</v>
      </c>
      <c r="HB50" s="359" t="s">
        <v>43</v>
      </c>
      <c r="HC50" s="359" t="s">
        <v>43</v>
      </c>
      <c r="HD50" s="359" t="s">
        <v>43</v>
      </c>
      <c r="HE50" s="359" t="s">
        <v>43</v>
      </c>
      <c r="HF50" s="359" t="s">
        <v>43</v>
      </c>
      <c r="HG50" s="359" t="s">
        <v>43</v>
      </c>
      <c r="HH50" s="359" t="s">
        <v>43</v>
      </c>
      <c r="HI50" s="359" t="s">
        <v>43</v>
      </c>
      <c r="HJ50" s="359" t="s">
        <v>43</v>
      </c>
      <c r="HK50" s="359" t="s">
        <v>43</v>
      </c>
      <c r="HL50" s="359" t="s">
        <v>43</v>
      </c>
      <c r="HM50" s="359" t="s">
        <v>43</v>
      </c>
      <c r="HN50" s="359" t="s">
        <v>43</v>
      </c>
      <c r="HO50" s="359" t="s">
        <v>43</v>
      </c>
      <c r="HP50" s="359" t="s">
        <v>43</v>
      </c>
      <c r="HQ50" s="359" t="s">
        <v>43</v>
      </c>
      <c r="HR50" s="359" t="s">
        <v>43</v>
      </c>
      <c r="HS50" s="359" t="s">
        <v>43</v>
      </c>
      <c r="HT50" s="359" t="s">
        <v>43</v>
      </c>
      <c r="HU50" s="359" t="s">
        <v>43</v>
      </c>
      <c r="HV50" s="359" t="s">
        <v>43</v>
      </c>
      <c r="HW50" s="359" t="s">
        <v>43</v>
      </c>
      <c r="HX50" s="359" t="s">
        <v>43</v>
      </c>
      <c r="HY50" s="359" t="s">
        <v>43</v>
      </c>
      <c r="HZ50" s="359" t="s">
        <v>43</v>
      </c>
      <c r="IA50" s="359" t="s">
        <v>43</v>
      </c>
      <c r="IB50" s="359" t="s">
        <v>43</v>
      </c>
      <c r="IC50" s="359" t="s">
        <v>43</v>
      </c>
      <c r="ID50" s="359" t="s">
        <v>43</v>
      </c>
      <c r="IE50" s="359" t="s">
        <v>43</v>
      </c>
      <c r="IF50" s="359" t="s">
        <v>43</v>
      </c>
      <c r="IG50" s="359" t="s">
        <v>43</v>
      </c>
      <c r="IH50" s="359" t="s">
        <v>43</v>
      </c>
      <c r="II50" s="359" t="s">
        <v>43</v>
      </c>
      <c r="IJ50" s="359" t="s">
        <v>43</v>
      </c>
      <c r="IK50" s="359" t="s">
        <v>43</v>
      </c>
      <c r="IL50" s="359" t="s">
        <v>43</v>
      </c>
      <c r="IM50" s="359" t="s">
        <v>43</v>
      </c>
      <c r="IN50" s="359" t="s">
        <v>43</v>
      </c>
      <c r="IO50" s="359" t="s">
        <v>43</v>
      </c>
      <c r="IP50" s="359" t="s">
        <v>43</v>
      </c>
      <c r="IQ50" s="359" t="s">
        <v>43</v>
      </c>
      <c r="IR50" s="359" t="s">
        <v>43</v>
      </c>
      <c r="IS50" s="359" t="s">
        <v>43</v>
      </c>
      <c r="IT50" s="359" t="s">
        <v>43</v>
      </c>
      <c r="IU50" s="359" t="s">
        <v>43</v>
      </c>
      <c r="IV50" s="359" t="s">
        <v>43</v>
      </c>
      <c r="IW50" s="359" t="s">
        <v>43</v>
      </c>
      <c r="IX50" s="359" t="s">
        <v>43</v>
      </c>
      <c r="IY50" s="359" t="s">
        <v>43</v>
      </c>
      <c r="IZ50" s="359" t="s">
        <v>43</v>
      </c>
      <c r="JA50" s="359" t="s">
        <v>43</v>
      </c>
      <c r="JB50" s="359" t="s">
        <v>43</v>
      </c>
      <c r="JC50" s="359" t="s">
        <v>43</v>
      </c>
      <c r="JD50" s="359" t="s">
        <v>43</v>
      </c>
      <c r="JE50" s="359" t="s">
        <v>43</v>
      </c>
      <c r="JF50" s="359" t="s">
        <v>43</v>
      </c>
      <c r="JG50" s="359" t="s">
        <v>43</v>
      </c>
      <c r="JH50" s="359" t="s">
        <v>43</v>
      </c>
      <c r="JI50" s="359" t="s">
        <v>43</v>
      </c>
      <c r="JJ50" s="359" t="s">
        <v>43</v>
      </c>
      <c r="JK50" s="359" t="s">
        <v>43</v>
      </c>
      <c r="JL50" s="359" t="s">
        <v>43</v>
      </c>
      <c r="JM50" s="359" t="s">
        <v>43</v>
      </c>
      <c r="JN50" s="359" t="s">
        <v>43</v>
      </c>
      <c r="JO50" s="359" t="s">
        <v>43</v>
      </c>
      <c r="JP50" s="359" t="s">
        <v>43</v>
      </c>
      <c r="JQ50" s="359" t="s">
        <v>43</v>
      </c>
      <c r="JR50" s="359" t="s">
        <v>43</v>
      </c>
    </row>
    <row r="51" spans="1:278" ht="17.25">
      <c r="A51" s="101"/>
      <c r="B51" s="100"/>
      <c r="C51" s="170" t="s">
        <v>192</v>
      </c>
      <c r="D51" s="86" t="s">
        <v>332</v>
      </c>
      <c r="E51" s="26" t="s">
        <v>218</v>
      </c>
      <c r="FE51" s="359" t="s">
        <v>43</v>
      </c>
      <c r="FF51" s="359" t="s">
        <v>43</v>
      </c>
      <c r="FG51" s="359" t="s">
        <v>43</v>
      </c>
      <c r="FH51" s="359" t="s">
        <v>43</v>
      </c>
      <c r="FI51" s="359" t="s">
        <v>43</v>
      </c>
      <c r="FJ51" s="359" t="s">
        <v>43</v>
      </c>
      <c r="FK51" s="359" t="s">
        <v>43</v>
      </c>
      <c r="FL51" s="359" t="s">
        <v>43</v>
      </c>
      <c r="FM51" s="359" t="s">
        <v>43</v>
      </c>
      <c r="FN51" s="359" t="s">
        <v>43</v>
      </c>
      <c r="FO51" s="359" t="s">
        <v>43</v>
      </c>
      <c r="FP51" s="359" t="s">
        <v>43</v>
      </c>
      <c r="FQ51" s="359" t="s">
        <v>43</v>
      </c>
      <c r="FR51" s="359" t="s">
        <v>43</v>
      </c>
      <c r="FS51" s="359" t="s">
        <v>43</v>
      </c>
      <c r="FT51" s="359" t="s">
        <v>43</v>
      </c>
      <c r="FU51" s="359" t="s">
        <v>43</v>
      </c>
      <c r="FV51" s="359" t="s">
        <v>43</v>
      </c>
      <c r="FW51" s="359" t="s">
        <v>43</v>
      </c>
      <c r="FX51" s="359" t="s">
        <v>43</v>
      </c>
      <c r="FY51" s="359" t="s">
        <v>43</v>
      </c>
      <c r="FZ51" s="359" t="s">
        <v>43</v>
      </c>
      <c r="GA51" s="359" t="s">
        <v>43</v>
      </c>
      <c r="GB51" s="359" t="s">
        <v>43</v>
      </c>
      <c r="GC51" s="359" t="s">
        <v>43</v>
      </c>
      <c r="GD51" s="359" t="s">
        <v>43</v>
      </c>
      <c r="GE51" s="359" t="s">
        <v>43</v>
      </c>
      <c r="GF51" s="359" t="s">
        <v>43</v>
      </c>
      <c r="GG51" s="359" t="s">
        <v>43</v>
      </c>
      <c r="GH51" s="359" t="s">
        <v>43</v>
      </c>
      <c r="GI51" s="359" t="s">
        <v>43</v>
      </c>
      <c r="GJ51" s="359" t="s">
        <v>43</v>
      </c>
      <c r="GK51" s="359" t="s">
        <v>43</v>
      </c>
      <c r="GL51" s="359" t="s">
        <v>43</v>
      </c>
      <c r="GM51" s="359" t="s">
        <v>43</v>
      </c>
      <c r="GN51" s="359" t="s">
        <v>43</v>
      </c>
      <c r="GO51" s="359" t="s">
        <v>43</v>
      </c>
      <c r="GP51" s="359" t="s">
        <v>43</v>
      </c>
      <c r="GQ51" s="359" t="s">
        <v>43</v>
      </c>
      <c r="GR51" s="359" t="s">
        <v>43</v>
      </c>
      <c r="GS51" s="359" t="s">
        <v>43</v>
      </c>
      <c r="GT51" s="359" t="s">
        <v>43</v>
      </c>
      <c r="GU51" s="359" t="s">
        <v>43</v>
      </c>
      <c r="GV51" s="359" t="s">
        <v>43</v>
      </c>
      <c r="GW51" s="359" t="s">
        <v>43</v>
      </c>
      <c r="GX51" s="359" t="s">
        <v>43</v>
      </c>
      <c r="GY51" s="359" t="s">
        <v>43</v>
      </c>
      <c r="GZ51" s="359" t="s">
        <v>43</v>
      </c>
      <c r="HA51" s="359" t="s">
        <v>43</v>
      </c>
      <c r="HB51" s="359" t="s">
        <v>43</v>
      </c>
      <c r="HC51" s="359" t="s">
        <v>43</v>
      </c>
      <c r="HD51" s="359" t="s">
        <v>43</v>
      </c>
      <c r="HE51" s="359" t="s">
        <v>43</v>
      </c>
      <c r="HF51" s="359" t="s">
        <v>43</v>
      </c>
      <c r="HG51" s="359" t="s">
        <v>43</v>
      </c>
      <c r="HH51" s="359" t="s">
        <v>43</v>
      </c>
      <c r="HI51" s="359" t="s">
        <v>43</v>
      </c>
      <c r="HJ51" s="359" t="s">
        <v>43</v>
      </c>
      <c r="HK51" s="359" t="s">
        <v>43</v>
      </c>
      <c r="HL51" s="359" t="s">
        <v>43</v>
      </c>
      <c r="HM51" s="359" t="s">
        <v>43</v>
      </c>
      <c r="HN51" s="359" t="s">
        <v>43</v>
      </c>
      <c r="HO51" s="359" t="s">
        <v>43</v>
      </c>
      <c r="HP51" s="359" t="s">
        <v>43</v>
      </c>
      <c r="HQ51" s="359" t="s">
        <v>43</v>
      </c>
      <c r="HR51" s="359" t="s">
        <v>43</v>
      </c>
      <c r="HS51" s="359" t="s">
        <v>43</v>
      </c>
      <c r="HT51" s="359" t="s">
        <v>43</v>
      </c>
      <c r="HU51" s="359" t="s">
        <v>43</v>
      </c>
      <c r="HV51" s="359" t="s">
        <v>43</v>
      </c>
      <c r="HW51" s="359" t="s">
        <v>43</v>
      </c>
      <c r="HX51" s="359" t="s">
        <v>43</v>
      </c>
      <c r="HY51" s="359" t="s">
        <v>43</v>
      </c>
      <c r="HZ51" s="359" t="s">
        <v>43</v>
      </c>
      <c r="IA51" s="359" t="s">
        <v>43</v>
      </c>
      <c r="IB51" s="359" t="s">
        <v>43</v>
      </c>
      <c r="IC51" s="359" t="s">
        <v>43</v>
      </c>
      <c r="ID51" s="359" t="s">
        <v>43</v>
      </c>
      <c r="IE51" s="359" t="s">
        <v>43</v>
      </c>
      <c r="IF51" s="359" t="s">
        <v>43</v>
      </c>
      <c r="IG51" s="359" t="s">
        <v>43</v>
      </c>
      <c r="IH51" s="359" t="s">
        <v>43</v>
      </c>
      <c r="II51" s="359" t="s">
        <v>43</v>
      </c>
      <c r="IJ51" s="359" t="s">
        <v>43</v>
      </c>
      <c r="IK51" s="359" t="s">
        <v>43</v>
      </c>
      <c r="IL51" s="359" t="s">
        <v>43</v>
      </c>
      <c r="IM51" s="359" t="s">
        <v>43</v>
      </c>
      <c r="IN51" s="359" t="s">
        <v>43</v>
      </c>
      <c r="IO51" s="359" t="s">
        <v>43</v>
      </c>
      <c r="IP51" s="359" t="s">
        <v>43</v>
      </c>
      <c r="IQ51" s="359" t="s">
        <v>43</v>
      </c>
      <c r="IR51" s="359" t="s">
        <v>43</v>
      </c>
      <c r="IS51" s="359" t="s">
        <v>43</v>
      </c>
      <c r="IT51" s="359" t="s">
        <v>43</v>
      </c>
      <c r="IU51" s="359" t="s">
        <v>43</v>
      </c>
      <c r="IV51" s="359" t="s">
        <v>43</v>
      </c>
      <c r="IW51" s="359" t="s">
        <v>43</v>
      </c>
      <c r="IX51" s="359" t="s">
        <v>43</v>
      </c>
      <c r="IY51" s="359" t="s">
        <v>43</v>
      </c>
      <c r="IZ51" s="359" t="s">
        <v>43</v>
      </c>
      <c r="JA51" s="359" t="s">
        <v>43</v>
      </c>
      <c r="JB51" s="359" t="s">
        <v>43</v>
      </c>
      <c r="JC51" s="359" t="s">
        <v>43</v>
      </c>
      <c r="JD51" s="359" t="s">
        <v>43</v>
      </c>
      <c r="JE51" s="359" t="s">
        <v>43</v>
      </c>
      <c r="JF51" s="359" t="s">
        <v>43</v>
      </c>
      <c r="JG51" s="359" t="s">
        <v>43</v>
      </c>
      <c r="JH51" s="359" t="s">
        <v>43</v>
      </c>
      <c r="JI51" s="359" t="s">
        <v>43</v>
      </c>
      <c r="JJ51" s="359" t="s">
        <v>43</v>
      </c>
      <c r="JK51" s="359" t="s">
        <v>43</v>
      </c>
      <c r="JL51" s="359" t="s">
        <v>43</v>
      </c>
      <c r="JM51" s="359" t="s">
        <v>43</v>
      </c>
      <c r="JN51" s="359" t="s">
        <v>43</v>
      </c>
      <c r="JO51" s="359" t="s">
        <v>43</v>
      </c>
      <c r="JP51" s="359" t="s">
        <v>43</v>
      </c>
      <c r="JQ51" s="359" t="s">
        <v>43</v>
      </c>
      <c r="JR51" s="359" t="s">
        <v>43</v>
      </c>
    </row>
    <row r="52" spans="1:278" ht="18" thickBot="1">
      <c r="A52" s="41" t="s">
        <v>1698</v>
      </c>
      <c r="B52" s="102"/>
      <c r="C52" s="36"/>
      <c r="D52" s="49"/>
      <c r="E52" s="26"/>
      <c r="FE52" s="606"/>
      <c r="FF52" s="606"/>
      <c r="FG52" s="606"/>
      <c r="FH52" s="606"/>
      <c r="FI52" s="606"/>
      <c r="FJ52" s="606"/>
      <c r="FK52" s="606"/>
      <c r="FL52" s="606"/>
      <c r="FM52" s="606"/>
      <c r="FN52" s="606"/>
      <c r="FO52" s="606"/>
      <c r="FP52" s="606"/>
      <c r="FQ52" s="606"/>
      <c r="FR52" s="606"/>
      <c r="FS52" s="606"/>
      <c r="FT52" s="606"/>
      <c r="FU52" s="606"/>
      <c r="FV52" s="606"/>
      <c r="FW52" s="606"/>
      <c r="FX52" s="606"/>
      <c r="FY52" s="606"/>
      <c r="FZ52" s="606"/>
      <c r="GA52" s="606"/>
      <c r="GB52" s="606"/>
      <c r="GC52" s="606"/>
      <c r="GD52" s="606"/>
      <c r="GE52" s="606"/>
      <c r="GF52" s="606"/>
      <c r="GG52" s="606"/>
      <c r="GH52" s="606"/>
      <c r="GI52" s="606"/>
      <c r="GJ52" s="606"/>
      <c r="GK52" s="606"/>
      <c r="GL52" s="606"/>
      <c r="GM52" s="606"/>
      <c r="GN52" s="606"/>
      <c r="GO52" s="606"/>
      <c r="GP52" s="606"/>
      <c r="GQ52" s="606"/>
      <c r="GR52" s="606"/>
      <c r="GS52" s="606"/>
      <c r="GT52" s="606"/>
      <c r="GU52" s="606"/>
      <c r="GV52" s="606"/>
      <c r="GW52" s="606"/>
      <c r="GX52" s="606"/>
      <c r="GY52" s="606"/>
      <c r="GZ52" s="606"/>
      <c r="HA52" s="606"/>
      <c r="HB52" s="606"/>
      <c r="HC52" s="606"/>
      <c r="HD52" s="606"/>
      <c r="HE52" s="606"/>
      <c r="HF52" s="606"/>
      <c r="HG52" s="606"/>
      <c r="HH52" s="606"/>
      <c r="HI52" s="606"/>
      <c r="HJ52" s="606"/>
      <c r="HK52" s="606"/>
      <c r="HL52" s="606"/>
      <c r="HM52" s="606"/>
      <c r="HN52" s="606"/>
      <c r="HO52" s="606"/>
      <c r="HP52" s="606"/>
      <c r="HQ52" s="606"/>
      <c r="HR52" s="606"/>
      <c r="HS52" s="606"/>
      <c r="HT52" s="606"/>
      <c r="HU52" s="606"/>
      <c r="HV52" s="606"/>
      <c r="HW52" s="606"/>
      <c r="HX52" s="606"/>
      <c r="HY52" s="606"/>
      <c r="HZ52" s="606"/>
      <c r="IA52" s="606"/>
      <c r="IB52" s="606"/>
      <c r="IC52" s="606"/>
      <c r="ID52" s="606"/>
      <c r="IE52" s="606"/>
      <c r="IF52" s="606"/>
      <c r="IG52" s="606"/>
      <c r="IH52" s="606"/>
      <c r="II52" s="606"/>
      <c r="IJ52" s="606"/>
      <c r="IK52" s="606"/>
      <c r="IL52" s="606"/>
      <c r="IM52" s="606"/>
      <c r="IN52" s="606"/>
      <c r="IO52" s="606"/>
      <c r="IP52" s="606"/>
      <c r="IQ52" s="606"/>
      <c r="IR52" s="606"/>
      <c r="IS52" s="606"/>
      <c r="IT52" s="606"/>
      <c r="IU52" s="606"/>
      <c r="IV52" s="606"/>
      <c r="IW52" s="606"/>
      <c r="IX52" s="606"/>
      <c r="IY52" s="606"/>
      <c r="IZ52" s="606"/>
      <c r="JA52" s="606"/>
      <c r="JB52" s="606"/>
      <c r="JC52" s="606"/>
      <c r="JD52" s="606"/>
      <c r="JE52" s="606"/>
      <c r="JF52" s="606"/>
      <c r="JG52" s="606"/>
      <c r="JH52" s="606"/>
      <c r="JI52" s="606"/>
      <c r="JJ52" s="606"/>
      <c r="JK52" s="606"/>
      <c r="JL52" s="606"/>
      <c r="JM52" s="606"/>
      <c r="JN52" s="606"/>
      <c r="JO52" s="606"/>
      <c r="JP52" s="606"/>
      <c r="JQ52" s="606"/>
      <c r="JR52" s="606"/>
    </row>
    <row r="53" spans="1:278" ht="18.75" thickTop="1" thickBot="1">
      <c r="A53" s="103"/>
      <c r="B53" s="98" t="s">
        <v>313</v>
      </c>
      <c r="C53" s="170"/>
      <c r="D53" s="26"/>
      <c r="E53" s="26" t="s">
        <v>129</v>
      </c>
      <c r="FE53" s="360" t="s">
        <v>208</v>
      </c>
      <c r="FF53" s="360" t="s">
        <v>208</v>
      </c>
      <c r="FG53" s="360" t="s">
        <v>208</v>
      </c>
      <c r="FH53" s="360" t="s">
        <v>208</v>
      </c>
      <c r="FI53" s="360" t="s">
        <v>208</v>
      </c>
      <c r="FJ53" s="360" t="s">
        <v>208</v>
      </c>
      <c r="FK53" s="360" t="s">
        <v>208</v>
      </c>
      <c r="FL53" s="360" t="s">
        <v>208</v>
      </c>
      <c r="FM53" s="360" t="s">
        <v>208</v>
      </c>
      <c r="FN53" s="360" t="s">
        <v>208</v>
      </c>
      <c r="FO53" s="360" t="s">
        <v>208</v>
      </c>
      <c r="FP53" s="360" t="s">
        <v>208</v>
      </c>
      <c r="FQ53" s="360" t="s">
        <v>208</v>
      </c>
      <c r="FR53" s="360" t="s">
        <v>208</v>
      </c>
      <c r="FS53" s="360" t="s">
        <v>208</v>
      </c>
      <c r="FT53" s="360" t="s">
        <v>208</v>
      </c>
      <c r="FU53" s="360" t="s">
        <v>208</v>
      </c>
      <c r="FV53" s="360" t="s">
        <v>208</v>
      </c>
      <c r="FW53" s="360" t="s">
        <v>208</v>
      </c>
      <c r="FX53" s="360" t="s">
        <v>208</v>
      </c>
      <c r="FY53" s="360" t="s">
        <v>208</v>
      </c>
      <c r="FZ53" s="360" t="s">
        <v>208</v>
      </c>
      <c r="GA53" s="360" t="s">
        <v>208</v>
      </c>
      <c r="GB53" s="360" t="s">
        <v>208</v>
      </c>
      <c r="GC53" s="360" t="s">
        <v>208</v>
      </c>
      <c r="GD53" s="360" t="s">
        <v>208</v>
      </c>
      <c r="GE53" s="360" t="s">
        <v>208</v>
      </c>
      <c r="GF53" s="360" t="s">
        <v>208</v>
      </c>
      <c r="GG53" s="360" t="s">
        <v>208</v>
      </c>
      <c r="GH53" s="360" t="s">
        <v>208</v>
      </c>
      <c r="GI53" s="360" t="s">
        <v>208</v>
      </c>
      <c r="GJ53" s="360" t="s">
        <v>208</v>
      </c>
      <c r="GK53" s="360" t="s">
        <v>208</v>
      </c>
      <c r="GL53" s="360" t="s">
        <v>208</v>
      </c>
      <c r="GM53" s="360" t="s">
        <v>208</v>
      </c>
      <c r="GN53" s="360" t="s">
        <v>208</v>
      </c>
      <c r="GO53" s="360" t="s">
        <v>208</v>
      </c>
      <c r="GP53" s="360" t="s">
        <v>208</v>
      </c>
      <c r="GQ53" s="360" t="s">
        <v>208</v>
      </c>
      <c r="GR53" s="360" t="s">
        <v>208</v>
      </c>
      <c r="GS53" s="360" t="s">
        <v>208</v>
      </c>
      <c r="GT53" s="360" t="s">
        <v>208</v>
      </c>
      <c r="GU53" s="360" t="s">
        <v>208</v>
      </c>
      <c r="GV53" s="360" t="s">
        <v>208</v>
      </c>
      <c r="GW53" s="360" t="s">
        <v>208</v>
      </c>
      <c r="GX53" s="360" t="s">
        <v>208</v>
      </c>
      <c r="GY53" s="360" t="s">
        <v>208</v>
      </c>
      <c r="GZ53" s="360" t="s">
        <v>208</v>
      </c>
      <c r="HA53" s="360" t="s">
        <v>208</v>
      </c>
      <c r="HB53" s="360" t="s">
        <v>208</v>
      </c>
      <c r="HC53" s="360" t="s">
        <v>208</v>
      </c>
      <c r="HD53" s="360" t="s">
        <v>208</v>
      </c>
      <c r="HE53" s="360" t="s">
        <v>208</v>
      </c>
      <c r="HF53" s="360" t="s">
        <v>208</v>
      </c>
      <c r="HG53" s="360" t="s">
        <v>208</v>
      </c>
      <c r="HH53" s="360" t="s">
        <v>208</v>
      </c>
      <c r="HI53" s="360" t="s">
        <v>208</v>
      </c>
      <c r="HJ53" s="360" t="s">
        <v>208</v>
      </c>
      <c r="HK53" s="360" t="s">
        <v>208</v>
      </c>
      <c r="HL53" s="360" t="s">
        <v>208</v>
      </c>
      <c r="HM53" s="360" t="s">
        <v>208</v>
      </c>
      <c r="HN53" s="360" t="s">
        <v>208</v>
      </c>
      <c r="HO53" s="360" t="s">
        <v>208</v>
      </c>
      <c r="HP53" s="360" t="s">
        <v>208</v>
      </c>
      <c r="HQ53" s="360" t="s">
        <v>208</v>
      </c>
      <c r="HR53" s="360" t="s">
        <v>208</v>
      </c>
      <c r="HS53" s="360" t="s">
        <v>208</v>
      </c>
      <c r="HT53" s="360" t="s">
        <v>208</v>
      </c>
      <c r="HU53" s="360" t="s">
        <v>208</v>
      </c>
      <c r="HV53" s="360" t="s">
        <v>208</v>
      </c>
      <c r="HW53" s="360" t="s">
        <v>208</v>
      </c>
      <c r="HX53" s="360" t="s">
        <v>208</v>
      </c>
      <c r="HY53" s="360" t="s">
        <v>208</v>
      </c>
      <c r="HZ53" s="360" t="s">
        <v>208</v>
      </c>
      <c r="IA53" s="360" t="s">
        <v>208</v>
      </c>
      <c r="IB53" s="360" t="s">
        <v>208</v>
      </c>
      <c r="IC53" s="360" t="s">
        <v>208</v>
      </c>
      <c r="ID53" s="360" t="s">
        <v>208</v>
      </c>
      <c r="IE53" s="360" t="s">
        <v>208</v>
      </c>
      <c r="IF53" s="360" t="s">
        <v>208</v>
      </c>
      <c r="IG53" s="360" t="s">
        <v>208</v>
      </c>
      <c r="IH53" s="360" t="s">
        <v>208</v>
      </c>
      <c r="II53" s="360" t="s">
        <v>208</v>
      </c>
      <c r="IJ53" s="360" t="s">
        <v>208</v>
      </c>
      <c r="IK53" s="360" t="s">
        <v>208</v>
      </c>
      <c r="IL53" s="360" t="s">
        <v>208</v>
      </c>
      <c r="IM53" s="360" t="s">
        <v>208</v>
      </c>
      <c r="IN53" s="360" t="s">
        <v>208</v>
      </c>
      <c r="IO53" s="360" t="s">
        <v>208</v>
      </c>
      <c r="IP53" s="360" t="s">
        <v>208</v>
      </c>
      <c r="IQ53" s="360" t="s">
        <v>208</v>
      </c>
      <c r="IR53" s="360" t="s">
        <v>208</v>
      </c>
      <c r="IS53" s="360" t="s">
        <v>208</v>
      </c>
      <c r="IT53" s="360" t="s">
        <v>208</v>
      </c>
      <c r="IU53" s="360" t="s">
        <v>208</v>
      </c>
      <c r="IV53" s="360" t="s">
        <v>208</v>
      </c>
      <c r="IW53" s="360" t="s">
        <v>208</v>
      </c>
      <c r="IX53" s="360" t="s">
        <v>208</v>
      </c>
      <c r="IY53" s="360" t="s">
        <v>208</v>
      </c>
      <c r="IZ53" s="360" t="s">
        <v>208</v>
      </c>
      <c r="JA53" s="360" t="s">
        <v>208</v>
      </c>
      <c r="JB53" s="360" t="s">
        <v>208</v>
      </c>
      <c r="JC53" s="360" t="s">
        <v>208</v>
      </c>
      <c r="JD53" s="360" t="s">
        <v>208</v>
      </c>
      <c r="JE53" s="360" t="s">
        <v>208</v>
      </c>
      <c r="JF53" s="360" t="s">
        <v>208</v>
      </c>
      <c r="JG53" s="360" t="s">
        <v>208</v>
      </c>
      <c r="JH53" s="360" t="s">
        <v>208</v>
      </c>
      <c r="JI53" s="360" t="s">
        <v>208</v>
      </c>
      <c r="JJ53" s="360" t="s">
        <v>208</v>
      </c>
      <c r="JK53" s="360" t="s">
        <v>208</v>
      </c>
      <c r="JL53" s="360" t="s">
        <v>208</v>
      </c>
      <c r="JM53" s="360" t="s">
        <v>208</v>
      </c>
      <c r="JN53" s="360" t="s">
        <v>208</v>
      </c>
      <c r="JO53" s="360" t="s">
        <v>208</v>
      </c>
      <c r="JP53" s="360" t="s">
        <v>208</v>
      </c>
      <c r="JQ53" s="360" t="s">
        <v>208</v>
      </c>
      <c r="JR53" s="360" t="s">
        <v>208</v>
      </c>
    </row>
    <row r="54" spans="1:278" ht="18" thickTop="1">
      <c r="A54" s="101"/>
      <c r="B54" s="98" t="s">
        <v>193</v>
      </c>
      <c r="C54" s="170"/>
      <c r="D54" s="26" t="s">
        <v>185</v>
      </c>
      <c r="E54" s="26" t="s">
        <v>219</v>
      </c>
      <c r="FE54" s="357">
        <v>0</v>
      </c>
      <c r="FF54" s="357">
        <v>0</v>
      </c>
      <c r="FG54" s="357">
        <v>0</v>
      </c>
      <c r="FH54" s="357">
        <v>0</v>
      </c>
      <c r="FI54" s="357">
        <v>0</v>
      </c>
      <c r="FJ54" s="357">
        <v>0</v>
      </c>
      <c r="FK54" s="357">
        <v>0</v>
      </c>
      <c r="FL54" s="357">
        <v>0</v>
      </c>
      <c r="FM54" s="357">
        <v>0</v>
      </c>
      <c r="FN54" s="357">
        <v>0</v>
      </c>
      <c r="FO54" s="357">
        <v>0</v>
      </c>
      <c r="FP54" s="357">
        <v>0</v>
      </c>
      <c r="FQ54" s="357">
        <v>0</v>
      </c>
      <c r="FR54" s="357">
        <v>0</v>
      </c>
      <c r="FS54" s="357">
        <v>0</v>
      </c>
      <c r="FT54" s="357">
        <v>0</v>
      </c>
      <c r="FU54" s="357">
        <v>0</v>
      </c>
      <c r="FV54" s="357">
        <v>0</v>
      </c>
      <c r="FW54" s="357">
        <v>0</v>
      </c>
      <c r="FX54" s="357">
        <v>0</v>
      </c>
      <c r="FY54" s="357">
        <v>0</v>
      </c>
      <c r="FZ54" s="357">
        <v>0</v>
      </c>
      <c r="GA54" s="357">
        <v>0</v>
      </c>
      <c r="GB54" s="357">
        <v>0</v>
      </c>
      <c r="GC54" s="357">
        <v>0</v>
      </c>
      <c r="GD54" s="357">
        <v>0</v>
      </c>
      <c r="GE54" s="357">
        <v>0</v>
      </c>
      <c r="GF54" s="357">
        <v>0</v>
      </c>
      <c r="GG54" s="357">
        <v>0</v>
      </c>
      <c r="GH54" s="357">
        <v>0</v>
      </c>
      <c r="GI54" s="357">
        <v>0</v>
      </c>
      <c r="GJ54" s="357">
        <v>0</v>
      </c>
      <c r="GK54" s="357">
        <v>0</v>
      </c>
      <c r="GL54" s="357">
        <v>0</v>
      </c>
      <c r="GM54" s="357">
        <v>0</v>
      </c>
      <c r="GN54" s="357">
        <v>0</v>
      </c>
      <c r="GO54" s="357">
        <v>0</v>
      </c>
      <c r="GP54" s="357">
        <v>0</v>
      </c>
      <c r="GQ54" s="357">
        <v>0</v>
      </c>
      <c r="GR54" s="357">
        <v>0</v>
      </c>
      <c r="GS54" s="357">
        <v>0</v>
      </c>
      <c r="GT54" s="357">
        <v>0</v>
      </c>
      <c r="GU54" s="357">
        <v>0</v>
      </c>
      <c r="GV54" s="357">
        <v>0</v>
      </c>
      <c r="GW54" s="357">
        <v>0</v>
      </c>
      <c r="GX54" s="357">
        <v>0</v>
      </c>
      <c r="GY54" s="357">
        <v>0</v>
      </c>
      <c r="GZ54" s="357">
        <v>0</v>
      </c>
      <c r="HA54" s="357">
        <v>0</v>
      </c>
      <c r="HB54" s="357">
        <v>0</v>
      </c>
      <c r="HC54" s="357">
        <v>0</v>
      </c>
      <c r="HD54" s="357">
        <v>0</v>
      </c>
      <c r="HE54" s="357">
        <v>0</v>
      </c>
      <c r="HF54" s="357">
        <v>0</v>
      </c>
      <c r="HG54" s="357">
        <v>0</v>
      </c>
      <c r="HH54" s="357">
        <v>0</v>
      </c>
      <c r="HI54" s="357">
        <v>0</v>
      </c>
      <c r="HJ54" s="357">
        <v>0</v>
      </c>
      <c r="HK54" s="357">
        <v>0</v>
      </c>
      <c r="HL54" s="357">
        <v>0</v>
      </c>
      <c r="HM54" s="357">
        <v>0</v>
      </c>
      <c r="HN54" s="357">
        <v>0</v>
      </c>
      <c r="HO54" s="357">
        <v>0</v>
      </c>
      <c r="HP54" s="357">
        <v>0</v>
      </c>
      <c r="HQ54" s="357">
        <v>0</v>
      </c>
      <c r="HR54" s="357">
        <v>0</v>
      </c>
      <c r="HS54" s="357">
        <v>0</v>
      </c>
      <c r="HT54" s="357">
        <v>0</v>
      </c>
      <c r="HU54" s="357">
        <v>0</v>
      </c>
      <c r="HV54" s="357">
        <v>0</v>
      </c>
      <c r="HW54" s="357">
        <v>0</v>
      </c>
      <c r="HX54" s="357">
        <v>0</v>
      </c>
      <c r="HY54" s="357">
        <v>0</v>
      </c>
      <c r="HZ54" s="357">
        <v>0</v>
      </c>
      <c r="IA54" s="357">
        <v>0</v>
      </c>
      <c r="IB54" s="357">
        <v>0</v>
      </c>
      <c r="IC54" s="357">
        <v>0</v>
      </c>
      <c r="ID54" s="357">
        <v>0</v>
      </c>
      <c r="IE54" s="357">
        <v>0</v>
      </c>
      <c r="IF54" s="357">
        <v>0</v>
      </c>
      <c r="IG54" s="357">
        <v>0</v>
      </c>
      <c r="IH54" s="357">
        <v>0</v>
      </c>
      <c r="II54" s="357">
        <v>0</v>
      </c>
      <c r="IJ54" s="357">
        <v>0</v>
      </c>
      <c r="IK54" s="357">
        <v>0</v>
      </c>
      <c r="IL54" s="357">
        <v>0</v>
      </c>
      <c r="IM54" s="357">
        <v>0</v>
      </c>
      <c r="IN54" s="357">
        <v>0</v>
      </c>
      <c r="IO54" s="357">
        <v>0</v>
      </c>
      <c r="IP54" s="357">
        <v>0</v>
      </c>
      <c r="IQ54" s="357">
        <v>0</v>
      </c>
      <c r="IR54" s="357">
        <v>0</v>
      </c>
      <c r="IS54" s="357">
        <v>0</v>
      </c>
      <c r="IT54" s="357">
        <v>0</v>
      </c>
      <c r="IU54" s="357">
        <v>0</v>
      </c>
      <c r="IV54" s="357">
        <v>0</v>
      </c>
      <c r="IW54" s="357">
        <v>0</v>
      </c>
      <c r="IX54" s="357">
        <v>0</v>
      </c>
      <c r="IY54" s="357">
        <v>0</v>
      </c>
      <c r="IZ54" s="357">
        <v>0</v>
      </c>
      <c r="JA54" s="357">
        <v>0</v>
      </c>
      <c r="JB54" s="357">
        <v>0</v>
      </c>
      <c r="JC54" s="357">
        <v>0</v>
      </c>
      <c r="JD54" s="357">
        <v>0</v>
      </c>
      <c r="JE54" s="357">
        <v>0</v>
      </c>
      <c r="JF54" s="357">
        <v>0</v>
      </c>
      <c r="JG54" s="357">
        <v>0</v>
      </c>
      <c r="JH54" s="357">
        <v>0</v>
      </c>
      <c r="JI54" s="357">
        <v>0</v>
      </c>
      <c r="JJ54" s="357">
        <v>0</v>
      </c>
      <c r="JK54" s="357">
        <v>0</v>
      </c>
      <c r="JL54" s="357">
        <v>0</v>
      </c>
      <c r="JM54" s="357">
        <v>0</v>
      </c>
      <c r="JN54" s="357">
        <v>0</v>
      </c>
      <c r="JO54" s="357">
        <v>0</v>
      </c>
      <c r="JP54" s="357">
        <v>0</v>
      </c>
      <c r="JQ54" s="357">
        <v>0</v>
      </c>
      <c r="JR54" s="357">
        <v>0</v>
      </c>
    </row>
    <row r="55" spans="1:278" ht="17.25">
      <c r="A55" s="54"/>
      <c r="B55" s="100"/>
      <c r="C55" s="170" t="s">
        <v>194</v>
      </c>
      <c r="D55" s="26" t="s">
        <v>128</v>
      </c>
      <c r="E55" s="26" t="s">
        <v>220</v>
      </c>
      <c r="FE55" s="610" t="s">
        <v>43</v>
      </c>
      <c r="FF55" s="610" t="s">
        <v>43</v>
      </c>
      <c r="FG55" s="610" t="s">
        <v>43</v>
      </c>
      <c r="FH55" s="610" t="s">
        <v>43</v>
      </c>
      <c r="FI55" s="610" t="s">
        <v>43</v>
      </c>
      <c r="FJ55" s="610" t="s">
        <v>43</v>
      </c>
      <c r="FK55" s="610" t="s">
        <v>43</v>
      </c>
      <c r="FL55" s="610" t="s">
        <v>43</v>
      </c>
      <c r="FM55" s="610" t="s">
        <v>43</v>
      </c>
      <c r="FN55" s="610" t="s">
        <v>43</v>
      </c>
      <c r="FO55" s="610" t="s">
        <v>43</v>
      </c>
      <c r="FP55" s="610" t="s">
        <v>43</v>
      </c>
      <c r="FQ55" s="610" t="s">
        <v>43</v>
      </c>
      <c r="FR55" s="610" t="s">
        <v>43</v>
      </c>
      <c r="FS55" s="610" t="s">
        <v>43</v>
      </c>
      <c r="FT55" s="610" t="s">
        <v>43</v>
      </c>
      <c r="FU55" s="610" t="s">
        <v>43</v>
      </c>
      <c r="FV55" s="610" t="s">
        <v>43</v>
      </c>
      <c r="FW55" s="610" t="s">
        <v>43</v>
      </c>
      <c r="FX55" s="610" t="s">
        <v>43</v>
      </c>
      <c r="FY55" s="610" t="s">
        <v>43</v>
      </c>
      <c r="FZ55" s="610" t="s">
        <v>43</v>
      </c>
      <c r="GA55" s="610" t="s">
        <v>43</v>
      </c>
      <c r="GB55" s="610" t="s">
        <v>43</v>
      </c>
      <c r="GC55" s="610" t="s">
        <v>43</v>
      </c>
      <c r="GD55" s="610" t="s">
        <v>43</v>
      </c>
      <c r="GE55" s="610" t="s">
        <v>43</v>
      </c>
      <c r="GF55" s="610" t="s">
        <v>43</v>
      </c>
      <c r="GG55" s="610" t="s">
        <v>43</v>
      </c>
      <c r="GH55" s="610" t="s">
        <v>43</v>
      </c>
      <c r="GI55" s="610" t="s">
        <v>43</v>
      </c>
      <c r="GJ55" s="610" t="s">
        <v>43</v>
      </c>
      <c r="GK55" s="610" t="s">
        <v>43</v>
      </c>
      <c r="GL55" s="610" t="s">
        <v>43</v>
      </c>
      <c r="GM55" s="610" t="s">
        <v>43</v>
      </c>
      <c r="GN55" s="610" t="s">
        <v>43</v>
      </c>
      <c r="GO55" s="610" t="s">
        <v>43</v>
      </c>
      <c r="GP55" s="610" t="s">
        <v>43</v>
      </c>
      <c r="GQ55" s="610" t="s">
        <v>43</v>
      </c>
      <c r="GR55" s="610" t="s">
        <v>43</v>
      </c>
      <c r="GS55" s="610" t="s">
        <v>43</v>
      </c>
      <c r="GT55" s="610" t="s">
        <v>43</v>
      </c>
      <c r="GU55" s="610" t="s">
        <v>43</v>
      </c>
      <c r="GV55" s="610" t="s">
        <v>43</v>
      </c>
      <c r="GW55" s="610" t="s">
        <v>43</v>
      </c>
      <c r="GX55" s="610" t="s">
        <v>43</v>
      </c>
      <c r="GY55" s="610" t="s">
        <v>43</v>
      </c>
      <c r="GZ55" s="610" t="s">
        <v>43</v>
      </c>
      <c r="HA55" s="610" t="s">
        <v>43</v>
      </c>
      <c r="HB55" s="610" t="s">
        <v>43</v>
      </c>
      <c r="HC55" s="610" t="s">
        <v>43</v>
      </c>
      <c r="HD55" s="610" t="s">
        <v>43</v>
      </c>
      <c r="HE55" s="610" t="s">
        <v>43</v>
      </c>
      <c r="HF55" s="610" t="s">
        <v>43</v>
      </c>
      <c r="HG55" s="610" t="s">
        <v>43</v>
      </c>
      <c r="HH55" s="610" t="s">
        <v>43</v>
      </c>
      <c r="HI55" s="610" t="s">
        <v>43</v>
      </c>
      <c r="HJ55" s="610" t="s">
        <v>43</v>
      </c>
      <c r="HK55" s="610" t="s">
        <v>43</v>
      </c>
      <c r="HL55" s="610" t="s">
        <v>43</v>
      </c>
      <c r="HM55" s="610" t="s">
        <v>43</v>
      </c>
      <c r="HN55" s="610" t="s">
        <v>43</v>
      </c>
      <c r="HO55" s="610" t="s">
        <v>43</v>
      </c>
      <c r="HP55" s="610" t="s">
        <v>43</v>
      </c>
      <c r="HQ55" s="610" t="s">
        <v>43</v>
      </c>
      <c r="HR55" s="610" t="s">
        <v>43</v>
      </c>
      <c r="HS55" s="610" t="s">
        <v>43</v>
      </c>
      <c r="HT55" s="610" t="s">
        <v>43</v>
      </c>
      <c r="HU55" s="610" t="s">
        <v>43</v>
      </c>
      <c r="HV55" s="610" t="s">
        <v>43</v>
      </c>
      <c r="HW55" s="610" t="s">
        <v>43</v>
      </c>
      <c r="HX55" s="610" t="s">
        <v>43</v>
      </c>
      <c r="HY55" s="610" t="s">
        <v>43</v>
      </c>
      <c r="HZ55" s="610" t="s">
        <v>43</v>
      </c>
      <c r="IA55" s="610" t="s">
        <v>43</v>
      </c>
      <c r="IB55" s="610" t="s">
        <v>43</v>
      </c>
      <c r="IC55" s="610" t="s">
        <v>43</v>
      </c>
      <c r="ID55" s="610" t="s">
        <v>43</v>
      </c>
      <c r="IE55" s="610" t="s">
        <v>43</v>
      </c>
      <c r="IF55" s="610" t="s">
        <v>43</v>
      </c>
      <c r="IG55" s="610" t="s">
        <v>43</v>
      </c>
      <c r="IH55" s="610" t="s">
        <v>43</v>
      </c>
      <c r="II55" s="610" t="s">
        <v>43</v>
      </c>
      <c r="IJ55" s="610" t="s">
        <v>43</v>
      </c>
      <c r="IK55" s="610" t="s">
        <v>43</v>
      </c>
      <c r="IL55" s="610" t="s">
        <v>43</v>
      </c>
      <c r="IM55" s="610" t="s">
        <v>43</v>
      </c>
      <c r="IN55" s="610" t="s">
        <v>43</v>
      </c>
      <c r="IO55" s="610" t="s">
        <v>43</v>
      </c>
      <c r="IP55" s="610" t="s">
        <v>43</v>
      </c>
      <c r="IQ55" s="610" t="s">
        <v>43</v>
      </c>
      <c r="IR55" s="610" t="s">
        <v>43</v>
      </c>
      <c r="IS55" s="610" t="s">
        <v>43</v>
      </c>
      <c r="IT55" s="610" t="s">
        <v>43</v>
      </c>
      <c r="IU55" s="610" t="s">
        <v>43</v>
      </c>
      <c r="IV55" s="610" t="s">
        <v>43</v>
      </c>
      <c r="IW55" s="610" t="s">
        <v>43</v>
      </c>
      <c r="IX55" s="610" t="s">
        <v>43</v>
      </c>
      <c r="IY55" s="610" t="s">
        <v>43</v>
      </c>
      <c r="IZ55" s="610" t="s">
        <v>43</v>
      </c>
      <c r="JA55" s="610" t="s">
        <v>43</v>
      </c>
      <c r="JB55" s="610" t="s">
        <v>43</v>
      </c>
      <c r="JC55" s="610" t="s">
        <v>43</v>
      </c>
      <c r="JD55" s="610" t="s">
        <v>43</v>
      </c>
      <c r="JE55" s="610" t="s">
        <v>43</v>
      </c>
      <c r="JF55" s="610" t="s">
        <v>43</v>
      </c>
      <c r="JG55" s="610" t="s">
        <v>43</v>
      </c>
      <c r="JH55" s="610" t="s">
        <v>43</v>
      </c>
      <c r="JI55" s="610" t="s">
        <v>43</v>
      </c>
      <c r="JJ55" s="610" t="s">
        <v>43</v>
      </c>
      <c r="JK55" s="610" t="s">
        <v>43</v>
      </c>
      <c r="JL55" s="610" t="s">
        <v>43</v>
      </c>
      <c r="JM55" s="610" t="s">
        <v>43</v>
      </c>
      <c r="JN55" s="610" t="s">
        <v>43</v>
      </c>
      <c r="JO55" s="610" t="s">
        <v>43</v>
      </c>
      <c r="JP55" s="610" t="s">
        <v>43</v>
      </c>
      <c r="JQ55" s="610" t="s">
        <v>43</v>
      </c>
      <c r="JR55" s="610" t="s">
        <v>43</v>
      </c>
    </row>
    <row r="56" spans="1:278" ht="17.25">
      <c r="A56" s="101"/>
      <c r="B56" s="100"/>
      <c r="C56" s="170" t="s">
        <v>195</v>
      </c>
      <c r="D56" s="26" t="s">
        <v>128</v>
      </c>
      <c r="E56" s="26" t="s">
        <v>221</v>
      </c>
      <c r="FE56" s="359" t="s">
        <v>43</v>
      </c>
      <c r="FF56" s="359" t="s">
        <v>43</v>
      </c>
      <c r="FG56" s="359" t="s">
        <v>43</v>
      </c>
      <c r="FH56" s="359" t="s">
        <v>43</v>
      </c>
      <c r="FI56" s="359" t="s">
        <v>43</v>
      </c>
      <c r="FJ56" s="359" t="s">
        <v>43</v>
      </c>
      <c r="FK56" s="359" t="s">
        <v>43</v>
      </c>
      <c r="FL56" s="359" t="s">
        <v>43</v>
      </c>
      <c r="FM56" s="359" t="s">
        <v>43</v>
      </c>
      <c r="FN56" s="359" t="s">
        <v>43</v>
      </c>
      <c r="FO56" s="359" t="s">
        <v>43</v>
      </c>
      <c r="FP56" s="359" t="s">
        <v>43</v>
      </c>
      <c r="FQ56" s="359" t="s">
        <v>43</v>
      </c>
      <c r="FR56" s="359" t="s">
        <v>43</v>
      </c>
      <c r="FS56" s="359" t="s">
        <v>43</v>
      </c>
      <c r="FT56" s="359" t="s">
        <v>43</v>
      </c>
      <c r="FU56" s="359" t="s">
        <v>43</v>
      </c>
      <c r="FV56" s="359" t="s">
        <v>43</v>
      </c>
      <c r="FW56" s="359" t="s">
        <v>43</v>
      </c>
      <c r="FX56" s="359" t="s">
        <v>43</v>
      </c>
      <c r="FY56" s="359" t="s">
        <v>43</v>
      </c>
      <c r="FZ56" s="359" t="s">
        <v>43</v>
      </c>
      <c r="GA56" s="359" t="s">
        <v>43</v>
      </c>
      <c r="GB56" s="359" t="s">
        <v>43</v>
      </c>
      <c r="GC56" s="359" t="s">
        <v>43</v>
      </c>
      <c r="GD56" s="359" t="s">
        <v>43</v>
      </c>
      <c r="GE56" s="359" t="s">
        <v>43</v>
      </c>
      <c r="GF56" s="359" t="s">
        <v>43</v>
      </c>
      <c r="GG56" s="359" t="s">
        <v>43</v>
      </c>
      <c r="GH56" s="359" t="s">
        <v>43</v>
      </c>
      <c r="GI56" s="359" t="s">
        <v>43</v>
      </c>
      <c r="GJ56" s="359" t="s">
        <v>43</v>
      </c>
      <c r="GK56" s="359" t="s">
        <v>43</v>
      </c>
      <c r="GL56" s="359" t="s">
        <v>43</v>
      </c>
      <c r="GM56" s="359" t="s">
        <v>43</v>
      </c>
      <c r="GN56" s="359" t="s">
        <v>43</v>
      </c>
      <c r="GO56" s="359" t="s">
        <v>43</v>
      </c>
      <c r="GP56" s="359" t="s">
        <v>43</v>
      </c>
      <c r="GQ56" s="359" t="s">
        <v>43</v>
      </c>
      <c r="GR56" s="359" t="s">
        <v>43</v>
      </c>
      <c r="GS56" s="359" t="s">
        <v>43</v>
      </c>
      <c r="GT56" s="359" t="s">
        <v>43</v>
      </c>
      <c r="GU56" s="359" t="s">
        <v>43</v>
      </c>
      <c r="GV56" s="359" t="s">
        <v>43</v>
      </c>
      <c r="GW56" s="359" t="s">
        <v>43</v>
      </c>
      <c r="GX56" s="359" t="s">
        <v>43</v>
      </c>
      <c r="GY56" s="359" t="s">
        <v>43</v>
      </c>
      <c r="GZ56" s="359" t="s">
        <v>43</v>
      </c>
      <c r="HA56" s="359" t="s">
        <v>43</v>
      </c>
      <c r="HB56" s="359" t="s">
        <v>43</v>
      </c>
      <c r="HC56" s="359" t="s">
        <v>43</v>
      </c>
      <c r="HD56" s="359" t="s">
        <v>43</v>
      </c>
      <c r="HE56" s="359" t="s">
        <v>43</v>
      </c>
      <c r="HF56" s="359" t="s">
        <v>43</v>
      </c>
      <c r="HG56" s="359" t="s">
        <v>43</v>
      </c>
      <c r="HH56" s="359" t="s">
        <v>43</v>
      </c>
      <c r="HI56" s="359" t="s">
        <v>43</v>
      </c>
      <c r="HJ56" s="359" t="s">
        <v>43</v>
      </c>
      <c r="HK56" s="359" t="s">
        <v>43</v>
      </c>
      <c r="HL56" s="359" t="s">
        <v>43</v>
      </c>
      <c r="HM56" s="359" t="s">
        <v>43</v>
      </c>
      <c r="HN56" s="359" t="s">
        <v>43</v>
      </c>
      <c r="HO56" s="359" t="s">
        <v>43</v>
      </c>
      <c r="HP56" s="359" t="s">
        <v>43</v>
      </c>
      <c r="HQ56" s="359" t="s">
        <v>43</v>
      </c>
      <c r="HR56" s="359" t="s">
        <v>43</v>
      </c>
      <c r="HS56" s="359" t="s">
        <v>43</v>
      </c>
      <c r="HT56" s="359" t="s">
        <v>43</v>
      </c>
      <c r="HU56" s="359" t="s">
        <v>43</v>
      </c>
      <c r="HV56" s="359" t="s">
        <v>43</v>
      </c>
      <c r="HW56" s="359" t="s">
        <v>43</v>
      </c>
      <c r="HX56" s="359" t="s">
        <v>43</v>
      </c>
      <c r="HY56" s="359" t="s">
        <v>43</v>
      </c>
      <c r="HZ56" s="359" t="s">
        <v>43</v>
      </c>
      <c r="IA56" s="359" t="s">
        <v>43</v>
      </c>
      <c r="IB56" s="359" t="s">
        <v>43</v>
      </c>
      <c r="IC56" s="359" t="s">
        <v>43</v>
      </c>
      <c r="ID56" s="359" t="s">
        <v>43</v>
      </c>
      <c r="IE56" s="359" t="s">
        <v>43</v>
      </c>
      <c r="IF56" s="359" t="s">
        <v>43</v>
      </c>
      <c r="IG56" s="359" t="s">
        <v>43</v>
      </c>
      <c r="IH56" s="359" t="s">
        <v>43</v>
      </c>
      <c r="II56" s="359" t="s">
        <v>43</v>
      </c>
      <c r="IJ56" s="359" t="s">
        <v>43</v>
      </c>
      <c r="IK56" s="359" t="s">
        <v>43</v>
      </c>
      <c r="IL56" s="359" t="s">
        <v>43</v>
      </c>
      <c r="IM56" s="359" t="s">
        <v>43</v>
      </c>
      <c r="IN56" s="359" t="s">
        <v>43</v>
      </c>
      <c r="IO56" s="359" t="s">
        <v>43</v>
      </c>
      <c r="IP56" s="359" t="s">
        <v>43</v>
      </c>
      <c r="IQ56" s="359" t="s">
        <v>43</v>
      </c>
      <c r="IR56" s="359" t="s">
        <v>43</v>
      </c>
      <c r="IS56" s="359" t="s">
        <v>43</v>
      </c>
      <c r="IT56" s="359" t="s">
        <v>43</v>
      </c>
      <c r="IU56" s="359" t="s">
        <v>43</v>
      </c>
      <c r="IV56" s="359" t="s">
        <v>43</v>
      </c>
      <c r="IW56" s="359" t="s">
        <v>43</v>
      </c>
      <c r="IX56" s="359" t="s">
        <v>43</v>
      </c>
      <c r="IY56" s="359" t="s">
        <v>43</v>
      </c>
      <c r="IZ56" s="359" t="s">
        <v>43</v>
      </c>
      <c r="JA56" s="359" t="s">
        <v>43</v>
      </c>
      <c r="JB56" s="359" t="s">
        <v>43</v>
      </c>
      <c r="JC56" s="359" t="s">
        <v>43</v>
      </c>
      <c r="JD56" s="359" t="s">
        <v>43</v>
      </c>
      <c r="JE56" s="359" t="s">
        <v>43</v>
      </c>
      <c r="JF56" s="359" t="s">
        <v>43</v>
      </c>
      <c r="JG56" s="359" t="s">
        <v>43</v>
      </c>
      <c r="JH56" s="359" t="s">
        <v>43</v>
      </c>
      <c r="JI56" s="359" t="s">
        <v>43</v>
      </c>
      <c r="JJ56" s="359" t="s">
        <v>43</v>
      </c>
      <c r="JK56" s="359" t="s">
        <v>43</v>
      </c>
      <c r="JL56" s="359" t="s">
        <v>43</v>
      </c>
      <c r="JM56" s="359" t="s">
        <v>43</v>
      </c>
      <c r="JN56" s="359" t="s">
        <v>43</v>
      </c>
      <c r="JO56" s="359" t="s">
        <v>43</v>
      </c>
      <c r="JP56" s="359" t="s">
        <v>43</v>
      </c>
      <c r="JQ56" s="359" t="s">
        <v>43</v>
      </c>
      <c r="JR56" s="359" t="s">
        <v>43</v>
      </c>
    </row>
    <row r="57" spans="1:278" ht="17.25">
      <c r="A57" s="101"/>
      <c r="B57" s="100"/>
      <c r="C57" s="170" t="s">
        <v>196</v>
      </c>
      <c r="D57" s="86" t="s">
        <v>332</v>
      </c>
      <c r="E57" s="26" t="s">
        <v>222</v>
      </c>
      <c r="FE57" s="359" t="s">
        <v>43</v>
      </c>
      <c r="FF57" s="359" t="s">
        <v>43</v>
      </c>
      <c r="FG57" s="359" t="s">
        <v>43</v>
      </c>
      <c r="FH57" s="359" t="s">
        <v>43</v>
      </c>
      <c r="FI57" s="359" t="s">
        <v>43</v>
      </c>
      <c r="FJ57" s="359" t="s">
        <v>43</v>
      </c>
      <c r="FK57" s="359" t="s">
        <v>43</v>
      </c>
      <c r="FL57" s="359" t="s">
        <v>43</v>
      </c>
      <c r="FM57" s="359" t="s">
        <v>43</v>
      </c>
      <c r="FN57" s="359" t="s">
        <v>43</v>
      </c>
      <c r="FO57" s="359" t="s">
        <v>43</v>
      </c>
      <c r="FP57" s="359" t="s">
        <v>43</v>
      </c>
      <c r="FQ57" s="359" t="s">
        <v>43</v>
      </c>
      <c r="FR57" s="359" t="s">
        <v>43</v>
      </c>
      <c r="FS57" s="359" t="s">
        <v>43</v>
      </c>
      <c r="FT57" s="359" t="s">
        <v>43</v>
      </c>
      <c r="FU57" s="359" t="s">
        <v>43</v>
      </c>
      <c r="FV57" s="359" t="s">
        <v>43</v>
      </c>
      <c r="FW57" s="359" t="s">
        <v>43</v>
      </c>
      <c r="FX57" s="359" t="s">
        <v>43</v>
      </c>
      <c r="FY57" s="359" t="s">
        <v>43</v>
      </c>
      <c r="FZ57" s="359" t="s">
        <v>43</v>
      </c>
      <c r="GA57" s="359" t="s">
        <v>43</v>
      </c>
      <c r="GB57" s="359" t="s">
        <v>43</v>
      </c>
      <c r="GC57" s="359" t="s">
        <v>43</v>
      </c>
      <c r="GD57" s="359" t="s">
        <v>43</v>
      </c>
      <c r="GE57" s="359" t="s">
        <v>43</v>
      </c>
      <c r="GF57" s="359" t="s">
        <v>43</v>
      </c>
      <c r="GG57" s="359" t="s">
        <v>43</v>
      </c>
      <c r="GH57" s="359" t="s">
        <v>43</v>
      </c>
      <c r="GI57" s="359" t="s">
        <v>43</v>
      </c>
      <c r="GJ57" s="359" t="s">
        <v>43</v>
      </c>
      <c r="GK57" s="359" t="s">
        <v>43</v>
      </c>
      <c r="GL57" s="359" t="s">
        <v>43</v>
      </c>
      <c r="GM57" s="359" t="s">
        <v>43</v>
      </c>
      <c r="GN57" s="359" t="s">
        <v>43</v>
      </c>
      <c r="GO57" s="359" t="s">
        <v>43</v>
      </c>
      <c r="GP57" s="359" t="s">
        <v>43</v>
      </c>
      <c r="GQ57" s="359" t="s">
        <v>43</v>
      </c>
      <c r="GR57" s="359" t="s">
        <v>43</v>
      </c>
      <c r="GS57" s="359" t="s">
        <v>43</v>
      </c>
      <c r="GT57" s="359" t="s">
        <v>43</v>
      </c>
      <c r="GU57" s="359" t="s">
        <v>43</v>
      </c>
      <c r="GV57" s="359" t="s">
        <v>43</v>
      </c>
      <c r="GW57" s="359" t="s">
        <v>43</v>
      </c>
      <c r="GX57" s="359" t="s">
        <v>43</v>
      </c>
      <c r="GY57" s="359" t="s">
        <v>43</v>
      </c>
      <c r="GZ57" s="359" t="s">
        <v>43</v>
      </c>
      <c r="HA57" s="359" t="s">
        <v>43</v>
      </c>
      <c r="HB57" s="359" t="s">
        <v>43</v>
      </c>
      <c r="HC57" s="359" t="s">
        <v>43</v>
      </c>
      <c r="HD57" s="359" t="s">
        <v>43</v>
      </c>
      <c r="HE57" s="359" t="s">
        <v>43</v>
      </c>
      <c r="HF57" s="359" t="s">
        <v>43</v>
      </c>
      <c r="HG57" s="359" t="s">
        <v>43</v>
      </c>
      <c r="HH57" s="359" t="s">
        <v>43</v>
      </c>
      <c r="HI57" s="359" t="s">
        <v>43</v>
      </c>
      <c r="HJ57" s="359" t="s">
        <v>43</v>
      </c>
      <c r="HK57" s="359" t="s">
        <v>43</v>
      </c>
      <c r="HL57" s="359" t="s">
        <v>43</v>
      </c>
      <c r="HM57" s="359" t="s">
        <v>43</v>
      </c>
      <c r="HN57" s="359" t="s">
        <v>43</v>
      </c>
      <c r="HO57" s="359" t="s">
        <v>43</v>
      </c>
      <c r="HP57" s="359" t="s">
        <v>43</v>
      </c>
      <c r="HQ57" s="359" t="s">
        <v>43</v>
      </c>
      <c r="HR57" s="359" t="s">
        <v>43</v>
      </c>
      <c r="HS57" s="359" t="s">
        <v>43</v>
      </c>
      <c r="HT57" s="359" t="s">
        <v>43</v>
      </c>
      <c r="HU57" s="359" t="s">
        <v>43</v>
      </c>
      <c r="HV57" s="359" t="s">
        <v>43</v>
      </c>
      <c r="HW57" s="359" t="s">
        <v>43</v>
      </c>
      <c r="HX57" s="359" t="s">
        <v>43</v>
      </c>
      <c r="HY57" s="359" t="s">
        <v>43</v>
      </c>
      <c r="HZ57" s="359" t="s">
        <v>43</v>
      </c>
      <c r="IA57" s="359" t="s">
        <v>43</v>
      </c>
      <c r="IB57" s="359" t="s">
        <v>43</v>
      </c>
      <c r="IC57" s="359" t="s">
        <v>43</v>
      </c>
      <c r="ID57" s="359" t="s">
        <v>43</v>
      </c>
      <c r="IE57" s="359" t="s">
        <v>43</v>
      </c>
      <c r="IF57" s="359" t="s">
        <v>43</v>
      </c>
      <c r="IG57" s="359" t="s">
        <v>43</v>
      </c>
      <c r="IH57" s="359" t="s">
        <v>43</v>
      </c>
      <c r="II57" s="359" t="s">
        <v>43</v>
      </c>
      <c r="IJ57" s="359" t="s">
        <v>43</v>
      </c>
      <c r="IK57" s="359" t="s">
        <v>43</v>
      </c>
      <c r="IL57" s="359" t="s">
        <v>43</v>
      </c>
      <c r="IM57" s="359" t="s">
        <v>43</v>
      </c>
      <c r="IN57" s="359" t="s">
        <v>43</v>
      </c>
      <c r="IO57" s="359" t="s">
        <v>43</v>
      </c>
      <c r="IP57" s="359" t="s">
        <v>43</v>
      </c>
      <c r="IQ57" s="359" t="s">
        <v>43</v>
      </c>
      <c r="IR57" s="359" t="s">
        <v>43</v>
      </c>
      <c r="IS57" s="359" t="s">
        <v>43</v>
      </c>
      <c r="IT57" s="359" t="s">
        <v>43</v>
      </c>
      <c r="IU57" s="359" t="s">
        <v>43</v>
      </c>
      <c r="IV57" s="359" t="s">
        <v>43</v>
      </c>
      <c r="IW57" s="359" t="s">
        <v>43</v>
      </c>
      <c r="IX57" s="359" t="s">
        <v>43</v>
      </c>
      <c r="IY57" s="359" t="s">
        <v>43</v>
      </c>
      <c r="IZ57" s="359" t="s">
        <v>43</v>
      </c>
      <c r="JA57" s="359" t="s">
        <v>43</v>
      </c>
      <c r="JB57" s="359" t="s">
        <v>43</v>
      </c>
      <c r="JC57" s="359" t="s">
        <v>43</v>
      </c>
      <c r="JD57" s="359" t="s">
        <v>43</v>
      </c>
      <c r="JE57" s="359" t="s">
        <v>43</v>
      </c>
      <c r="JF57" s="359" t="s">
        <v>43</v>
      </c>
      <c r="JG57" s="359" t="s">
        <v>43</v>
      </c>
      <c r="JH57" s="359" t="s">
        <v>43</v>
      </c>
      <c r="JI57" s="359" t="s">
        <v>43</v>
      </c>
      <c r="JJ57" s="359" t="s">
        <v>43</v>
      </c>
      <c r="JK57" s="359" t="s">
        <v>43</v>
      </c>
      <c r="JL57" s="359" t="s">
        <v>43</v>
      </c>
      <c r="JM57" s="359" t="s">
        <v>43</v>
      </c>
      <c r="JN57" s="359" t="s">
        <v>43</v>
      </c>
      <c r="JO57" s="359" t="s">
        <v>43</v>
      </c>
      <c r="JP57" s="359" t="s">
        <v>43</v>
      </c>
      <c r="JQ57" s="359" t="s">
        <v>43</v>
      </c>
      <c r="JR57" s="359" t="s">
        <v>43</v>
      </c>
    </row>
    <row r="58" spans="1:278" ht="17.25">
      <c r="A58" s="41" t="str">
        <f>IF(Source="Groundwater","Stratum directly above the water table","Stratum containing soil gas sample")</f>
        <v>Stratum directly above the water table</v>
      </c>
      <c r="B58" s="102"/>
      <c r="C58" s="170"/>
      <c r="D58" s="36"/>
      <c r="E58" s="36"/>
      <c r="FE58" s="623"/>
      <c r="FF58" s="623"/>
      <c r="FG58" s="623"/>
      <c r="FH58" s="623"/>
      <c r="FI58" s="623"/>
      <c r="FJ58" s="623"/>
      <c r="FK58" s="623"/>
      <c r="FL58" s="623"/>
      <c r="FM58" s="623"/>
      <c r="FN58" s="623"/>
      <c r="FO58" s="623"/>
      <c r="FP58" s="623"/>
      <c r="FQ58" s="623"/>
      <c r="FR58" s="623"/>
      <c r="FS58" s="623"/>
      <c r="FT58" s="623"/>
      <c r="FU58" s="623"/>
      <c r="FV58" s="623"/>
      <c r="FW58" s="623"/>
      <c r="FX58" s="623"/>
      <c r="FY58" s="623"/>
      <c r="FZ58" s="623"/>
      <c r="GA58" s="623"/>
      <c r="GB58" s="623"/>
      <c r="GC58" s="623"/>
      <c r="GD58" s="623"/>
      <c r="GE58" s="623"/>
      <c r="GF58" s="623"/>
      <c r="GG58" s="623"/>
      <c r="GH58" s="623"/>
      <c r="GI58" s="623"/>
      <c r="GJ58" s="623"/>
      <c r="GK58" s="623"/>
      <c r="GL58" s="623"/>
      <c r="GM58" s="623"/>
      <c r="GN58" s="623"/>
      <c r="GO58" s="623"/>
      <c r="GP58" s="623"/>
      <c r="GQ58" s="623"/>
      <c r="GR58" s="623"/>
      <c r="GS58" s="623"/>
      <c r="GT58" s="623"/>
      <c r="GU58" s="623"/>
      <c r="GV58" s="623"/>
      <c r="GW58" s="623"/>
      <c r="GX58" s="623"/>
      <c r="GY58" s="623"/>
      <c r="GZ58" s="623"/>
      <c r="HA58" s="623"/>
      <c r="HB58" s="623"/>
      <c r="HC58" s="623"/>
      <c r="HD58" s="623"/>
      <c r="HE58" s="623"/>
      <c r="HF58" s="623"/>
      <c r="HG58" s="623"/>
      <c r="HH58" s="623"/>
      <c r="HI58" s="623"/>
      <c r="HJ58" s="623"/>
      <c r="HK58" s="623"/>
      <c r="HL58" s="623"/>
      <c r="HM58" s="623"/>
      <c r="HN58" s="623"/>
      <c r="HO58" s="623"/>
      <c r="HP58" s="623"/>
      <c r="HQ58" s="623"/>
      <c r="HR58" s="623"/>
      <c r="HS58" s="623"/>
      <c r="HT58" s="623"/>
      <c r="HU58" s="623"/>
      <c r="HV58" s="623"/>
      <c r="HW58" s="623"/>
      <c r="HX58" s="623"/>
      <c r="HY58" s="623"/>
      <c r="HZ58" s="623"/>
      <c r="IA58" s="623"/>
      <c r="IB58" s="623"/>
      <c r="IC58" s="623"/>
      <c r="ID58" s="623"/>
      <c r="IE58" s="623"/>
      <c r="IF58" s="623"/>
      <c r="IG58" s="623"/>
      <c r="IH58" s="623"/>
      <c r="II58" s="623"/>
      <c r="IJ58" s="623"/>
      <c r="IK58" s="623"/>
      <c r="IL58" s="623"/>
      <c r="IM58" s="623"/>
      <c r="IN58" s="623"/>
      <c r="IO58" s="623"/>
      <c r="IP58" s="623"/>
      <c r="IQ58" s="623"/>
      <c r="IR58" s="623"/>
      <c r="IS58" s="623"/>
      <c r="IT58" s="623"/>
      <c r="IU58" s="623"/>
      <c r="IV58" s="623"/>
      <c r="IW58" s="623"/>
      <c r="IX58" s="623"/>
      <c r="IY58" s="623"/>
      <c r="IZ58" s="623"/>
      <c r="JA58" s="623"/>
      <c r="JB58" s="623"/>
      <c r="JC58" s="623"/>
      <c r="JD58" s="623"/>
      <c r="JE58" s="623"/>
      <c r="JF58" s="623"/>
      <c r="JG58" s="623"/>
      <c r="JH58" s="623"/>
      <c r="JI58" s="623"/>
      <c r="JJ58" s="623"/>
      <c r="JK58" s="623"/>
      <c r="JL58" s="623"/>
      <c r="JM58" s="623"/>
      <c r="JN58" s="623"/>
      <c r="JO58" s="623"/>
      <c r="JP58" s="623"/>
      <c r="JQ58" s="623"/>
      <c r="JR58" s="623"/>
    </row>
    <row r="59" spans="1:278" ht="27">
      <c r="A59" s="41"/>
      <c r="B59" s="100"/>
      <c r="C59" s="170" t="s">
        <v>321</v>
      </c>
      <c r="D59" s="26"/>
      <c r="E59" s="26" t="s">
        <v>297</v>
      </c>
      <c r="FE59" s="624" t="s">
        <v>5</v>
      </c>
      <c r="FF59" s="624" t="s">
        <v>5</v>
      </c>
      <c r="FG59" s="624" t="s">
        <v>5</v>
      </c>
      <c r="FH59" s="624" t="s">
        <v>5</v>
      </c>
      <c r="FI59" s="624" t="s">
        <v>5</v>
      </c>
      <c r="FJ59" s="624" t="s">
        <v>5</v>
      </c>
      <c r="FK59" s="624" t="s">
        <v>5</v>
      </c>
      <c r="FL59" s="624" t="s">
        <v>5</v>
      </c>
      <c r="FM59" s="624" t="s">
        <v>5</v>
      </c>
      <c r="FN59" s="624" t="s">
        <v>5</v>
      </c>
      <c r="FO59" s="624" t="s">
        <v>5</v>
      </c>
      <c r="FP59" s="624" t="s">
        <v>5</v>
      </c>
      <c r="FQ59" s="624" t="s">
        <v>5</v>
      </c>
      <c r="FR59" s="624" t="s">
        <v>5</v>
      </c>
      <c r="FS59" s="624" t="s">
        <v>5</v>
      </c>
      <c r="FT59" s="624" t="s">
        <v>5</v>
      </c>
      <c r="FU59" s="624" t="s">
        <v>5</v>
      </c>
      <c r="FV59" s="624" t="s">
        <v>5</v>
      </c>
      <c r="FW59" s="624" t="s">
        <v>5</v>
      </c>
      <c r="FX59" s="624" t="s">
        <v>5</v>
      </c>
      <c r="FY59" s="624" t="s">
        <v>5</v>
      </c>
      <c r="FZ59" s="624" t="s">
        <v>5</v>
      </c>
      <c r="GA59" s="624" t="s">
        <v>5</v>
      </c>
      <c r="GB59" s="624" t="s">
        <v>5</v>
      </c>
      <c r="GC59" s="624" t="s">
        <v>5</v>
      </c>
      <c r="GD59" s="624" t="s">
        <v>5</v>
      </c>
      <c r="GE59" s="624" t="s">
        <v>5</v>
      </c>
      <c r="GF59" s="624" t="s">
        <v>5</v>
      </c>
      <c r="GG59" s="624" t="s">
        <v>5</v>
      </c>
      <c r="GH59" s="624" t="s">
        <v>5</v>
      </c>
      <c r="GI59" s="624" t="s">
        <v>5</v>
      </c>
      <c r="GJ59" s="624" t="s">
        <v>5</v>
      </c>
      <c r="GK59" s="624" t="s">
        <v>5</v>
      </c>
      <c r="GL59" s="624" t="s">
        <v>5</v>
      </c>
      <c r="GM59" s="624" t="s">
        <v>5</v>
      </c>
      <c r="GN59" s="624" t="s">
        <v>5</v>
      </c>
      <c r="GO59" s="624" t="s">
        <v>5</v>
      </c>
      <c r="GP59" s="624" t="s">
        <v>5</v>
      </c>
      <c r="GQ59" s="624" t="s">
        <v>5</v>
      </c>
      <c r="GR59" s="624" t="s">
        <v>5</v>
      </c>
      <c r="GS59" s="624" t="s">
        <v>5</v>
      </c>
      <c r="GT59" s="624" t="s">
        <v>5</v>
      </c>
      <c r="GU59" s="624" t="s">
        <v>5</v>
      </c>
      <c r="GV59" s="624" t="s">
        <v>5</v>
      </c>
      <c r="GW59" s="624" t="s">
        <v>5</v>
      </c>
      <c r="GX59" s="624" t="s">
        <v>5</v>
      </c>
      <c r="GY59" s="624" t="s">
        <v>5</v>
      </c>
      <c r="GZ59" s="624" t="s">
        <v>5</v>
      </c>
      <c r="HA59" s="624" t="s">
        <v>5</v>
      </c>
      <c r="HB59" s="624" t="s">
        <v>5</v>
      </c>
      <c r="HC59" s="624" t="s">
        <v>5</v>
      </c>
      <c r="HD59" s="624" t="s">
        <v>5</v>
      </c>
      <c r="HE59" s="624" t="s">
        <v>5</v>
      </c>
      <c r="HF59" s="624" t="s">
        <v>5</v>
      </c>
      <c r="HG59" s="624" t="s">
        <v>5</v>
      </c>
      <c r="HH59" s="624" t="s">
        <v>5</v>
      </c>
      <c r="HI59" s="624" t="s">
        <v>5</v>
      </c>
      <c r="HJ59" s="624" t="s">
        <v>5</v>
      </c>
      <c r="HK59" s="624" t="s">
        <v>5</v>
      </c>
      <c r="HL59" s="624" t="s">
        <v>5</v>
      </c>
      <c r="HM59" s="624" t="s">
        <v>5</v>
      </c>
      <c r="HN59" s="624" t="s">
        <v>5</v>
      </c>
      <c r="HO59" s="624" t="s">
        <v>5</v>
      </c>
      <c r="HP59" s="624" t="s">
        <v>5</v>
      </c>
      <c r="HQ59" s="624" t="s">
        <v>5</v>
      </c>
      <c r="HR59" s="624" t="s">
        <v>5</v>
      </c>
      <c r="HS59" s="624" t="s">
        <v>5</v>
      </c>
      <c r="HT59" s="624" t="s">
        <v>5</v>
      </c>
      <c r="HU59" s="624" t="s">
        <v>5</v>
      </c>
      <c r="HV59" s="624" t="s">
        <v>5</v>
      </c>
      <c r="HW59" s="624" t="s">
        <v>5</v>
      </c>
      <c r="HX59" s="624" t="s">
        <v>5</v>
      </c>
      <c r="HY59" s="624" t="s">
        <v>5</v>
      </c>
      <c r="HZ59" s="624" t="s">
        <v>5</v>
      </c>
      <c r="IA59" s="624" t="s">
        <v>5</v>
      </c>
      <c r="IB59" s="624" t="s">
        <v>5</v>
      </c>
      <c r="IC59" s="624" t="s">
        <v>5</v>
      </c>
      <c r="ID59" s="624" t="s">
        <v>5</v>
      </c>
      <c r="IE59" s="624" t="s">
        <v>5</v>
      </c>
      <c r="IF59" s="624" t="s">
        <v>5</v>
      </c>
      <c r="IG59" s="624" t="s">
        <v>5</v>
      </c>
      <c r="IH59" s="624" t="s">
        <v>5</v>
      </c>
      <c r="II59" s="624" t="s">
        <v>5</v>
      </c>
      <c r="IJ59" s="624" t="s">
        <v>5</v>
      </c>
      <c r="IK59" s="624" t="s">
        <v>5</v>
      </c>
      <c r="IL59" s="624" t="s">
        <v>5</v>
      </c>
      <c r="IM59" s="624" t="s">
        <v>5</v>
      </c>
      <c r="IN59" s="624" t="s">
        <v>5</v>
      </c>
      <c r="IO59" s="624" t="s">
        <v>5</v>
      </c>
      <c r="IP59" s="624" t="s">
        <v>5</v>
      </c>
      <c r="IQ59" s="624" t="s">
        <v>5</v>
      </c>
      <c r="IR59" s="624" t="s">
        <v>5</v>
      </c>
      <c r="IS59" s="624" t="s">
        <v>5</v>
      </c>
      <c r="IT59" s="624" t="s">
        <v>5</v>
      </c>
      <c r="IU59" s="624" t="s">
        <v>5</v>
      </c>
      <c r="IV59" s="624" t="s">
        <v>5</v>
      </c>
      <c r="IW59" s="624" t="s">
        <v>5</v>
      </c>
      <c r="IX59" s="624" t="s">
        <v>5</v>
      </c>
      <c r="IY59" s="624" t="s">
        <v>5</v>
      </c>
      <c r="IZ59" s="624" t="s">
        <v>5</v>
      </c>
      <c r="JA59" s="624" t="s">
        <v>5</v>
      </c>
      <c r="JB59" s="624" t="s">
        <v>5</v>
      </c>
      <c r="JC59" s="624" t="s">
        <v>5</v>
      </c>
      <c r="JD59" s="624" t="s">
        <v>5</v>
      </c>
      <c r="JE59" s="624" t="s">
        <v>5</v>
      </c>
      <c r="JF59" s="624" t="s">
        <v>5</v>
      </c>
      <c r="JG59" s="624" t="s">
        <v>5</v>
      </c>
      <c r="JH59" s="624" t="s">
        <v>5</v>
      </c>
      <c r="JI59" s="624" t="s">
        <v>5</v>
      </c>
      <c r="JJ59" s="624" t="s">
        <v>5</v>
      </c>
      <c r="JK59" s="624" t="s">
        <v>5</v>
      </c>
      <c r="JL59" s="624" t="s">
        <v>5</v>
      </c>
      <c r="JM59" s="624" t="s">
        <v>5</v>
      </c>
      <c r="JN59" s="624" t="s">
        <v>5</v>
      </c>
      <c r="JO59" s="624" t="s">
        <v>5</v>
      </c>
      <c r="JP59" s="624" t="s">
        <v>5</v>
      </c>
      <c r="JQ59" s="624" t="s">
        <v>5</v>
      </c>
      <c r="JR59" s="624" t="s">
        <v>5</v>
      </c>
    </row>
    <row r="60" spans="1:278" ht="13.5">
      <c r="A60" s="45"/>
      <c r="B60" s="580"/>
      <c r="C60" s="170" t="str">
        <f>IF(Source="Groundwater","Height of capillary fringe","")</f>
        <v>Height of capillary fringe</v>
      </c>
      <c r="D60" s="26" t="str">
        <f>IF(Source="Groundwater","(m)","")</f>
        <v>(m)</v>
      </c>
      <c r="E60" s="26" t="str">
        <f>IF(Source="Groundwater","hcz","")</f>
        <v>hcz</v>
      </c>
      <c r="FE60" s="624">
        <v>0.17045454545454544</v>
      </c>
      <c r="FF60" s="624">
        <v>0.17045454545454544</v>
      </c>
      <c r="FG60" s="624">
        <v>0.17045454545454544</v>
      </c>
      <c r="FH60" s="624">
        <v>0.17045454545454544</v>
      </c>
      <c r="FI60" s="624">
        <v>0.17045454545454544</v>
      </c>
      <c r="FJ60" s="624">
        <v>0.17045454545454544</v>
      </c>
      <c r="FK60" s="624">
        <v>0.17045454545454544</v>
      </c>
      <c r="FL60" s="624">
        <v>0.17045454545454544</v>
      </c>
      <c r="FM60" s="624">
        <v>0.17045454545454544</v>
      </c>
      <c r="FN60" s="624">
        <v>0.17045454545454544</v>
      </c>
      <c r="FO60" s="624">
        <v>0.17045454545454544</v>
      </c>
      <c r="FP60" s="624">
        <v>0.17045454545454544</v>
      </c>
      <c r="FQ60" s="624">
        <v>0.17045454545454544</v>
      </c>
      <c r="FR60" s="624">
        <v>0.17045454545454544</v>
      </c>
      <c r="FS60" s="624">
        <v>0.17045454545454544</v>
      </c>
      <c r="FT60" s="624">
        <v>0.17045454545454544</v>
      </c>
      <c r="FU60" s="624">
        <v>0.17045454545454544</v>
      </c>
      <c r="FV60" s="624">
        <v>0.17045454545454544</v>
      </c>
      <c r="FW60" s="624">
        <v>0.17045454545454544</v>
      </c>
      <c r="FX60" s="624">
        <v>0.17045454545454544</v>
      </c>
      <c r="FY60" s="624">
        <v>0.17045454545454544</v>
      </c>
      <c r="FZ60" s="624">
        <v>0.17045454545454544</v>
      </c>
      <c r="GA60" s="624">
        <v>0.17045454545454544</v>
      </c>
      <c r="GB60" s="624">
        <v>0.17045454545454544</v>
      </c>
      <c r="GC60" s="624">
        <v>0.17045454545454544</v>
      </c>
      <c r="GD60" s="624">
        <v>0.17045454545454544</v>
      </c>
      <c r="GE60" s="624">
        <v>0.17045454545454544</v>
      </c>
      <c r="GF60" s="624">
        <v>0.17045454545454544</v>
      </c>
      <c r="GG60" s="624">
        <v>0.17045454545454544</v>
      </c>
      <c r="GH60" s="624">
        <v>0.17045454545454544</v>
      </c>
      <c r="GI60" s="624">
        <v>0.17045454545454544</v>
      </c>
      <c r="GJ60" s="624">
        <v>0.17045454545454544</v>
      </c>
      <c r="GK60" s="624">
        <v>0.17045454545454544</v>
      </c>
      <c r="GL60" s="624">
        <v>0.17045454545454544</v>
      </c>
      <c r="GM60" s="624">
        <v>0.17045454545454544</v>
      </c>
      <c r="GN60" s="624">
        <v>0.17045454545454544</v>
      </c>
      <c r="GO60" s="624">
        <v>0.17045454545454544</v>
      </c>
      <c r="GP60" s="624">
        <v>0.17045454545454544</v>
      </c>
      <c r="GQ60" s="624">
        <v>0.17045454545454544</v>
      </c>
      <c r="GR60" s="624">
        <v>0.17045454545454544</v>
      </c>
      <c r="GS60" s="624">
        <v>0.17045454545454544</v>
      </c>
      <c r="GT60" s="624">
        <v>0.17045454545454544</v>
      </c>
      <c r="GU60" s="624">
        <v>0.17045454545454544</v>
      </c>
      <c r="GV60" s="624">
        <v>0.17045454545454544</v>
      </c>
      <c r="GW60" s="624">
        <v>0.17045454545454544</v>
      </c>
      <c r="GX60" s="624">
        <v>0.17045454545454544</v>
      </c>
      <c r="GY60" s="624">
        <v>0.17045454545454544</v>
      </c>
      <c r="GZ60" s="624">
        <v>0.17045454545454544</v>
      </c>
      <c r="HA60" s="624">
        <v>0.17045454545454544</v>
      </c>
      <c r="HB60" s="624">
        <v>0.17045454545454544</v>
      </c>
      <c r="HC60" s="624">
        <v>0.17045454545454544</v>
      </c>
      <c r="HD60" s="624">
        <v>0.17045454545454544</v>
      </c>
      <c r="HE60" s="624">
        <v>0.17045454545454544</v>
      </c>
      <c r="HF60" s="624">
        <v>0.17045454545454544</v>
      </c>
      <c r="HG60" s="624">
        <v>0.17045454545454544</v>
      </c>
      <c r="HH60" s="624">
        <v>0.17045454545454544</v>
      </c>
      <c r="HI60" s="624">
        <v>0.17045454545454544</v>
      </c>
      <c r="HJ60" s="624">
        <v>0.17045454545454544</v>
      </c>
      <c r="HK60" s="624">
        <v>0.17045454545454544</v>
      </c>
      <c r="HL60" s="624">
        <v>0.17045454545454544</v>
      </c>
      <c r="HM60" s="624">
        <v>0.17045454545454544</v>
      </c>
      <c r="HN60" s="624">
        <v>0.17045454545454544</v>
      </c>
      <c r="HO60" s="624">
        <v>0.17045454545454544</v>
      </c>
      <c r="HP60" s="624">
        <v>0.17045454545454544</v>
      </c>
      <c r="HQ60" s="624">
        <v>0.17045454545454544</v>
      </c>
      <c r="HR60" s="624">
        <v>0.17045454545454544</v>
      </c>
      <c r="HS60" s="624">
        <v>0.17045454545454544</v>
      </c>
      <c r="HT60" s="624">
        <v>0.17045454545454544</v>
      </c>
      <c r="HU60" s="624">
        <v>0.17045454545454544</v>
      </c>
      <c r="HV60" s="624">
        <v>0.17045454545454544</v>
      </c>
      <c r="HW60" s="624">
        <v>0.17045454545454544</v>
      </c>
      <c r="HX60" s="624">
        <v>0.17045454545454544</v>
      </c>
      <c r="HY60" s="624">
        <v>0.17045454545454544</v>
      </c>
      <c r="HZ60" s="624">
        <v>0.17045454545454544</v>
      </c>
      <c r="IA60" s="624">
        <v>0.17045454545454544</v>
      </c>
      <c r="IB60" s="624">
        <v>0.17045454545454544</v>
      </c>
      <c r="IC60" s="624">
        <v>0.17045454545454544</v>
      </c>
      <c r="ID60" s="624">
        <v>0.17045454545454544</v>
      </c>
      <c r="IE60" s="624">
        <v>0.17045454545454544</v>
      </c>
      <c r="IF60" s="624">
        <v>0.17045454545454544</v>
      </c>
      <c r="IG60" s="624">
        <v>0.17045454545454544</v>
      </c>
      <c r="IH60" s="624">
        <v>0.17045454545454544</v>
      </c>
      <c r="II60" s="624">
        <v>0.17045454545454544</v>
      </c>
      <c r="IJ60" s="624">
        <v>0.17045454545454544</v>
      </c>
      <c r="IK60" s="624">
        <v>0.17045454545454544</v>
      </c>
      <c r="IL60" s="624">
        <v>0.17045454545454544</v>
      </c>
      <c r="IM60" s="624">
        <v>0.17045454545454544</v>
      </c>
      <c r="IN60" s="624">
        <v>0.17045454545454544</v>
      </c>
      <c r="IO60" s="624">
        <v>0.17045454545454544</v>
      </c>
      <c r="IP60" s="624">
        <v>0.17045454545454544</v>
      </c>
      <c r="IQ60" s="624">
        <v>0.17045454545454544</v>
      </c>
      <c r="IR60" s="624">
        <v>0.17045454545454544</v>
      </c>
      <c r="IS60" s="624">
        <v>0.17045454545454544</v>
      </c>
      <c r="IT60" s="624">
        <v>0.17045454545454544</v>
      </c>
      <c r="IU60" s="624">
        <v>0.17045454545454544</v>
      </c>
      <c r="IV60" s="624">
        <v>0.17045454545454544</v>
      </c>
      <c r="IW60" s="624">
        <v>0.17045454545454544</v>
      </c>
      <c r="IX60" s="624">
        <v>0.17045454545454544</v>
      </c>
      <c r="IY60" s="624">
        <v>0.17045454545454544</v>
      </c>
      <c r="IZ60" s="624">
        <v>0.17045454545454544</v>
      </c>
      <c r="JA60" s="624">
        <v>0.17045454545454544</v>
      </c>
      <c r="JB60" s="624">
        <v>0.17045454545454544</v>
      </c>
      <c r="JC60" s="624">
        <v>0.17045454545454544</v>
      </c>
      <c r="JD60" s="624">
        <v>0.17045454545454544</v>
      </c>
      <c r="JE60" s="624">
        <v>0.17045454545454544</v>
      </c>
      <c r="JF60" s="624">
        <v>0.17045454545454544</v>
      </c>
      <c r="JG60" s="624">
        <v>0.17045454545454544</v>
      </c>
      <c r="JH60" s="624">
        <v>0.17045454545454544</v>
      </c>
      <c r="JI60" s="624">
        <v>0.17045454545454544</v>
      </c>
      <c r="JJ60" s="624">
        <v>0.17045454545454544</v>
      </c>
      <c r="JK60" s="624">
        <v>0.17045454545454544</v>
      </c>
      <c r="JL60" s="624">
        <v>0.17045454545454544</v>
      </c>
      <c r="JM60" s="624">
        <v>0.17045454545454544</v>
      </c>
      <c r="JN60" s="624">
        <v>0.17045454545454544</v>
      </c>
      <c r="JO60" s="624">
        <v>0.17045454545454544</v>
      </c>
      <c r="JP60" s="624">
        <v>0.17045454545454544</v>
      </c>
      <c r="JQ60" s="624">
        <v>0.17045454545454544</v>
      </c>
      <c r="JR60" s="624">
        <v>0.17045454545454544</v>
      </c>
    </row>
    <row r="61" spans="1:278" ht="13.5">
      <c r="A61" s="45"/>
      <c r="B61" s="580"/>
      <c r="C61" s="170" t="str">
        <f>IF(Source="Groundwater","Capillary zone total porosity","")</f>
        <v>Capillary zone total porosity</v>
      </c>
      <c r="D61" s="26" t="str">
        <f>IF(Source="Groundwater","(-)","")</f>
        <v>(-)</v>
      </c>
      <c r="E61" s="26" t="str">
        <f>IF(Source="Groundwater","ncz","")</f>
        <v>ncz</v>
      </c>
      <c r="FE61" s="624">
        <v>0.375</v>
      </c>
      <c r="FF61" s="624">
        <v>0.375</v>
      </c>
      <c r="FG61" s="624">
        <v>0.375</v>
      </c>
      <c r="FH61" s="624">
        <v>0.375</v>
      </c>
      <c r="FI61" s="624">
        <v>0.375</v>
      </c>
      <c r="FJ61" s="624">
        <v>0.375</v>
      </c>
      <c r="FK61" s="624">
        <v>0.375</v>
      </c>
      <c r="FL61" s="624">
        <v>0.375</v>
      </c>
      <c r="FM61" s="624">
        <v>0.375</v>
      </c>
      <c r="FN61" s="624">
        <v>0.375</v>
      </c>
      <c r="FO61" s="624">
        <v>0.375</v>
      </c>
      <c r="FP61" s="624">
        <v>0.375</v>
      </c>
      <c r="FQ61" s="624">
        <v>0.375</v>
      </c>
      <c r="FR61" s="624">
        <v>0.375</v>
      </c>
      <c r="FS61" s="624">
        <v>0.375</v>
      </c>
      <c r="FT61" s="624">
        <v>0.375</v>
      </c>
      <c r="FU61" s="624">
        <v>0.375</v>
      </c>
      <c r="FV61" s="624">
        <v>0.375</v>
      </c>
      <c r="FW61" s="624">
        <v>0.375</v>
      </c>
      <c r="FX61" s="624">
        <v>0.375</v>
      </c>
      <c r="FY61" s="624">
        <v>0.375</v>
      </c>
      <c r="FZ61" s="624">
        <v>0.375</v>
      </c>
      <c r="GA61" s="624">
        <v>0.375</v>
      </c>
      <c r="GB61" s="624">
        <v>0.375</v>
      </c>
      <c r="GC61" s="624">
        <v>0.375</v>
      </c>
      <c r="GD61" s="624">
        <v>0.375</v>
      </c>
      <c r="GE61" s="624">
        <v>0.375</v>
      </c>
      <c r="GF61" s="624">
        <v>0.375</v>
      </c>
      <c r="GG61" s="624">
        <v>0.375</v>
      </c>
      <c r="GH61" s="624">
        <v>0.375</v>
      </c>
      <c r="GI61" s="624">
        <v>0.375</v>
      </c>
      <c r="GJ61" s="624">
        <v>0.375</v>
      </c>
      <c r="GK61" s="624">
        <v>0.375</v>
      </c>
      <c r="GL61" s="624">
        <v>0.375</v>
      </c>
      <c r="GM61" s="624">
        <v>0.375</v>
      </c>
      <c r="GN61" s="624">
        <v>0.375</v>
      </c>
      <c r="GO61" s="624">
        <v>0.375</v>
      </c>
      <c r="GP61" s="624">
        <v>0.375</v>
      </c>
      <c r="GQ61" s="624">
        <v>0.375</v>
      </c>
      <c r="GR61" s="624">
        <v>0.375</v>
      </c>
      <c r="GS61" s="624">
        <v>0.375</v>
      </c>
      <c r="GT61" s="624">
        <v>0.375</v>
      </c>
      <c r="GU61" s="624">
        <v>0.375</v>
      </c>
      <c r="GV61" s="624">
        <v>0.375</v>
      </c>
      <c r="GW61" s="624">
        <v>0.375</v>
      </c>
      <c r="GX61" s="624">
        <v>0.375</v>
      </c>
      <c r="GY61" s="624">
        <v>0.375</v>
      </c>
      <c r="GZ61" s="624">
        <v>0.375</v>
      </c>
      <c r="HA61" s="624">
        <v>0.375</v>
      </c>
      <c r="HB61" s="624">
        <v>0.375</v>
      </c>
      <c r="HC61" s="624">
        <v>0.375</v>
      </c>
      <c r="HD61" s="624">
        <v>0.375</v>
      </c>
      <c r="HE61" s="624">
        <v>0.375</v>
      </c>
      <c r="HF61" s="624">
        <v>0.375</v>
      </c>
      <c r="HG61" s="624">
        <v>0.375</v>
      </c>
      <c r="HH61" s="624">
        <v>0.375</v>
      </c>
      <c r="HI61" s="624">
        <v>0.375</v>
      </c>
      <c r="HJ61" s="624">
        <v>0.375</v>
      </c>
      <c r="HK61" s="624">
        <v>0.375</v>
      </c>
      <c r="HL61" s="624">
        <v>0.375</v>
      </c>
      <c r="HM61" s="624">
        <v>0.375</v>
      </c>
      <c r="HN61" s="624">
        <v>0.375</v>
      </c>
      <c r="HO61" s="624">
        <v>0.375</v>
      </c>
      <c r="HP61" s="624">
        <v>0.375</v>
      </c>
      <c r="HQ61" s="624">
        <v>0.375</v>
      </c>
      <c r="HR61" s="624">
        <v>0.375</v>
      </c>
      <c r="HS61" s="624">
        <v>0.375</v>
      </c>
      <c r="HT61" s="624">
        <v>0.375</v>
      </c>
      <c r="HU61" s="624">
        <v>0.375</v>
      </c>
      <c r="HV61" s="624">
        <v>0.375</v>
      </c>
      <c r="HW61" s="624">
        <v>0.375</v>
      </c>
      <c r="HX61" s="624">
        <v>0.375</v>
      </c>
      <c r="HY61" s="624">
        <v>0.375</v>
      </c>
      <c r="HZ61" s="624">
        <v>0.375</v>
      </c>
      <c r="IA61" s="624">
        <v>0.375</v>
      </c>
      <c r="IB61" s="624">
        <v>0.375</v>
      </c>
      <c r="IC61" s="624">
        <v>0.375</v>
      </c>
      <c r="ID61" s="624">
        <v>0.375</v>
      </c>
      <c r="IE61" s="624">
        <v>0.375</v>
      </c>
      <c r="IF61" s="624">
        <v>0.375</v>
      </c>
      <c r="IG61" s="624">
        <v>0.375</v>
      </c>
      <c r="IH61" s="624">
        <v>0.375</v>
      </c>
      <c r="II61" s="624">
        <v>0.375</v>
      </c>
      <c r="IJ61" s="624">
        <v>0.375</v>
      </c>
      <c r="IK61" s="624">
        <v>0.375</v>
      </c>
      <c r="IL61" s="624">
        <v>0.375</v>
      </c>
      <c r="IM61" s="624">
        <v>0.375</v>
      </c>
      <c r="IN61" s="624">
        <v>0.375</v>
      </c>
      <c r="IO61" s="624">
        <v>0.375</v>
      </c>
      <c r="IP61" s="624">
        <v>0.375</v>
      </c>
      <c r="IQ61" s="624">
        <v>0.375</v>
      </c>
      <c r="IR61" s="624">
        <v>0.375</v>
      </c>
      <c r="IS61" s="624">
        <v>0.375</v>
      </c>
      <c r="IT61" s="624">
        <v>0.375</v>
      </c>
      <c r="IU61" s="624">
        <v>0.375</v>
      </c>
      <c r="IV61" s="624">
        <v>0.375</v>
      </c>
      <c r="IW61" s="624">
        <v>0.375</v>
      </c>
      <c r="IX61" s="624">
        <v>0.375</v>
      </c>
      <c r="IY61" s="624">
        <v>0.375</v>
      </c>
      <c r="IZ61" s="624">
        <v>0.375</v>
      </c>
      <c r="JA61" s="624">
        <v>0.375</v>
      </c>
      <c r="JB61" s="624">
        <v>0.375</v>
      </c>
      <c r="JC61" s="624">
        <v>0.375</v>
      </c>
      <c r="JD61" s="624">
        <v>0.375</v>
      </c>
      <c r="JE61" s="624">
        <v>0.375</v>
      </c>
      <c r="JF61" s="624">
        <v>0.375</v>
      </c>
      <c r="JG61" s="624">
        <v>0.375</v>
      </c>
      <c r="JH61" s="624">
        <v>0.375</v>
      </c>
      <c r="JI61" s="624">
        <v>0.375</v>
      </c>
      <c r="JJ61" s="624">
        <v>0.375</v>
      </c>
      <c r="JK61" s="624">
        <v>0.375</v>
      </c>
      <c r="JL61" s="624">
        <v>0.375</v>
      </c>
      <c r="JM61" s="624">
        <v>0.375</v>
      </c>
      <c r="JN61" s="624">
        <v>0.375</v>
      </c>
      <c r="JO61" s="624">
        <v>0.375</v>
      </c>
      <c r="JP61" s="624">
        <v>0.375</v>
      </c>
      <c r="JQ61" s="624">
        <v>0.375</v>
      </c>
      <c r="JR61" s="624">
        <v>0.375</v>
      </c>
    </row>
    <row r="62" spans="1:278" ht="13.5">
      <c r="A62" s="73"/>
      <c r="B62" s="89"/>
      <c r="C62" s="90" t="str">
        <f>IF(Source="Groundwater","Capillary zone water filled porosity","")</f>
        <v>Capillary zone water filled porosity</v>
      </c>
      <c r="D62" s="76" t="str">
        <f>IF(Source="Groundwater","(-)","")</f>
        <v>(-)</v>
      </c>
      <c r="E62" s="76" t="str">
        <f>IF(Source="Groundwater","nwcz","")</f>
        <v>nwcz</v>
      </c>
      <c r="FE62" s="625">
        <v>0.25325811258744746</v>
      </c>
      <c r="FF62" s="625">
        <v>0.25325811258744746</v>
      </c>
      <c r="FG62" s="625">
        <v>0.25325811258744746</v>
      </c>
      <c r="FH62" s="625">
        <v>0.25325811258744746</v>
      </c>
      <c r="FI62" s="625">
        <v>0.25325811258744746</v>
      </c>
      <c r="FJ62" s="625">
        <v>0.25325811258744746</v>
      </c>
      <c r="FK62" s="625">
        <v>0.25325811258744746</v>
      </c>
      <c r="FL62" s="625">
        <v>0.25325811258744746</v>
      </c>
      <c r="FM62" s="625">
        <v>0.25325811258744746</v>
      </c>
      <c r="FN62" s="625">
        <v>0.25325811258744746</v>
      </c>
      <c r="FO62" s="625">
        <v>0.25325811258744746</v>
      </c>
      <c r="FP62" s="625">
        <v>0.25325811258744746</v>
      </c>
      <c r="FQ62" s="625">
        <v>0.25325811258744746</v>
      </c>
      <c r="FR62" s="625">
        <v>0.25325811258744746</v>
      </c>
      <c r="FS62" s="625">
        <v>0.25325811258744746</v>
      </c>
      <c r="FT62" s="625">
        <v>0.25325811258744746</v>
      </c>
      <c r="FU62" s="625">
        <v>0.25325811258744746</v>
      </c>
      <c r="FV62" s="625">
        <v>0.25325811258744746</v>
      </c>
      <c r="FW62" s="625">
        <v>0.25325811258744746</v>
      </c>
      <c r="FX62" s="625">
        <v>0.25325811258744746</v>
      </c>
      <c r="FY62" s="625">
        <v>0.25325811258744746</v>
      </c>
      <c r="FZ62" s="625">
        <v>0.25325811258744746</v>
      </c>
      <c r="GA62" s="625">
        <v>0.25325811258744746</v>
      </c>
      <c r="GB62" s="625">
        <v>0.25325811258744746</v>
      </c>
      <c r="GC62" s="625">
        <v>0.25325811258744746</v>
      </c>
      <c r="GD62" s="625">
        <v>0.25325811258744746</v>
      </c>
      <c r="GE62" s="625">
        <v>0.25325811258744746</v>
      </c>
      <c r="GF62" s="625">
        <v>0.25325811258744746</v>
      </c>
      <c r="GG62" s="625">
        <v>0.25325811258744746</v>
      </c>
      <c r="GH62" s="625">
        <v>0.25325811258744746</v>
      </c>
      <c r="GI62" s="625">
        <v>0.25325811258744746</v>
      </c>
      <c r="GJ62" s="625">
        <v>0.25325811258744746</v>
      </c>
      <c r="GK62" s="625">
        <v>0.25325811258744746</v>
      </c>
      <c r="GL62" s="625">
        <v>0.25325811258744746</v>
      </c>
      <c r="GM62" s="625">
        <v>0.25325811258744746</v>
      </c>
      <c r="GN62" s="625">
        <v>0.25325811258744746</v>
      </c>
      <c r="GO62" s="625">
        <v>0.25325811258744746</v>
      </c>
      <c r="GP62" s="625">
        <v>0.25325811258744746</v>
      </c>
      <c r="GQ62" s="625">
        <v>0.25325811258744746</v>
      </c>
      <c r="GR62" s="625">
        <v>0.25325811258744746</v>
      </c>
      <c r="GS62" s="625">
        <v>0.25325811258744746</v>
      </c>
      <c r="GT62" s="625">
        <v>0.25325811258744746</v>
      </c>
      <c r="GU62" s="625">
        <v>0.25325811258744746</v>
      </c>
      <c r="GV62" s="625">
        <v>0.25325811258744746</v>
      </c>
      <c r="GW62" s="625">
        <v>0.25325811258744746</v>
      </c>
      <c r="GX62" s="625">
        <v>0.25325811258744746</v>
      </c>
      <c r="GY62" s="625">
        <v>0.25325811258744746</v>
      </c>
      <c r="GZ62" s="625">
        <v>0.25325811258744746</v>
      </c>
      <c r="HA62" s="625">
        <v>0.25325811258744746</v>
      </c>
      <c r="HB62" s="625">
        <v>0.25325811258744746</v>
      </c>
      <c r="HC62" s="625">
        <v>0.25325811258744746</v>
      </c>
      <c r="HD62" s="625">
        <v>0.25325811258744746</v>
      </c>
      <c r="HE62" s="625">
        <v>0.25325811258744746</v>
      </c>
      <c r="HF62" s="625">
        <v>0.25325811258744746</v>
      </c>
      <c r="HG62" s="625">
        <v>0.25325811258744746</v>
      </c>
      <c r="HH62" s="625">
        <v>0.25325811258744746</v>
      </c>
      <c r="HI62" s="625">
        <v>0.25325811258744746</v>
      </c>
      <c r="HJ62" s="625">
        <v>0.25325811258744746</v>
      </c>
      <c r="HK62" s="625">
        <v>0.25325811258744746</v>
      </c>
      <c r="HL62" s="625">
        <v>0.25325811258744746</v>
      </c>
      <c r="HM62" s="625">
        <v>0.25325811258744746</v>
      </c>
      <c r="HN62" s="625">
        <v>0.25325811258744746</v>
      </c>
      <c r="HO62" s="625">
        <v>0.25325811258744746</v>
      </c>
      <c r="HP62" s="625">
        <v>0.25325811258744746</v>
      </c>
      <c r="HQ62" s="625">
        <v>0.25325811258744746</v>
      </c>
      <c r="HR62" s="625">
        <v>0.25325811258744746</v>
      </c>
      <c r="HS62" s="625">
        <v>0.25325811258744746</v>
      </c>
      <c r="HT62" s="625">
        <v>0.25325811258744746</v>
      </c>
      <c r="HU62" s="625">
        <v>0.25325811258744746</v>
      </c>
      <c r="HV62" s="625">
        <v>0.25325811258744746</v>
      </c>
      <c r="HW62" s="625">
        <v>0.25325811258744746</v>
      </c>
      <c r="HX62" s="625">
        <v>0.25325811258744746</v>
      </c>
      <c r="HY62" s="625">
        <v>0.25325811258744746</v>
      </c>
      <c r="HZ62" s="625">
        <v>0.25325811258744746</v>
      </c>
      <c r="IA62" s="625">
        <v>0.25325811258744746</v>
      </c>
      <c r="IB62" s="625">
        <v>0.25325811258744746</v>
      </c>
      <c r="IC62" s="625">
        <v>0.25325811258744746</v>
      </c>
      <c r="ID62" s="625">
        <v>0.25325811258744746</v>
      </c>
      <c r="IE62" s="625">
        <v>0.25325811258744746</v>
      </c>
      <c r="IF62" s="625">
        <v>0.25325811258744746</v>
      </c>
      <c r="IG62" s="625">
        <v>0.25325811258744746</v>
      </c>
      <c r="IH62" s="625">
        <v>0.25325811258744746</v>
      </c>
      <c r="II62" s="625">
        <v>0.25325811258744746</v>
      </c>
      <c r="IJ62" s="625">
        <v>0.25325811258744746</v>
      </c>
      <c r="IK62" s="625">
        <v>0.25325811258744746</v>
      </c>
      <c r="IL62" s="625">
        <v>0.25325811258744746</v>
      </c>
      <c r="IM62" s="625">
        <v>0.25325811258744746</v>
      </c>
      <c r="IN62" s="625">
        <v>0.25325811258744746</v>
      </c>
      <c r="IO62" s="625">
        <v>0.25325811258744746</v>
      </c>
      <c r="IP62" s="625">
        <v>0.25325811258744746</v>
      </c>
      <c r="IQ62" s="625">
        <v>0.25325811258744746</v>
      </c>
      <c r="IR62" s="625">
        <v>0.25325811258744746</v>
      </c>
      <c r="IS62" s="625">
        <v>0.25325811258744746</v>
      </c>
      <c r="IT62" s="625">
        <v>0.25325811258744746</v>
      </c>
      <c r="IU62" s="625">
        <v>0.25325811258744746</v>
      </c>
      <c r="IV62" s="625">
        <v>0.25325811258744746</v>
      </c>
      <c r="IW62" s="625">
        <v>0.25325811258744746</v>
      </c>
      <c r="IX62" s="625">
        <v>0.25325811258744746</v>
      </c>
      <c r="IY62" s="625">
        <v>0.25325811258744746</v>
      </c>
      <c r="IZ62" s="625">
        <v>0.25325811258744746</v>
      </c>
      <c r="JA62" s="625">
        <v>0.25325811258744746</v>
      </c>
      <c r="JB62" s="625">
        <v>0.25325811258744746</v>
      </c>
      <c r="JC62" s="625">
        <v>0.25325811258744746</v>
      </c>
      <c r="JD62" s="625">
        <v>0.25325811258744746</v>
      </c>
      <c r="JE62" s="625">
        <v>0.25325811258744746</v>
      </c>
      <c r="JF62" s="625">
        <v>0.25325811258744746</v>
      </c>
      <c r="JG62" s="625">
        <v>0.25325811258744746</v>
      </c>
      <c r="JH62" s="625">
        <v>0.25325811258744746</v>
      </c>
      <c r="JI62" s="625">
        <v>0.25325811258744746</v>
      </c>
      <c r="JJ62" s="625">
        <v>0.25325811258744746</v>
      </c>
      <c r="JK62" s="625">
        <v>0.25325811258744746</v>
      </c>
      <c r="JL62" s="625">
        <v>0.25325811258744746</v>
      </c>
      <c r="JM62" s="625">
        <v>0.25325811258744746</v>
      </c>
      <c r="JN62" s="625">
        <v>0.25325811258744746</v>
      </c>
      <c r="JO62" s="625">
        <v>0.25325811258744746</v>
      </c>
      <c r="JP62" s="625">
        <v>0.25325811258744746</v>
      </c>
      <c r="JQ62" s="625">
        <v>0.25325811258744746</v>
      </c>
      <c r="JR62" s="625">
        <v>0.25325811258744746</v>
      </c>
    </row>
    <row r="63" spans="1:278" ht="18">
      <c r="A63" s="701" t="s">
        <v>209</v>
      </c>
      <c r="B63" s="88"/>
      <c r="C63" s="88"/>
      <c r="D63" s="324" t="s">
        <v>136</v>
      </c>
      <c r="E63" s="324" t="s">
        <v>137</v>
      </c>
      <c r="FE63" s="616" t="s">
        <v>267</v>
      </c>
      <c r="FF63" s="616" t="s">
        <v>267</v>
      </c>
      <c r="FG63" s="616" t="s">
        <v>267</v>
      </c>
      <c r="FH63" s="616" t="s">
        <v>267</v>
      </c>
      <c r="FI63" s="616" t="s">
        <v>267</v>
      </c>
      <c r="FJ63" s="616" t="s">
        <v>267</v>
      </c>
      <c r="FK63" s="616" t="s">
        <v>267</v>
      </c>
      <c r="FL63" s="616" t="s">
        <v>267</v>
      </c>
      <c r="FM63" s="616" t="s">
        <v>267</v>
      </c>
      <c r="FN63" s="616" t="s">
        <v>267</v>
      </c>
      <c r="FO63" s="616" t="s">
        <v>267</v>
      </c>
      <c r="FP63" s="616" t="s">
        <v>267</v>
      </c>
      <c r="FQ63" s="616" t="s">
        <v>267</v>
      </c>
      <c r="FR63" s="616" t="s">
        <v>267</v>
      </c>
      <c r="FS63" s="616" t="s">
        <v>267</v>
      </c>
      <c r="FT63" s="616" t="s">
        <v>267</v>
      </c>
      <c r="FU63" s="616" t="s">
        <v>267</v>
      </c>
      <c r="FV63" s="616" t="s">
        <v>267</v>
      </c>
      <c r="FW63" s="616" t="s">
        <v>267</v>
      </c>
      <c r="FX63" s="616" t="s">
        <v>267</v>
      </c>
      <c r="FY63" s="616" t="s">
        <v>267</v>
      </c>
      <c r="FZ63" s="616" t="s">
        <v>267</v>
      </c>
      <c r="GA63" s="616" t="s">
        <v>267</v>
      </c>
      <c r="GB63" s="616" t="s">
        <v>267</v>
      </c>
      <c r="GC63" s="616" t="s">
        <v>267</v>
      </c>
      <c r="GD63" s="616" t="s">
        <v>267</v>
      </c>
      <c r="GE63" s="616" t="s">
        <v>267</v>
      </c>
      <c r="GF63" s="616" t="s">
        <v>267</v>
      </c>
      <c r="GG63" s="616" t="s">
        <v>267</v>
      </c>
      <c r="GH63" s="616" t="s">
        <v>267</v>
      </c>
      <c r="GI63" s="616" t="s">
        <v>267</v>
      </c>
      <c r="GJ63" s="616" t="s">
        <v>267</v>
      </c>
      <c r="GK63" s="616" t="s">
        <v>267</v>
      </c>
      <c r="GL63" s="616" t="s">
        <v>267</v>
      </c>
      <c r="GM63" s="616" t="s">
        <v>267</v>
      </c>
      <c r="GN63" s="616" t="s">
        <v>267</v>
      </c>
      <c r="GO63" s="616" t="s">
        <v>267</v>
      </c>
      <c r="GP63" s="616" t="s">
        <v>267</v>
      </c>
      <c r="GQ63" s="616" t="s">
        <v>267</v>
      </c>
      <c r="GR63" s="616" t="s">
        <v>267</v>
      </c>
      <c r="GS63" s="616" t="s">
        <v>267</v>
      </c>
      <c r="GT63" s="616" t="s">
        <v>267</v>
      </c>
      <c r="GU63" s="616" t="s">
        <v>267</v>
      </c>
      <c r="GV63" s="616" t="s">
        <v>267</v>
      </c>
      <c r="GW63" s="616" t="s">
        <v>267</v>
      </c>
      <c r="GX63" s="616" t="s">
        <v>267</v>
      </c>
      <c r="GY63" s="616" t="s">
        <v>267</v>
      </c>
      <c r="GZ63" s="616" t="s">
        <v>267</v>
      </c>
      <c r="HA63" s="616" t="s">
        <v>267</v>
      </c>
      <c r="HB63" s="616" t="s">
        <v>267</v>
      </c>
      <c r="HC63" s="616" t="s">
        <v>267</v>
      </c>
      <c r="HD63" s="616" t="s">
        <v>267</v>
      </c>
      <c r="HE63" s="616" t="s">
        <v>267</v>
      </c>
      <c r="HF63" s="616" t="s">
        <v>267</v>
      </c>
      <c r="HG63" s="616" t="s">
        <v>267</v>
      </c>
      <c r="HH63" s="616" t="s">
        <v>267</v>
      </c>
      <c r="HI63" s="616" t="s">
        <v>267</v>
      </c>
      <c r="HJ63" s="616" t="s">
        <v>267</v>
      </c>
      <c r="HK63" s="616" t="s">
        <v>267</v>
      </c>
      <c r="HL63" s="616" t="s">
        <v>267</v>
      </c>
      <c r="HM63" s="616" t="s">
        <v>267</v>
      </c>
      <c r="HN63" s="616" t="s">
        <v>267</v>
      </c>
      <c r="HO63" s="616" t="s">
        <v>267</v>
      </c>
      <c r="HP63" s="616" t="s">
        <v>267</v>
      </c>
      <c r="HQ63" s="616" t="s">
        <v>267</v>
      </c>
      <c r="HR63" s="616" t="s">
        <v>267</v>
      </c>
      <c r="HS63" s="616" t="s">
        <v>267</v>
      </c>
      <c r="HT63" s="616" t="s">
        <v>267</v>
      </c>
      <c r="HU63" s="616" t="s">
        <v>267</v>
      </c>
      <c r="HV63" s="616" t="s">
        <v>267</v>
      </c>
      <c r="HW63" s="616" t="s">
        <v>267</v>
      </c>
      <c r="HX63" s="616" t="s">
        <v>267</v>
      </c>
      <c r="HY63" s="616" t="s">
        <v>267</v>
      </c>
      <c r="HZ63" s="616" t="s">
        <v>267</v>
      </c>
      <c r="IA63" s="616" t="s">
        <v>267</v>
      </c>
      <c r="IB63" s="616" t="s">
        <v>267</v>
      </c>
      <c r="IC63" s="616" t="s">
        <v>267</v>
      </c>
      <c r="ID63" s="616" t="s">
        <v>267</v>
      </c>
      <c r="IE63" s="616" t="s">
        <v>267</v>
      </c>
      <c r="IF63" s="616" t="s">
        <v>267</v>
      </c>
      <c r="IG63" s="616" t="s">
        <v>267</v>
      </c>
      <c r="IH63" s="616" t="s">
        <v>267</v>
      </c>
      <c r="II63" s="616" t="s">
        <v>267</v>
      </c>
      <c r="IJ63" s="616" t="s">
        <v>267</v>
      </c>
      <c r="IK63" s="616" t="s">
        <v>267</v>
      </c>
      <c r="IL63" s="616" t="s">
        <v>267</v>
      </c>
      <c r="IM63" s="616" t="s">
        <v>267</v>
      </c>
      <c r="IN63" s="616" t="s">
        <v>267</v>
      </c>
      <c r="IO63" s="616" t="s">
        <v>267</v>
      </c>
      <c r="IP63" s="616" t="s">
        <v>267</v>
      </c>
      <c r="IQ63" s="616" t="s">
        <v>267</v>
      </c>
      <c r="IR63" s="616" t="s">
        <v>267</v>
      </c>
      <c r="IS63" s="616" t="s">
        <v>267</v>
      </c>
      <c r="IT63" s="616" t="s">
        <v>267</v>
      </c>
      <c r="IU63" s="616" t="s">
        <v>267</v>
      </c>
      <c r="IV63" s="616" t="s">
        <v>267</v>
      </c>
      <c r="IW63" s="616" t="s">
        <v>267</v>
      </c>
      <c r="IX63" s="616" t="s">
        <v>267</v>
      </c>
      <c r="IY63" s="616" t="s">
        <v>267</v>
      </c>
      <c r="IZ63" s="616" t="s">
        <v>267</v>
      </c>
      <c r="JA63" s="616" t="s">
        <v>267</v>
      </c>
      <c r="JB63" s="616" t="s">
        <v>267</v>
      </c>
      <c r="JC63" s="616" t="s">
        <v>267</v>
      </c>
      <c r="JD63" s="616" t="s">
        <v>267</v>
      </c>
      <c r="JE63" s="616" t="s">
        <v>267</v>
      </c>
      <c r="JF63" s="616" t="s">
        <v>267</v>
      </c>
      <c r="JG63" s="616" t="s">
        <v>267</v>
      </c>
      <c r="JH63" s="616" t="s">
        <v>267</v>
      </c>
      <c r="JI63" s="616" t="s">
        <v>267</v>
      </c>
      <c r="JJ63" s="616" t="s">
        <v>267</v>
      </c>
      <c r="JK63" s="616" t="s">
        <v>267</v>
      </c>
      <c r="JL63" s="616" t="s">
        <v>267</v>
      </c>
      <c r="JM63" s="616" t="s">
        <v>267</v>
      </c>
      <c r="JN63" s="616" t="s">
        <v>267</v>
      </c>
      <c r="JO63" s="616" t="s">
        <v>267</v>
      </c>
      <c r="JP63" s="616" t="s">
        <v>267</v>
      </c>
      <c r="JQ63" s="616" t="s">
        <v>267</v>
      </c>
      <c r="JR63" s="616" t="s">
        <v>267</v>
      </c>
    </row>
    <row r="64" spans="1:278" ht="13.5">
      <c r="A64" s="45"/>
      <c r="B64" s="51" t="s">
        <v>148</v>
      </c>
      <c r="C64" s="36"/>
      <c r="D64" s="26" t="s">
        <v>128</v>
      </c>
      <c r="E64" s="26" t="s">
        <v>275</v>
      </c>
      <c r="FE64" s="361">
        <v>9.9999999999999995E-7</v>
      </c>
      <c r="FF64" s="361">
        <v>9.9999999999999995E-7</v>
      </c>
      <c r="FG64" s="361">
        <v>9.9999999999999995E-7</v>
      </c>
      <c r="FH64" s="361">
        <v>9.9999999999999995E-7</v>
      </c>
      <c r="FI64" s="361">
        <v>9.9999999999999995E-7</v>
      </c>
      <c r="FJ64" s="361">
        <v>9.9999999999999995E-7</v>
      </c>
      <c r="FK64" s="361">
        <v>9.9999999999999995E-7</v>
      </c>
      <c r="FL64" s="361">
        <v>9.9999999999999995E-7</v>
      </c>
      <c r="FM64" s="361">
        <v>9.9999999999999995E-7</v>
      </c>
      <c r="FN64" s="361">
        <v>9.9999999999999995E-7</v>
      </c>
      <c r="FO64" s="361">
        <v>9.9999999999999995E-7</v>
      </c>
      <c r="FP64" s="361">
        <v>9.9999999999999995E-7</v>
      </c>
      <c r="FQ64" s="361">
        <v>9.9999999999999995E-7</v>
      </c>
      <c r="FR64" s="361">
        <v>9.9999999999999995E-7</v>
      </c>
      <c r="FS64" s="361">
        <v>9.9999999999999995E-7</v>
      </c>
      <c r="FT64" s="361">
        <v>9.9999999999999995E-7</v>
      </c>
      <c r="FU64" s="361">
        <v>9.9999999999999995E-7</v>
      </c>
      <c r="FV64" s="361">
        <v>9.9999999999999995E-7</v>
      </c>
      <c r="FW64" s="361">
        <v>9.9999999999999995E-7</v>
      </c>
      <c r="FX64" s="361">
        <v>9.9999999999999995E-7</v>
      </c>
      <c r="FY64" s="361">
        <v>9.9999999999999995E-7</v>
      </c>
      <c r="FZ64" s="361">
        <v>9.9999999999999995E-7</v>
      </c>
      <c r="GA64" s="361">
        <v>9.9999999999999995E-7</v>
      </c>
      <c r="GB64" s="361">
        <v>9.9999999999999995E-7</v>
      </c>
      <c r="GC64" s="361">
        <v>9.9999999999999995E-7</v>
      </c>
      <c r="GD64" s="361">
        <v>9.9999999999999995E-7</v>
      </c>
      <c r="GE64" s="361">
        <v>9.9999999999999995E-7</v>
      </c>
      <c r="GF64" s="361">
        <v>9.9999999999999995E-7</v>
      </c>
      <c r="GG64" s="361">
        <v>9.9999999999999995E-7</v>
      </c>
      <c r="GH64" s="361">
        <v>9.9999999999999995E-7</v>
      </c>
      <c r="GI64" s="361">
        <v>9.9999999999999995E-7</v>
      </c>
      <c r="GJ64" s="361">
        <v>9.9999999999999995E-7</v>
      </c>
      <c r="GK64" s="361">
        <v>9.9999999999999995E-7</v>
      </c>
      <c r="GL64" s="361">
        <v>9.9999999999999995E-7</v>
      </c>
      <c r="GM64" s="361">
        <v>9.9999999999999995E-7</v>
      </c>
      <c r="GN64" s="361">
        <v>9.9999999999999995E-7</v>
      </c>
      <c r="GO64" s="361">
        <v>9.9999999999999995E-7</v>
      </c>
      <c r="GP64" s="361">
        <v>9.9999999999999995E-7</v>
      </c>
      <c r="GQ64" s="361">
        <v>9.9999999999999995E-7</v>
      </c>
      <c r="GR64" s="361">
        <v>9.9999999999999995E-7</v>
      </c>
      <c r="GS64" s="361">
        <v>9.9999999999999995E-7</v>
      </c>
      <c r="GT64" s="361">
        <v>9.9999999999999995E-7</v>
      </c>
      <c r="GU64" s="361">
        <v>9.9999999999999995E-7</v>
      </c>
      <c r="GV64" s="361">
        <v>9.9999999999999995E-7</v>
      </c>
      <c r="GW64" s="361">
        <v>9.9999999999999995E-7</v>
      </c>
      <c r="GX64" s="361">
        <v>9.9999999999999995E-7</v>
      </c>
      <c r="GY64" s="361">
        <v>9.9999999999999995E-7</v>
      </c>
      <c r="GZ64" s="361">
        <v>9.9999999999999995E-7</v>
      </c>
      <c r="HA64" s="361">
        <v>9.9999999999999995E-7</v>
      </c>
      <c r="HB64" s="361">
        <v>9.9999999999999995E-7</v>
      </c>
      <c r="HC64" s="361">
        <v>9.9999999999999995E-7</v>
      </c>
      <c r="HD64" s="361">
        <v>9.9999999999999995E-7</v>
      </c>
      <c r="HE64" s="361">
        <v>9.9999999999999995E-7</v>
      </c>
      <c r="HF64" s="361">
        <v>9.9999999999999995E-7</v>
      </c>
      <c r="HG64" s="361">
        <v>9.9999999999999995E-7</v>
      </c>
      <c r="HH64" s="361">
        <v>9.9999999999999995E-7</v>
      </c>
      <c r="HI64" s="361">
        <v>9.9999999999999995E-7</v>
      </c>
      <c r="HJ64" s="361">
        <v>9.9999999999999995E-7</v>
      </c>
      <c r="HK64" s="361">
        <v>9.9999999999999995E-7</v>
      </c>
      <c r="HL64" s="361">
        <v>9.9999999999999995E-7</v>
      </c>
      <c r="HM64" s="361">
        <v>9.9999999999999995E-7</v>
      </c>
      <c r="HN64" s="361">
        <v>9.9999999999999995E-7</v>
      </c>
      <c r="HO64" s="361">
        <v>9.9999999999999995E-7</v>
      </c>
      <c r="HP64" s="361">
        <v>9.9999999999999995E-7</v>
      </c>
      <c r="HQ64" s="361">
        <v>9.9999999999999995E-7</v>
      </c>
      <c r="HR64" s="361">
        <v>9.9999999999999995E-7</v>
      </c>
      <c r="HS64" s="361">
        <v>9.9999999999999995E-7</v>
      </c>
      <c r="HT64" s="361">
        <v>9.9999999999999995E-7</v>
      </c>
      <c r="HU64" s="361">
        <v>9.9999999999999995E-7</v>
      </c>
      <c r="HV64" s="361">
        <v>9.9999999999999995E-7</v>
      </c>
      <c r="HW64" s="361">
        <v>9.9999999999999995E-7</v>
      </c>
      <c r="HX64" s="361">
        <v>9.9999999999999995E-7</v>
      </c>
      <c r="HY64" s="361">
        <v>9.9999999999999995E-7</v>
      </c>
      <c r="HZ64" s="361">
        <v>9.9999999999999995E-7</v>
      </c>
      <c r="IA64" s="361">
        <v>9.9999999999999995E-7</v>
      </c>
      <c r="IB64" s="361">
        <v>9.9999999999999995E-7</v>
      </c>
      <c r="IC64" s="361">
        <v>9.9999999999999995E-7</v>
      </c>
      <c r="ID64" s="361">
        <v>9.9999999999999995E-7</v>
      </c>
      <c r="IE64" s="361">
        <v>9.9999999999999995E-7</v>
      </c>
      <c r="IF64" s="361">
        <v>9.9999999999999995E-7</v>
      </c>
      <c r="IG64" s="361">
        <v>9.9999999999999995E-7</v>
      </c>
      <c r="IH64" s="361">
        <v>9.9999999999999995E-7</v>
      </c>
      <c r="II64" s="361">
        <v>9.9999999999999995E-7</v>
      </c>
      <c r="IJ64" s="361">
        <v>9.9999999999999995E-7</v>
      </c>
      <c r="IK64" s="361">
        <v>9.9999999999999995E-7</v>
      </c>
      <c r="IL64" s="361">
        <v>9.9999999999999995E-7</v>
      </c>
      <c r="IM64" s="361">
        <v>9.9999999999999995E-7</v>
      </c>
      <c r="IN64" s="361">
        <v>9.9999999999999995E-7</v>
      </c>
      <c r="IO64" s="361">
        <v>9.9999999999999995E-7</v>
      </c>
      <c r="IP64" s="361">
        <v>9.9999999999999995E-7</v>
      </c>
      <c r="IQ64" s="361">
        <v>9.9999999999999995E-7</v>
      </c>
      <c r="IR64" s="361">
        <v>9.9999999999999995E-7</v>
      </c>
      <c r="IS64" s="361">
        <v>9.9999999999999995E-7</v>
      </c>
      <c r="IT64" s="361">
        <v>9.9999999999999995E-7</v>
      </c>
      <c r="IU64" s="361">
        <v>9.9999999999999995E-7</v>
      </c>
      <c r="IV64" s="361">
        <v>9.9999999999999995E-7</v>
      </c>
      <c r="IW64" s="361">
        <v>9.9999999999999995E-7</v>
      </c>
      <c r="IX64" s="361">
        <v>9.9999999999999995E-7</v>
      </c>
      <c r="IY64" s="361">
        <v>9.9999999999999995E-7</v>
      </c>
      <c r="IZ64" s="361">
        <v>9.9999999999999995E-7</v>
      </c>
      <c r="JA64" s="361">
        <v>9.9999999999999995E-7</v>
      </c>
      <c r="JB64" s="361">
        <v>9.9999999999999995E-7</v>
      </c>
      <c r="JC64" s="361">
        <v>9.9999999999999995E-7</v>
      </c>
      <c r="JD64" s="361">
        <v>9.9999999999999995E-7</v>
      </c>
      <c r="JE64" s="361">
        <v>9.9999999999999995E-7</v>
      </c>
      <c r="JF64" s="361">
        <v>9.9999999999999995E-7</v>
      </c>
      <c r="JG64" s="361">
        <v>9.9999999999999995E-7</v>
      </c>
      <c r="JH64" s="361">
        <v>9.9999999999999995E-7</v>
      </c>
      <c r="JI64" s="361">
        <v>9.9999999999999995E-7</v>
      </c>
      <c r="JJ64" s="361">
        <v>9.9999999999999995E-7</v>
      </c>
      <c r="JK64" s="361">
        <v>9.9999999999999995E-7</v>
      </c>
      <c r="JL64" s="361">
        <v>9.9999999999999995E-7</v>
      </c>
      <c r="JM64" s="361">
        <v>9.9999999999999995E-7</v>
      </c>
      <c r="JN64" s="361">
        <v>9.9999999999999995E-7</v>
      </c>
      <c r="JO64" s="361">
        <v>9.9999999999999995E-7</v>
      </c>
      <c r="JP64" s="361">
        <v>9.9999999999999995E-7</v>
      </c>
      <c r="JQ64" s="361">
        <v>9.9999999999999995E-7</v>
      </c>
      <c r="JR64" s="361">
        <v>9.9999999999999995E-7</v>
      </c>
    </row>
    <row r="65" spans="1:278" ht="13.5">
      <c r="A65" s="45"/>
      <c r="B65" s="926" t="s">
        <v>334</v>
      </c>
      <c r="C65" s="926"/>
      <c r="D65" s="26" t="s">
        <v>128</v>
      </c>
      <c r="E65" s="26" t="s">
        <v>276</v>
      </c>
      <c r="FE65" s="352">
        <v>1</v>
      </c>
      <c r="FF65" s="352">
        <v>1</v>
      </c>
      <c r="FG65" s="352">
        <v>1</v>
      </c>
      <c r="FH65" s="352">
        <v>1</v>
      </c>
      <c r="FI65" s="352">
        <v>1</v>
      </c>
      <c r="FJ65" s="352">
        <v>1</v>
      </c>
      <c r="FK65" s="352">
        <v>1</v>
      </c>
      <c r="FL65" s="352">
        <v>1</v>
      </c>
      <c r="FM65" s="352">
        <v>1</v>
      </c>
      <c r="FN65" s="352">
        <v>1</v>
      </c>
      <c r="FO65" s="352">
        <v>1</v>
      </c>
      <c r="FP65" s="352">
        <v>1</v>
      </c>
      <c r="FQ65" s="352">
        <v>1</v>
      </c>
      <c r="FR65" s="352">
        <v>1</v>
      </c>
      <c r="FS65" s="352">
        <v>1</v>
      </c>
      <c r="FT65" s="352">
        <v>1</v>
      </c>
      <c r="FU65" s="352">
        <v>1</v>
      </c>
      <c r="FV65" s="352">
        <v>1</v>
      </c>
      <c r="FW65" s="352">
        <v>1</v>
      </c>
      <c r="FX65" s="352">
        <v>1</v>
      </c>
      <c r="FY65" s="352">
        <v>1</v>
      </c>
      <c r="FZ65" s="352">
        <v>1</v>
      </c>
      <c r="GA65" s="352">
        <v>1</v>
      </c>
      <c r="GB65" s="352">
        <v>1</v>
      </c>
      <c r="GC65" s="352">
        <v>1</v>
      </c>
      <c r="GD65" s="352">
        <v>1</v>
      </c>
      <c r="GE65" s="352">
        <v>1</v>
      </c>
      <c r="GF65" s="352">
        <v>1</v>
      </c>
      <c r="GG65" s="352">
        <v>1</v>
      </c>
      <c r="GH65" s="352">
        <v>1</v>
      </c>
      <c r="GI65" s="352">
        <v>1</v>
      </c>
      <c r="GJ65" s="352">
        <v>1</v>
      </c>
      <c r="GK65" s="352">
        <v>1</v>
      </c>
      <c r="GL65" s="352">
        <v>1</v>
      </c>
      <c r="GM65" s="352">
        <v>1</v>
      </c>
      <c r="GN65" s="352">
        <v>1</v>
      </c>
      <c r="GO65" s="352">
        <v>1</v>
      </c>
      <c r="GP65" s="352">
        <v>1</v>
      </c>
      <c r="GQ65" s="352">
        <v>1</v>
      </c>
      <c r="GR65" s="352">
        <v>1</v>
      </c>
      <c r="GS65" s="352">
        <v>1</v>
      </c>
      <c r="GT65" s="352">
        <v>1</v>
      </c>
      <c r="GU65" s="352">
        <v>1</v>
      </c>
      <c r="GV65" s="352">
        <v>1</v>
      </c>
      <c r="GW65" s="352">
        <v>1</v>
      </c>
      <c r="GX65" s="352">
        <v>1</v>
      </c>
      <c r="GY65" s="352">
        <v>1</v>
      </c>
      <c r="GZ65" s="352">
        <v>1</v>
      </c>
      <c r="HA65" s="352">
        <v>1</v>
      </c>
      <c r="HB65" s="352">
        <v>1</v>
      </c>
      <c r="HC65" s="352">
        <v>1</v>
      </c>
      <c r="HD65" s="352">
        <v>1</v>
      </c>
      <c r="HE65" s="352">
        <v>1</v>
      </c>
      <c r="HF65" s="352">
        <v>1</v>
      </c>
      <c r="HG65" s="352">
        <v>1</v>
      </c>
      <c r="HH65" s="352">
        <v>1</v>
      </c>
      <c r="HI65" s="352">
        <v>1</v>
      </c>
      <c r="HJ65" s="352">
        <v>1</v>
      </c>
      <c r="HK65" s="352">
        <v>1</v>
      </c>
      <c r="HL65" s="352">
        <v>1</v>
      </c>
      <c r="HM65" s="352">
        <v>1</v>
      </c>
      <c r="HN65" s="352">
        <v>1</v>
      </c>
      <c r="HO65" s="352">
        <v>1</v>
      </c>
      <c r="HP65" s="352">
        <v>1</v>
      </c>
      <c r="HQ65" s="352">
        <v>1</v>
      </c>
      <c r="HR65" s="352">
        <v>1</v>
      </c>
      <c r="HS65" s="352">
        <v>1</v>
      </c>
      <c r="HT65" s="352">
        <v>1</v>
      </c>
      <c r="HU65" s="352">
        <v>1</v>
      </c>
      <c r="HV65" s="352">
        <v>1</v>
      </c>
      <c r="HW65" s="352">
        <v>1</v>
      </c>
      <c r="HX65" s="352">
        <v>1</v>
      </c>
      <c r="HY65" s="352">
        <v>1</v>
      </c>
      <c r="HZ65" s="352">
        <v>1</v>
      </c>
      <c r="IA65" s="352">
        <v>1</v>
      </c>
      <c r="IB65" s="352">
        <v>1</v>
      </c>
      <c r="IC65" s="352">
        <v>1</v>
      </c>
      <c r="ID65" s="352">
        <v>1</v>
      </c>
      <c r="IE65" s="352">
        <v>1</v>
      </c>
      <c r="IF65" s="352">
        <v>1</v>
      </c>
      <c r="IG65" s="352">
        <v>1</v>
      </c>
      <c r="IH65" s="352">
        <v>1</v>
      </c>
      <c r="II65" s="352">
        <v>1</v>
      </c>
      <c r="IJ65" s="352">
        <v>1</v>
      </c>
      <c r="IK65" s="352">
        <v>1</v>
      </c>
      <c r="IL65" s="352">
        <v>1</v>
      </c>
      <c r="IM65" s="352">
        <v>1</v>
      </c>
      <c r="IN65" s="352">
        <v>1</v>
      </c>
      <c r="IO65" s="352">
        <v>1</v>
      </c>
      <c r="IP65" s="352">
        <v>1</v>
      </c>
      <c r="IQ65" s="352">
        <v>1</v>
      </c>
      <c r="IR65" s="352">
        <v>1</v>
      </c>
      <c r="IS65" s="352">
        <v>1</v>
      </c>
      <c r="IT65" s="352">
        <v>1</v>
      </c>
      <c r="IU65" s="352">
        <v>1</v>
      </c>
      <c r="IV65" s="352">
        <v>1</v>
      </c>
      <c r="IW65" s="352">
        <v>1</v>
      </c>
      <c r="IX65" s="352">
        <v>1</v>
      </c>
      <c r="IY65" s="352">
        <v>1</v>
      </c>
      <c r="IZ65" s="352">
        <v>1</v>
      </c>
      <c r="JA65" s="352">
        <v>1</v>
      </c>
      <c r="JB65" s="352">
        <v>1</v>
      </c>
      <c r="JC65" s="352">
        <v>1</v>
      </c>
      <c r="JD65" s="352">
        <v>1</v>
      </c>
      <c r="JE65" s="352">
        <v>1</v>
      </c>
      <c r="JF65" s="352">
        <v>1</v>
      </c>
      <c r="JG65" s="352">
        <v>1</v>
      </c>
      <c r="JH65" s="352">
        <v>1</v>
      </c>
      <c r="JI65" s="352">
        <v>1</v>
      </c>
      <c r="JJ65" s="352">
        <v>1</v>
      </c>
      <c r="JK65" s="352">
        <v>1</v>
      </c>
      <c r="JL65" s="352">
        <v>1</v>
      </c>
      <c r="JM65" s="352">
        <v>1</v>
      </c>
      <c r="JN65" s="352">
        <v>1</v>
      </c>
      <c r="JO65" s="352">
        <v>1</v>
      </c>
      <c r="JP65" s="352">
        <v>1</v>
      </c>
      <c r="JQ65" s="352">
        <v>1</v>
      </c>
      <c r="JR65" s="352">
        <v>1</v>
      </c>
    </row>
    <row r="66" spans="1:278" ht="13.5">
      <c r="A66" s="45"/>
      <c r="B66" s="36" t="s">
        <v>149</v>
      </c>
      <c r="C66" s="36"/>
      <c r="D66" s="26"/>
      <c r="E66" s="26" t="s">
        <v>224</v>
      </c>
      <c r="FE66" s="606" t="s">
        <v>146</v>
      </c>
      <c r="FF66" s="606" t="s">
        <v>146</v>
      </c>
      <c r="FG66" s="606" t="s">
        <v>146</v>
      </c>
      <c r="FH66" s="606" t="s">
        <v>146</v>
      </c>
      <c r="FI66" s="606" t="s">
        <v>146</v>
      </c>
      <c r="FJ66" s="606" t="s">
        <v>146</v>
      </c>
      <c r="FK66" s="606" t="s">
        <v>146</v>
      </c>
      <c r="FL66" s="606" t="s">
        <v>146</v>
      </c>
      <c r="FM66" s="606" t="s">
        <v>146</v>
      </c>
      <c r="FN66" s="606" t="s">
        <v>146</v>
      </c>
      <c r="FO66" s="606" t="s">
        <v>146</v>
      </c>
      <c r="FP66" s="606" t="s">
        <v>146</v>
      </c>
      <c r="FQ66" s="606" t="s">
        <v>146</v>
      </c>
      <c r="FR66" s="606" t="s">
        <v>146</v>
      </c>
      <c r="FS66" s="606" t="s">
        <v>146</v>
      </c>
      <c r="FT66" s="606" t="s">
        <v>146</v>
      </c>
      <c r="FU66" s="606" t="s">
        <v>146</v>
      </c>
      <c r="FV66" s="606" t="s">
        <v>146</v>
      </c>
      <c r="FW66" s="606" t="s">
        <v>146</v>
      </c>
      <c r="FX66" s="606" t="s">
        <v>146</v>
      </c>
      <c r="FY66" s="606" t="s">
        <v>146</v>
      </c>
      <c r="FZ66" s="606" t="s">
        <v>146</v>
      </c>
      <c r="GA66" s="606" t="s">
        <v>146</v>
      </c>
      <c r="GB66" s="606" t="s">
        <v>146</v>
      </c>
      <c r="GC66" s="606" t="s">
        <v>146</v>
      </c>
      <c r="GD66" s="606" t="s">
        <v>146</v>
      </c>
      <c r="GE66" s="606" t="s">
        <v>146</v>
      </c>
      <c r="GF66" s="606" t="s">
        <v>146</v>
      </c>
      <c r="GG66" s="606" t="s">
        <v>146</v>
      </c>
      <c r="GH66" s="606" t="s">
        <v>146</v>
      </c>
      <c r="GI66" s="606" t="s">
        <v>146</v>
      </c>
      <c r="GJ66" s="606" t="s">
        <v>146</v>
      </c>
      <c r="GK66" s="606" t="s">
        <v>146</v>
      </c>
      <c r="GL66" s="606" t="s">
        <v>146</v>
      </c>
      <c r="GM66" s="606" t="s">
        <v>146</v>
      </c>
      <c r="GN66" s="606" t="s">
        <v>146</v>
      </c>
      <c r="GO66" s="606" t="s">
        <v>146</v>
      </c>
      <c r="GP66" s="606" t="s">
        <v>146</v>
      </c>
      <c r="GQ66" s="606" t="s">
        <v>146</v>
      </c>
      <c r="GR66" s="606" t="s">
        <v>146</v>
      </c>
      <c r="GS66" s="606" t="s">
        <v>146</v>
      </c>
      <c r="GT66" s="606" t="s">
        <v>146</v>
      </c>
      <c r="GU66" s="606" t="s">
        <v>146</v>
      </c>
      <c r="GV66" s="606" t="s">
        <v>146</v>
      </c>
      <c r="GW66" s="606" t="s">
        <v>146</v>
      </c>
      <c r="GX66" s="606" t="s">
        <v>146</v>
      </c>
      <c r="GY66" s="606" t="s">
        <v>146</v>
      </c>
      <c r="GZ66" s="606" t="s">
        <v>146</v>
      </c>
      <c r="HA66" s="606" t="s">
        <v>146</v>
      </c>
      <c r="HB66" s="606" t="s">
        <v>146</v>
      </c>
      <c r="HC66" s="606" t="s">
        <v>146</v>
      </c>
      <c r="HD66" s="606" t="s">
        <v>146</v>
      </c>
      <c r="HE66" s="606" t="s">
        <v>146</v>
      </c>
      <c r="HF66" s="606" t="s">
        <v>146</v>
      </c>
      <c r="HG66" s="606" t="s">
        <v>146</v>
      </c>
      <c r="HH66" s="606" t="s">
        <v>146</v>
      </c>
      <c r="HI66" s="606" t="s">
        <v>146</v>
      </c>
      <c r="HJ66" s="606" t="s">
        <v>146</v>
      </c>
      <c r="HK66" s="606" t="s">
        <v>146</v>
      </c>
      <c r="HL66" s="606" t="s">
        <v>146</v>
      </c>
      <c r="HM66" s="606" t="s">
        <v>146</v>
      </c>
      <c r="HN66" s="606" t="s">
        <v>146</v>
      </c>
      <c r="HO66" s="606" t="s">
        <v>146</v>
      </c>
      <c r="HP66" s="606" t="s">
        <v>146</v>
      </c>
      <c r="HQ66" s="606" t="s">
        <v>146</v>
      </c>
      <c r="HR66" s="606" t="s">
        <v>146</v>
      </c>
      <c r="HS66" s="606" t="s">
        <v>146</v>
      </c>
      <c r="HT66" s="606" t="s">
        <v>146</v>
      </c>
      <c r="HU66" s="606" t="s">
        <v>146</v>
      </c>
      <c r="HV66" s="606" t="s">
        <v>146</v>
      </c>
      <c r="HW66" s="606" t="s">
        <v>146</v>
      </c>
      <c r="HX66" s="606" t="s">
        <v>146</v>
      </c>
      <c r="HY66" s="606" t="s">
        <v>146</v>
      </c>
      <c r="HZ66" s="606" t="s">
        <v>146</v>
      </c>
      <c r="IA66" s="606" t="s">
        <v>146</v>
      </c>
      <c r="IB66" s="606" t="s">
        <v>146</v>
      </c>
      <c r="IC66" s="606" t="s">
        <v>146</v>
      </c>
      <c r="ID66" s="606" t="s">
        <v>146</v>
      </c>
      <c r="IE66" s="606" t="s">
        <v>146</v>
      </c>
      <c r="IF66" s="606" t="s">
        <v>146</v>
      </c>
      <c r="IG66" s="606" t="s">
        <v>146</v>
      </c>
      <c r="IH66" s="606" t="s">
        <v>146</v>
      </c>
      <c r="II66" s="606" t="s">
        <v>146</v>
      </c>
      <c r="IJ66" s="606" t="s">
        <v>146</v>
      </c>
      <c r="IK66" s="606" t="s">
        <v>146</v>
      </c>
      <c r="IL66" s="606" t="s">
        <v>146</v>
      </c>
      <c r="IM66" s="606" t="s">
        <v>146</v>
      </c>
      <c r="IN66" s="606" t="s">
        <v>146</v>
      </c>
      <c r="IO66" s="606" t="s">
        <v>146</v>
      </c>
      <c r="IP66" s="606" t="s">
        <v>146</v>
      </c>
      <c r="IQ66" s="606" t="s">
        <v>146</v>
      </c>
      <c r="IR66" s="606" t="s">
        <v>146</v>
      </c>
      <c r="IS66" s="606" t="s">
        <v>146</v>
      </c>
      <c r="IT66" s="606" t="s">
        <v>146</v>
      </c>
      <c r="IU66" s="606" t="s">
        <v>146</v>
      </c>
      <c r="IV66" s="606" t="s">
        <v>146</v>
      </c>
      <c r="IW66" s="606" t="s">
        <v>146</v>
      </c>
      <c r="IX66" s="606" t="s">
        <v>146</v>
      </c>
      <c r="IY66" s="606" t="s">
        <v>146</v>
      </c>
      <c r="IZ66" s="606" t="s">
        <v>146</v>
      </c>
      <c r="JA66" s="606" t="s">
        <v>146</v>
      </c>
      <c r="JB66" s="606" t="s">
        <v>146</v>
      </c>
      <c r="JC66" s="606" t="s">
        <v>146</v>
      </c>
      <c r="JD66" s="606" t="s">
        <v>146</v>
      </c>
      <c r="JE66" s="606" t="s">
        <v>146</v>
      </c>
      <c r="JF66" s="606" t="s">
        <v>146</v>
      </c>
      <c r="JG66" s="606" t="s">
        <v>146</v>
      </c>
      <c r="JH66" s="606" t="s">
        <v>146</v>
      </c>
      <c r="JI66" s="606" t="s">
        <v>146</v>
      </c>
      <c r="JJ66" s="606" t="s">
        <v>146</v>
      </c>
      <c r="JK66" s="606" t="s">
        <v>146</v>
      </c>
      <c r="JL66" s="606" t="s">
        <v>146</v>
      </c>
      <c r="JM66" s="606" t="s">
        <v>146</v>
      </c>
      <c r="JN66" s="606" t="s">
        <v>146</v>
      </c>
      <c r="JO66" s="606" t="s">
        <v>146</v>
      </c>
      <c r="JP66" s="606" t="s">
        <v>146</v>
      </c>
      <c r="JQ66" s="606" t="s">
        <v>146</v>
      </c>
      <c r="JR66" s="606" t="s">
        <v>146</v>
      </c>
    </row>
    <row r="67" spans="1:278" ht="13.5">
      <c r="A67" s="45"/>
      <c r="B67" s="36" t="s">
        <v>143</v>
      </c>
      <c r="C67" s="36"/>
      <c r="D67" s="93" t="s">
        <v>11</v>
      </c>
      <c r="E67" s="93" t="s">
        <v>228</v>
      </c>
      <c r="FE67" s="607">
        <v>70</v>
      </c>
      <c r="FF67" s="607">
        <v>70</v>
      </c>
      <c r="FG67" s="607">
        <v>70</v>
      </c>
      <c r="FH67" s="607">
        <v>70</v>
      </c>
      <c r="FI67" s="607">
        <v>70</v>
      </c>
      <c r="FJ67" s="607">
        <v>70</v>
      </c>
      <c r="FK67" s="607">
        <v>70</v>
      </c>
      <c r="FL67" s="607">
        <v>70</v>
      </c>
      <c r="FM67" s="607">
        <v>70</v>
      </c>
      <c r="FN67" s="607">
        <v>70</v>
      </c>
      <c r="FO67" s="607">
        <v>70</v>
      </c>
      <c r="FP67" s="607">
        <v>70</v>
      </c>
      <c r="FQ67" s="607">
        <v>70</v>
      </c>
      <c r="FR67" s="607">
        <v>70</v>
      </c>
      <c r="FS67" s="607">
        <v>70</v>
      </c>
      <c r="FT67" s="607">
        <v>70</v>
      </c>
      <c r="FU67" s="607">
        <v>70</v>
      </c>
      <c r="FV67" s="607">
        <v>70</v>
      </c>
      <c r="FW67" s="607">
        <v>70</v>
      </c>
      <c r="FX67" s="607">
        <v>70</v>
      </c>
      <c r="FY67" s="607">
        <v>70</v>
      </c>
      <c r="FZ67" s="607">
        <v>70</v>
      </c>
      <c r="GA67" s="607">
        <v>70</v>
      </c>
      <c r="GB67" s="607">
        <v>70</v>
      </c>
      <c r="GC67" s="607">
        <v>70</v>
      </c>
      <c r="GD67" s="607">
        <v>70</v>
      </c>
      <c r="GE67" s="607">
        <v>70</v>
      </c>
      <c r="GF67" s="607">
        <v>70</v>
      </c>
      <c r="GG67" s="607">
        <v>70</v>
      </c>
      <c r="GH67" s="607">
        <v>70</v>
      </c>
      <c r="GI67" s="607">
        <v>70</v>
      </c>
      <c r="GJ67" s="607">
        <v>70</v>
      </c>
      <c r="GK67" s="607">
        <v>70</v>
      </c>
      <c r="GL67" s="607">
        <v>70</v>
      </c>
      <c r="GM67" s="607">
        <v>70</v>
      </c>
      <c r="GN67" s="607">
        <v>70</v>
      </c>
      <c r="GO67" s="607">
        <v>70</v>
      </c>
      <c r="GP67" s="607">
        <v>70</v>
      </c>
      <c r="GQ67" s="607">
        <v>70</v>
      </c>
      <c r="GR67" s="607">
        <v>70</v>
      </c>
      <c r="GS67" s="607">
        <v>70</v>
      </c>
      <c r="GT67" s="607">
        <v>70</v>
      </c>
      <c r="GU67" s="607">
        <v>70</v>
      </c>
      <c r="GV67" s="607">
        <v>70</v>
      </c>
      <c r="GW67" s="607">
        <v>70</v>
      </c>
      <c r="GX67" s="607">
        <v>70</v>
      </c>
      <c r="GY67" s="607">
        <v>70</v>
      </c>
      <c r="GZ67" s="607">
        <v>70</v>
      </c>
      <c r="HA67" s="607">
        <v>70</v>
      </c>
      <c r="HB67" s="607">
        <v>70</v>
      </c>
      <c r="HC67" s="607">
        <v>70</v>
      </c>
      <c r="HD67" s="607">
        <v>70</v>
      </c>
      <c r="HE67" s="607">
        <v>70</v>
      </c>
      <c r="HF67" s="607">
        <v>70</v>
      </c>
      <c r="HG67" s="607">
        <v>70</v>
      </c>
      <c r="HH67" s="607">
        <v>70</v>
      </c>
      <c r="HI67" s="607">
        <v>70</v>
      </c>
      <c r="HJ67" s="607">
        <v>70</v>
      </c>
      <c r="HK67" s="607">
        <v>70</v>
      </c>
      <c r="HL67" s="607">
        <v>70</v>
      </c>
      <c r="HM67" s="607">
        <v>70</v>
      </c>
      <c r="HN67" s="607">
        <v>70</v>
      </c>
      <c r="HO67" s="607">
        <v>70</v>
      </c>
      <c r="HP67" s="607">
        <v>70</v>
      </c>
      <c r="HQ67" s="607">
        <v>70</v>
      </c>
      <c r="HR67" s="607">
        <v>70</v>
      </c>
      <c r="HS67" s="607">
        <v>70</v>
      </c>
      <c r="HT67" s="607">
        <v>70</v>
      </c>
      <c r="HU67" s="607">
        <v>70</v>
      </c>
      <c r="HV67" s="607">
        <v>70</v>
      </c>
      <c r="HW67" s="607">
        <v>70</v>
      </c>
      <c r="HX67" s="607">
        <v>70</v>
      </c>
      <c r="HY67" s="607">
        <v>70</v>
      </c>
      <c r="HZ67" s="607">
        <v>70</v>
      </c>
      <c r="IA67" s="607">
        <v>70</v>
      </c>
      <c r="IB67" s="607">
        <v>70</v>
      </c>
      <c r="IC67" s="607">
        <v>70</v>
      </c>
      <c r="ID67" s="607">
        <v>70</v>
      </c>
      <c r="IE67" s="607">
        <v>70</v>
      </c>
      <c r="IF67" s="607">
        <v>70</v>
      </c>
      <c r="IG67" s="607">
        <v>70</v>
      </c>
      <c r="IH67" s="607">
        <v>70</v>
      </c>
      <c r="II67" s="607">
        <v>70</v>
      </c>
      <c r="IJ67" s="607">
        <v>70</v>
      </c>
      <c r="IK67" s="607">
        <v>70</v>
      </c>
      <c r="IL67" s="607">
        <v>70</v>
      </c>
      <c r="IM67" s="607">
        <v>70</v>
      </c>
      <c r="IN67" s="607">
        <v>70</v>
      </c>
      <c r="IO67" s="607">
        <v>70</v>
      </c>
      <c r="IP67" s="607">
        <v>70</v>
      </c>
      <c r="IQ67" s="607">
        <v>70</v>
      </c>
      <c r="IR67" s="607">
        <v>70</v>
      </c>
      <c r="IS67" s="607">
        <v>70</v>
      </c>
      <c r="IT67" s="607">
        <v>70</v>
      </c>
      <c r="IU67" s="607">
        <v>70</v>
      </c>
      <c r="IV67" s="607">
        <v>70</v>
      </c>
      <c r="IW67" s="607">
        <v>70</v>
      </c>
      <c r="IX67" s="607">
        <v>70</v>
      </c>
      <c r="IY67" s="607">
        <v>70</v>
      </c>
      <c r="IZ67" s="607">
        <v>70</v>
      </c>
      <c r="JA67" s="607">
        <v>70</v>
      </c>
      <c r="JB67" s="607">
        <v>70</v>
      </c>
      <c r="JC67" s="607">
        <v>70</v>
      </c>
      <c r="JD67" s="607">
        <v>70</v>
      </c>
      <c r="JE67" s="607">
        <v>70</v>
      </c>
      <c r="JF67" s="607">
        <v>70</v>
      </c>
      <c r="JG67" s="607">
        <v>70</v>
      </c>
      <c r="JH67" s="607">
        <v>70</v>
      </c>
      <c r="JI67" s="607">
        <v>70</v>
      </c>
      <c r="JJ67" s="607">
        <v>70</v>
      </c>
      <c r="JK67" s="607">
        <v>70</v>
      </c>
      <c r="JL67" s="607">
        <v>70</v>
      </c>
      <c r="JM67" s="607">
        <v>70</v>
      </c>
      <c r="JN67" s="607">
        <v>70</v>
      </c>
      <c r="JO67" s="607">
        <v>70</v>
      </c>
      <c r="JP67" s="607">
        <v>70</v>
      </c>
      <c r="JQ67" s="607">
        <v>70</v>
      </c>
      <c r="JR67" s="607">
        <v>70</v>
      </c>
    </row>
    <row r="68" spans="1:278" ht="13.5">
      <c r="A68" s="44"/>
      <c r="B68" s="170" t="s">
        <v>144</v>
      </c>
      <c r="C68" s="170"/>
      <c r="D68" s="93" t="s">
        <v>11</v>
      </c>
      <c r="E68" s="93" t="s">
        <v>229</v>
      </c>
      <c r="FE68" s="607">
        <v>26</v>
      </c>
      <c r="FF68" s="607">
        <v>26</v>
      </c>
      <c r="FG68" s="607">
        <v>26</v>
      </c>
      <c r="FH68" s="607">
        <v>26</v>
      </c>
      <c r="FI68" s="607">
        <v>26</v>
      </c>
      <c r="FJ68" s="607">
        <v>26</v>
      </c>
      <c r="FK68" s="607">
        <v>26</v>
      </c>
      <c r="FL68" s="607">
        <v>26</v>
      </c>
      <c r="FM68" s="607">
        <v>26</v>
      </c>
      <c r="FN68" s="607">
        <v>26</v>
      </c>
      <c r="FO68" s="607">
        <v>26</v>
      </c>
      <c r="FP68" s="607">
        <v>26</v>
      </c>
      <c r="FQ68" s="607">
        <v>26</v>
      </c>
      <c r="FR68" s="607">
        <v>26</v>
      </c>
      <c r="FS68" s="607">
        <v>26</v>
      </c>
      <c r="FT68" s="607">
        <v>26</v>
      </c>
      <c r="FU68" s="607">
        <v>26</v>
      </c>
      <c r="FV68" s="607">
        <v>26</v>
      </c>
      <c r="FW68" s="607">
        <v>26</v>
      </c>
      <c r="FX68" s="607">
        <v>26</v>
      </c>
      <c r="FY68" s="607">
        <v>26</v>
      </c>
      <c r="FZ68" s="607">
        <v>26</v>
      </c>
      <c r="GA68" s="607">
        <v>26</v>
      </c>
      <c r="GB68" s="607">
        <v>26</v>
      </c>
      <c r="GC68" s="607">
        <v>26</v>
      </c>
      <c r="GD68" s="607">
        <v>26</v>
      </c>
      <c r="GE68" s="607">
        <v>26</v>
      </c>
      <c r="GF68" s="607">
        <v>26</v>
      </c>
      <c r="GG68" s="607">
        <v>26</v>
      </c>
      <c r="GH68" s="607">
        <v>26</v>
      </c>
      <c r="GI68" s="607">
        <v>26</v>
      </c>
      <c r="GJ68" s="607">
        <v>26</v>
      </c>
      <c r="GK68" s="607">
        <v>26</v>
      </c>
      <c r="GL68" s="607">
        <v>26</v>
      </c>
      <c r="GM68" s="607">
        <v>26</v>
      </c>
      <c r="GN68" s="607">
        <v>26</v>
      </c>
      <c r="GO68" s="607">
        <v>26</v>
      </c>
      <c r="GP68" s="607">
        <v>26</v>
      </c>
      <c r="GQ68" s="607">
        <v>26</v>
      </c>
      <c r="GR68" s="607">
        <v>26</v>
      </c>
      <c r="GS68" s="607">
        <v>26</v>
      </c>
      <c r="GT68" s="607">
        <v>26</v>
      </c>
      <c r="GU68" s="607">
        <v>26</v>
      </c>
      <c r="GV68" s="607">
        <v>26</v>
      </c>
      <c r="GW68" s="607">
        <v>26</v>
      </c>
      <c r="GX68" s="607">
        <v>26</v>
      </c>
      <c r="GY68" s="607">
        <v>26</v>
      </c>
      <c r="GZ68" s="607">
        <v>26</v>
      </c>
      <c r="HA68" s="607">
        <v>26</v>
      </c>
      <c r="HB68" s="607">
        <v>26</v>
      </c>
      <c r="HC68" s="607">
        <v>26</v>
      </c>
      <c r="HD68" s="607">
        <v>26</v>
      </c>
      <c r="HE68" s="607">
        <v>26</v>
      </c>
      <c r="HF68" s="607">
        <v>26</v>
      </c>
      <c r="HG68" s="607">
        <v>26</v>
      </c>
      <c r="HH68" s="607">
        <v>26</v>
      </c>
      <c r="HI68" s="607">
        <v>26</v>
      </c>
      <c r="HJ68" s="607">
        <v>26</v>
      </c>
      <c r="HK68" s="607">
        <v>26</v>
      </c>
      <c r="HL68" s="607">
        <v>26</v>
      </c>
      <c r="HM68" s="607">
        <v>26</v>
      </c>
      <c r="HN68" s="607">
        <v>26</v>
      </c>
      <c r="HO68" s="607">
        <v>26</v>
      </c>
      <c r="HP68" s="607">
        <v>26</v>
      </c>
      <c r="HQ68" s="607">
        <v>26</v>
      </c>
      <c r="HR68" s="607">
        <v>26</v>
      </c>
      <c r="HS68" s="607">
        <v>26</v>
      </c>
      <c r="HT68" s="607">
        <v>26</v>
      </c>
      <c r="HU68" s="607">
        <v>26</v>
      </c>
      <c r="HV68" s="607">
        <v>26</v>
      </c>
      <c r="HW68" s="607">
        <v>26</v>
      </c>
      <c r="HX68" s="607">
        <v>26</v>
      </c>
      <c r="HY68" s="607">
        <v>26</v>
      </c>
      <c r="HZ68" s="607">
        <v>26</v>
      </c>
      <c r="IA68" s="607">
        <v>26</v>
      </c>
      <c r="IB68" s="607">
        <v>26</v>
      </c>
      <c r="IC68" s="607">
        <v>26</v>
      </c>
      <c r="ID68" s="607">
        <v>26</v>
      </c>
      <c r="IE68" s="607">
        <v>26</v>
      </c>
      <c r="IF68" s="607">
        <v>26</v>
      </c>
      <c r="IG68" s="607">
        <v>26</v>
      </c>
      <c r="IH68" s="607">
        <v>26</v>
      </c>
      <c r="II68" s="607">
        <v>26</v>
      </c>
      <c r="IJ68" s="607">
        <v>26</v>
      </c>
      <c r="IK68" s="607">
        <v>26</v>
      </c>
      <c r="IL68" s="607">
        <v>26</v>
      </c>
      <c r="IM68" s="607">
        <v>26</v>
      </c>
      <c r="IN68" s="607">
        <v>26</v>
      </c>
      <c r="IO68" s="607">
        <v>26</v>
      </c>
      <c r="IP68" s="607">
        <v>26</v>
      </c>
      <c r="IQ68" s="607">
        <v>26</v>
      </c>
      <c r="IR68" s="607">
        <v>26</v>
      </c>
      <c r="IS68" s="607">
        <v>26</v>
      </c>
      <c r="IT68" s="607">
        <v>26</v>
      </c>
      <c r="IU68" s="607">
        <v>26</v>
      </c>
      <c r="IV68" s="607">
        <v>26</v>
      </c>
      <c r="IW68" s="607">
        <v>26</v>
      </c>
      <c r="IX68" s="607">
        <v>26</v>
      </c>
      <c r="IY68" s="607">
        <v>26</v>
      </c>
      <c r="IZ68" s="607">
        <v>26</v>
      </c>
      <c r="JA68" s="607">
        <v>26</v>
      </c>
      <c r="JB68" s="607">
        <v>26</v>
      </c>
      <c r="JC68" s="607">
        <v>26</v>
      </c>
      <c r="JD68" s="607">
        <v>26</v>
      </c>
      <c r="JE68" s="607">
        <v>26</v>
      </c>
      <c r="JF68" s="607">
        <v>26</v>
      </c>
      <c r="JG68" s="607">
        <v>26</v>
      </c>
      <c r="JH68" s="607">
        <v>26</v>
      </c>
      <c r="JI68" s="607">
        <v>26</v>
      </c>
      <c r="JJ68" s="607">
        <v>26</v>
      </c>
      <c r="JK68" s="607">
        <v>26</v>
      </c>
      <c r="JL68" s="607">
        <v>26</v>
      </c>
      <c r="JM68" s="607">
        <v>26</v>
      </c>
      <c r="JN68" s="607">
        <v>26</v>
      </c>
      <c r="JO68" s="607">
        <v>26</v>
      </c>
      <c r="JP68" s="607">
        <v>26</v>
      </c>
      <c r="JQ68" s="607">
        <v>26</v>
      </c>
      <c r="JR68" s="607">
        <v>26</v>
      </c>
    </row>
    <row r="69" spans="1:278" ht="13.5">
      <c r="A69" s="47"/>
      <c r="B69" s="36" t="s">
        <v>145</v>
      </c>
      <c r="C69" s="36"/>
      <c r="D69" s="26" t="s">
        <v>11</v>
      </c>
      <c r="E69" s="26" t="s">
        <v>9</v>
      </c>
      <c r="FE69" s="607">
        <v>26</v>
      </c>
      <c r="FF69" s="607">
        <v>26</v>
      </c>
      <c r="FG69" s="607">
        <v>26</v>
      </c>
      <c r="FH69" s="607">
        <v>26</v>
      </c>
      <c r="FI69" s="607">
        <v>26</v>
      </c>
      <c r="FJ69" s="607">
        <v>26</v>
      </c>
      <c r="FK69" s="607">
        <v>26</v>
      </c>
      <c r="FL69" s="607">
        <v>26</v>
      </c>
      <c r="FM69" s="607">
        <v>26</v>
      </c>
      <c r="FN69" s="607">
        <v>26</v>
      </c>
      <c r="FO69" s="607">
        <v>26</v>
      </c>
      <c r="FP69" s="607">
        <v>26</v>
      </c>
      <c r="FQ69" s="607">
        <v>26</v>
      </c>
      <c r="FR69" s="607">
        <v>26</v>
      </c>
      <c r="FS69" s="607">
        <v>26</v>
      </c>
      <c r="FT69" s="607">
        <v>26</v>
      </c>
      <c r="FU69" s="607">
        <v>26</v>
      </c>
      <c r="FV69" s="607">
        <v>26</v>
      </c>
      <c r="FW69" s="607">
        <v>26</v>
      </c>
      <c r="FX69" s="607">
        <v>26</v>
      </c>
      <c r="FY69" s="607">
        <v>26</v>
      </c>
      <c r="FZ69" s="607">
        <v>26</v>
      </c>
      <c r="GA69" s="607">
        <v>26</v>
      </c>
      <c r="GB69" s="607">
        <v>26</v>
      </c>
      <c r="GC69" s="607">
        <v>26</v>
      </c>
      <c r="GD69" s="607">
        <v>26</v>
      </c>
      <c r="GE69" s="607">
        <v>26</v>
      </c>
      <c r="GF69" s="607">
        <v>26</v>
      </c>
      <c r="GG69" s="607">
        <v>26</v>
      </c>
      <c r="GH69" s="607">
        <v>26</v>
      </c>
      <c r="GI69" s="607">
        <v>26</v>
      </c>
      <c r="GJ69" s="607">
        <v>26</v>
      </c>
      <c r="GK69" s="607">
        <v>26</v>
      </c>
      <c r="GL69" s="607">
        <v>26</v>
      </c>
      <c r="GM69" s="607">
        <v>26</v>
      </c>
      <c r="GN69" s="607">
        <v>26</v>
      </c>
      <c r="GO69" s="607">
        <v>26</v>
      </c>
      <c r="GP69" s="607">
        <v>26</v>
      </c>
      <c r="GQ69" s="607">
        <v>26</v>
      </c>
      <c r="GR69" s="607">
        <v>26</v>
      </c>
      <c r="GS69" s="607">
        <v>26</v>
      </c>
      <c r="GT69" s="607">
        <v>26</v>
      </c>
      <c r="GU69" s="607">
        <v>26</v>
      </c>
      <c r="GV69" s="607">
        <v>26</v>
      </c>
      <c r="GW69" s="607">
        <v>26</v>
      </c>
      <c r="GX69" s="607">
        <v>26</v>
      </c>
      <c r="GY69" s="607">
        <v>26</v>
      </c>
      <c r="GZ69" s="607">
        <v>26</v>
      </c>
      <c r="HA69" s="607">
        <v>26</v>
      </c>
      <c r="HB69" s="607">
        <v>26</v>
      </c>
      <c r="HC69" s="607">
        <v>26</v>
      </c>
      <c r="HD69" s="607">
        <v>26</v>
      </c>
      <c r="HE69" s="607">
        <v>26</v>
      </c>
      <c r="HF69" s="607">
        <v>26</v>
      </c>
      <c r="HG69" s="607">
        <v>26</v>
      </c>
      <c r="HH69" s="607">
        <v>26</v>
      </c>
      <c r="HI69" s="607">
        <v>26</v>
      </c>
      <c r="HJ69" s="607">
        <v>26</v>
      </c>
      <c r="HK69" s="607">
        <v>26</v>
      </c>
      <c r="HL69" s="607">
        <v>26</v>
      </c>
      <c r="HM69" s="607">
        <v>26</v>
      </c>
      <c r="HN69" s="607">
        <v>26</v>
      </c>
      <c r="HO69" s="607">
        <v>26</v>
      </c>
      <c r="HP69" s="607">
        <v>26</v>
      </c>
      <c r="HQ69" s="607">
        <v>26</v>
      </c>
      <c r="HR69" s="607">
        <v>26</v>
      </c>
      <c r="HS69" s="607">
        <v>26</v>
      </c>
      <c r="HT69" s="607">
        <v>26</v>
      </c>
      <c r="HU69" s="607">
        <v>26</v>
      </c>
      <c r="HV69" s="607">
        <v>26</v>
      </c>
      <c r="HW69" s="607">
        <v>26</v>
      </c>
      <c r="HX69" s="607">
        <v>26</v>
      </c>
      <c r="HY69" s="607">
        <v>26</v>
      </c>
      <c r="HZ69" s="607">
        <v>26</v>
      </c>
      <c r="IA69" s="607">
        <v>26</v>
      </c>
      <c r="IB69" s="607">
        <v>26</v>
      </c>
      <c r="IC69" s="607">
        <v>26</v>
      </c>
      <c r="ID69" s="607">
        <v>26</v>
      </c>
      <c r="IE69" s="607">
        <v>26</v>
      </c>
      <c r="IF69" s="607">
        <v>26</v>
      </c>
      <c r="IG69" s="607">
        <v>26</v>
      </c>
      <c r="IH69" s="607">
        <v>26</v>
      </c>
      <c r="II69" s="607">
        <v>26</v>
      </c>
      <c r="IJ69" s="607">
        <v>26</v>
      </c>
      <c r="IK69" s="607">
        <v>26</v>
      </c>
      <c r="IL69" s="607">
        <v>26</v>
      </c>
      <c r="IM69" s="607">
        <v>26</v>
      </c>
      <c r="IN69" s="607">
        <v>26</v>
      </c>
      <c r="IO69" s="607">
        <v>26</v>
      </c>
      <c r="IP69" s="607">
        <v>26</v>
      </c>
      <c r="IQ69" s="607">
        <v>26</v>
      </c>
      <c r="IR69" s="607">
        <v>26</v>
      </c>
      <c r="IS69" s="607">
        <v>26</v>
      </c>
      <c r="IT69" s="607">
        <v>26</v>
      </c>
      <c r="IU69" s="607">
        <v>26</v>
      </c>
      <c r="IV69" s="607">
        <v>26</v>
      </c>
      <c r="IW69" s="607">
        <v>26</v>
      </c>
      <c r="IX69" s="607">
        <v>26</v>
      </c>
      <c r="IY69" s="607">
        <v>26</v>
      </c>
      <c r="IZ69" s="607">
        <v>26</v>
      </c>
      <c r="JA69" s="607">
        <v>26</v>
      </c>
      <c r="JB69" s="607">
        <v>26</v>
      </c>
      <c r="JC69" s="607">
        <v>26</v>
      </c>
      <c r="JD69" s="607">
        <v>26</v>
      </c>
      <c r="JE69" s="607">
        <v>26</v>
      </c>
      <c r="JF69" s="607">
        <v>26</v>
      </c>
      <c r="JG69" s="607">
        <v>26</v>
      </c>
      <c r="JH69" s="607">
        <v>26</v>
      </c>
      <c r="JI69" s="607">
        <v>26</v>
      </c>
      <c r="JJ69" s="607">
        <v>26</v>
      </c>
      <c r="JK69" s="607">
        <v>26</v>
      </c>
      <c r="JL69" s="607">
        <v>26</v>
      </c>
      <c r="JM69" s="607">
        <v>26</v>
      </c>
      <c r="JN69" s="607">
        <v>26</v>
      </c>
      <c r="JO69" s="607">
        <v>26</v>
      </c>
      <c r="JP69" s="607">
        <v>26</v>
      </c>
      <c r="JQ69" s="607">
        <v>26</v>
      </c>
      <c r="JR69" s="607">
        <v>26</v>
      </c>
    </row>
    <row r="70" spans="1:278" ht="13.5">
      <c r="A70" s="45"/>
      <c r="B70" s="36" t="s">
        <v>147</v>
      </c>
      <c r="C70" s="36"/>
      <c r="D70" s="26" t="s">
        <v>12</v>
      </c>
      <c r="E70" s="26" t="s">
        <v>10</v>
      </c>
      <c r="FE70" s="607">
        <v>350</v>
      </c>
      <c r="FF70" s="607">
        <v>350</v>
      </c>
      <c r="FG70" s="607">
        <v>350</v>
      </c>
      <c r="FH70" s="607">
        <v>350</v>
      </c>
      <c r="FI70" s="607">
        <v>350</v>
      </c>
      <c r="FJ70" s="607">
        <v>350</v>
      </c>
      <c r="FK70" s="607">
        <v>350</v>
      </c>
      <c r="FL70" s="607">
        <v>350</v>
      </c>
      <c r="FM70" s="607">
        <v>350</v>
      </c>
      <c r="FN70" s="607">
        <v>350</v>
      </c>
      <c r="FO70" s="607">
        <v>350</v>
      </c>
      <c r="FP70" s="607">
        <v>350</v>
      </c>
      <c r="FQ70" s="607">
        <v>350</v>
      </c>
      <c r="FR70" s="607">
        <v>350</v>
      </c>
      <c r="FS70" s="607">
        <v>350</v>
      </c>
      <c r="FT70" s="607">
        <v>350</v>
      </c>
      <c r="FU70" s="607">
        <v>350</v>
      </c>
      <c r="FV70" s="607">
        <v>350</v>
      </c>
      <c r="FW70" s="607">
        <v>350</v>
      </c>
      <c r="FX70" s="607">
        <v>350</v>
      </c>
      <c r="FY70" s="607">
        <v>350</v>
      </c>
      <c r="FZ70" s="607">
        <v>350</v>
      </c>
      <c r="GA70" s="607">
        <v>350</v>
      </c>
      <c r="GB70" s="607">
        <v>350</v>
      </c>
      <c r="GC70" s="607">
        <v>350</v>
      </c>
      <c r="GD70" s="607">
        <v>350</v>
      </c>
      <c r="GE70" s="607">
        <v>350</v>
      </c>
      <c r="GF70" s="607">
        <v>350</v>
      </c>
      <c r="GG70" s="607">
        <v>350</v>
      </c>
      <c r="GH70" s="607">
        <v>350</v>
      </c>
      <c r="GI70" s="607">
        <v>350</v>
      </c>
      <c r="GJ70" s="607">
        <v>350</v>
      </c>
      <c r="GK70" s="607">
        <v>350</v>
      </c>
      <c r="GL70" s="607">
        <v>350</v>
      </c>
      <c r="GM70" s="607">
        <v>350</v>
      </c>
      <c r="GN70" s="607">
        <v>350</v>
      </c>
      <c r="GO70" s="607">
        <v>350</v>
      </c>
      <c r="GP70" s="607">
        <v>350</v>
      </c>
      <c r="GQ70" s="607">
        <v>350</v>
      </c>
      <c r="GR70" s="607">
        <v>350</v>
      </c>
      <c r="GS70" s="607">
        <v>350</v>
      </c>
      <c r="GT70" s="607">
        <v>350</v>
      </c>
      <c r="GU70" s="607">
        <v>350</v>
      </c>
      <c r="GV70" s="607">
        <v>350</v>
      </c>
      <c r="GW70" s="607">
        <v>350</v>
      </c>
      <c r="GX70" s="607">
        <v>350</v>
      </c>
      <c r="GY70" s="607">
        <v>350</v>
      </c>
      <c r="GZ70" s="607">
        <v>350</v>
      </c>
      <c r="HA70" s="607">
        <v>350</v>
      </c>
      <c r="HB70" s="607">
        <v>350</v>
      </c>
      <c r="HC70" s="607">
        <v>350</v>
      </c>
      <c r="HD70" s="607">
        <v>350</v>
      </c>
      <c r="HE70" s="607">
        <v>350</v>
      </c>
      <c r="HF70" s="607">
        <v>350</v>
      </c>
      <c r="HG70" s="607">
        <v>350</v>
      </c>
      <c r="HH70" s="607">
        <v>350</v>
      </c>
      <c r="HI70" s="607">
        <v>350</v>
      </c>
      <c r="HJ70" s="607">
        <v>350</v>
      </c>
      <c r="HK70" s="607">
        <v>350</v>
      </c>
      <c r="HL70" s="607">
        <v>350</v>
      </c>
      <c r="HM70" s="607">
        <v>350</v>
      </c>
      <c r="HN70" s="607">
        <v>350</v>
      </c>
      <c r="HO70" s="607">
        <v>350</v>
      </c>
      <c r="HP70" s="607">
        <v>350</v>
      </c>
      <c r="HQ70" s="607">
        <v>350</v>
      </c>
      <c r="HR70" s="607">
        <v>350</v>
      </c>
      <c r="HS70" s="607">
        <v>350</v>
      </c>
      <c r="HT70" s="607">
        <v>350</v>
      </c>
      <c r="HU70" s="607">
        <v>350</v>
      </c>
      <c r="HV70" s="607">
        <v>350</v>
      </c>
      <c r="HW70" s="607">
        <v>350</v>
      </c>
      <c r="HX70" s="607">
        <v>350</v>
      </c>
      <c r="HY70" s="607">
        <v>350</v>
      </c>
      <c r="HZ70" s="607">
        <v>350</v>
      </c>
      <c r="IA70" s="607">
        <v>350</v>
      </c>
      <c r="IB70" s="607">
        <v>350</v>
      </c>
      <c r="IC70" s="607">
        <v>350</v>
      </c>
      <c r="ID70" s="607">
        <v>350</v>
      </c>
      <c r="IE70" s="607">
        <v>350</v>
      </c>
      <c r="IF70" s="607">
        <v>350</v>
      </c>
      <c r="IG70" s="607">
        <v>350</v>
      </c>
      <c r="IH70" s="607">
        <v>350</v>
      </c>
      <c r="II70" s="607">
        <v>350</v>
      </c>
      <c r="IJ70" s="607">
        <v>350</v>
      </c>
      <c r="IK70" s="607">
        <v>350</v>
      </c>
      <c r="IL70" s="607">
        <v>350</v>
      </c>
      <c r="IM70" s="607">
        <v>350</v>
      </c>
      <c r="IN70" s="607">
        <v>350</v>
      </c>
      <c r="IO70" s="607">
        <v>350</v>
      </c>
      <c r="IP70" s="607">
        <v>350</v>
      </c>
      <c r="IQ70" s="607">
        <v>350</v>
      </c>
      <c r="IR70" s="607">
        <v>350</v>
      </c>
      <c r="IS70" s="607">
        <v>350</v>
      </c>
      <c r="IT70" s="607">
        <v>350</v>
      </c>
      <c r="IU70" s="607">
        <v>350</v>
      </c>
      <c r="IV70" s="607">
        <v>350</v>
      </c>
      <c r="IW70" s="607">
        <v>350</v>
      </c>
      <c r="IX70" s="607">
        <v>350</v>
      </c>
      <c r="IY70" s="607">
        <v>350</v>
      </c>
      <c r="IZ70" s="607">
        <v>350</v>
      </c>
      <c r="JA70" s="607">
        <v>350</v>
      </c>
      <c r="JB70" s="607">
        <v>350</v>
      </c>
      <c r="JC70" s="607">
        <v>350</v>
      </c>
      <c r="JD70" s="607">
        <v>350</v>
      </c>
      <c r="JE70" s="607">
        <v>350</v>
      </c>
      <c r="JF70" s="607">
        <v>350</v>
      </c>
      <c r="JG70" s="607">
        <v>350</v>
      </c>
      <c r="JH70" s="607">
        <v>350</v>
      </c>
      <c r="JI70" s="607">
        <v>350</v>
      </c>
      <c r="JJ70" s="607">
        <v>350</v>
      </c>
      <c r="JK70" s="607">
        <v>350</v>
      </c>
      <c r="JL70" s="607">
        <v>350</v>
      </c>
      <c r="JM70" s="607">
        <v>350</v>
      </c>
      <c r="JN70" s="607">
        <v>350</v>
      </c>
      <c r="JO70" s="607">
        <v>350</v>
      </c>
      <c r="JP70" s="607">
        <v>350</v>
      </c>
      <c r="JQ70" s="607">
        <v>350</v>
      </c>
      <c r="JR70" s="607">
        <v>350</v>
      </c>
    </row>
    <row r="71" spans="1:278" ht="13.5">
      <c r="A71" s="45"/>
      <c r="B71" s="36" t="s">
        <v>225</v>
      </c>
      <c r="C71" s="36"/>
      <c r="D71" s="26" t="s">
        <v>226</v>
      </c>
      <c r="E71" s="26" t="s">
        <v>227</v>
      </c>
      <c r="FE71" s="607">
        <v>24</v>
      </c>
      <c r="FF71" s="607">
        <v>24</v>
      </c>
      <c r="FG71" s="607">
        <v>24</v>
      </c>
      <c r="FH71" s="607">
        <v>24</v>
      </c>
      <c r="FI71" s="607">
        <v>24</v>
      </c>
      <c r="FJ71" s="607">
        <v>24</v>
      </c>
      <c r="FK71" s="607">
        <v>24</v>
      </c>
      <c r="FL71" s="607">
        <v>24</v>
      </c>
      <c r="FM71" s="607">
        <v>24</v>
      </c>
      <c r="FN71" s="607">
        <v>24</v>
      </c>
      <c r="FO71" s="607">
        <v>24</v>
      </c>
      <c r="FP71" s="607">
        <v>24</v>
      </c>
      <c r="FQ71" s="607">
        <v>24</v>
      </c>
      <c r="FR71" s="607">
        <v>24</v>
      </c>
      <c r="FS71" s="607">
        <v>24</v>
      </c>
      <c r="FT71" s="607">
        <v>24</v>
      </c>
      <c r="FU71" s="607">
        <v>24</v>
      </c>
      <c r="FV71" s="607">
        <v>24</v>
      </c>
      <c r="FW71" s="607">
        <v>24</v>
      </c>
      <c r="FX71" s="607">
        <v>24</v>
      </c>
      <c r="FY71" s="607">
        <v>24</v>
      </c>
      <c r="FZ71" s="607">
        <v>24</v>
      </c>
      <c r="GA71" s="607">
        <v>24</v>
      </c>
      <c r="GB71" s="607">
        <v>24</v>
      </c>
      <c r="GC71" s="607">
        <v>24</v>
      </c>
      <c r="GD71" s="607">
        <v>24</v>
      </c>
      <c r="GE71" s="607">
        <v>24</v>
      </c>
      <c r="GF71" s="607">
        <v>24</v>
      </c>
      <c r="GG71" s="607">
        <v>24</v>
      </c>
      <c r="GH71" s="607">
        <v>24</v>
      </c>
      <c r="GI71" s="607">
        <v>24</v>
      </c>
      <c r="GJ71" s="607">
        <v>24</v>
      </c>
      <c r="GK71" s="607">
        <v>24</v>
      </c>
      <c r="GL71" s="607">
        <v>24</v>
      </c>
      <c r="GM71" s="607">
        <v>24</v>
      </c>
      <c r="GN71" s="607">
        <v>24</v>
      </c>
      <c r="GO71" s="607">
        <v>24</v>
      </c>
      <c r="GP71" s="607">
        <v>24</v>
      </c>
      <c r="GQ71" s="607">
        <v>24</v>
      </c>
      <c r="GR71" s="607">
        <v>24</v>
      </c>
      <c r="GS71" s="607">
        <v>24</v>
      </c>
      <c r="GT71" s="607">
        <v>24</v>
      </c>
      <c r="GU71" s="607">
        <v>24</v>
      </c>
      <c r="GV71" s="607">
        <v>24</v>
      </c>
      <c r="GW71" s="607">
        <v>24</v>
      </c>
      <c r="GX71" s="607">
        <v>24</v>
      </c>
      <c r="GY71" s="607">
        <v>24</v>
      </c>
      <c r="GZ71" s="607">
        <v>24</v>
      </c>
      <c r="HA71" s="607">
        <v>24</v>
      </c>
      <c r="HB71" s="607">
        <v>24</v>
      </c>
      <c r="HC71" s="607">
        <v>24</v>
      </c>
      <c r="HD71" s="607">
        <v>24</v>
      </c>
      <c r="HE71" s="607">
        <v>24</v>
      </c>
      <c r="HF71" s="607">
        <v>24</v>
      </c>
      <c r="HG71" s="607">
        <v>24</v>
      </c>
      <c r="HH71" s="607">
        <v>24</v>
      </c>
      <c r="HI71" s="607">
        <v>24</v>
      </c>
      <c r="HJ71" s="607">
        <v>24</v>
      </c>
      <c r="HK71" s="607">
        <v>24</v>
      </c>
      <c r="HL71" s="607">
        <v>24</v>
      </c>
      <c r="HM71" s="607">
        <v>24</v>
      </c>
      <c r="HN71" s="607">
        <v>24</v>
      </c>
      <c r="HO71" s="607">
        <v>24</v>
      </c>
      <c r="HP71" s="607">
        <v>24</v>
      </c>
      <c r="HQ71" s="607">
        <v>24</v>
      </c>
      <c r="HR71" s="607">
        <v>24</v>
      </c>
      <c r="HS71" s="607">
        <v>24</v>
      </c>
      <c r="HT71" s="607">
        <v>24</v>
      </c>
      <c r="HU71" s="607">
        <v>24</v>
      </c>
      <c r="HV71" s="607">
        <v>24</v>
      </c>
      <c r="HW71" s="607">
        <v>24</v>
      </c>
      <c r="HX71" s="607">
        <v>24</v>
      </c>
      <c r="HY71" s="607">
        <v>24</v>
      </c>
      <c r="HZ71" s="607">
        <v>24</v>
      </c>
      <c r="IA71" s="607">
        <v>24</v>
      </c>
      <c r="IB71" s="607">
        <v>24</v>
      </c>
      <c r="IC71" s="607">
        <v>24</v>
      </c>
      <c r="ID71" s="607">
        <v>24</v>
      </c>
      <c r="IE71" s="607">
        <v>24</v>
      </c>
      <c r="IF71" s="607">
        <v>24</v>
      </c>
      <c r="IG71" s="607">
        <v>24</v>
      </c>
      <c r="IH71" s="607">
        <v>24</v>
      </c>
      <c r="II71" s="607">
        <v>24</v>
      </c>
      <c r="IJ71" s="607">
        <v>24</v>
      </c>
      <c r="IK71" s="607">
        <v>24</v>
      </c>
      <c r="IL71" s="607">
        <v>24</v>
      </c>
      <c r="IM71" s="607">
        <v>24</v>
      </c>
      <c r="IN71" s="607">
        <v>24</v>
      </c>
      <c r="IO71" s="607">
        <v>24</v>
      </c>
      <c r="IP71" s="607">
        <v>24</v>
      </c>
      <c r="IQ71" s="607">
        <v>24</v>
      </c>
      <c r="IR71" s="607">
        <v>24</v>
      </c>
      <c r="IS71" s="607">
        <v>24</v>
      </c>
      <c r="IT71" s="607">
        <v>24</v>
      </c>
      <c r="IU71" s="607">
        <v>24</v>
      </c>
      <c r="IV71" s="607">
        <v>24</v>
      </c>
      <c r="IW71" s="607">
        <v>24</v>
      </c>
      <c r="IX71" s="607">
        <v>24</v>
      </c>
      <c r="IY71" s="607">
        <v>24</v>
      </c>
      <c r="IZ71" s="607">
        <v>24</v>
      </c>
      <c r="JA71" s="607">
        <v>24</v>
      </c>
      <c r="JB71" s="607">
        <v>24</v>
      </c>
      <c r="JC71" s="607">
        <v>24</v>
      </c>
      <c r="JD71" s="607">
        <v>24</v>
      </c>
      <c r="JE71" s="607">
        <v>24</v>
      </c>
      <c r="JF71" s="607">
        <v>24</v>
      </c>
      <c r="JG71" s="607">
        <v>24</v>
      </c>
      <c r="JH71" s="607">
        <v>24</v>
      </c>
      <c r="JI71" s="607">
        <v>24</v>
      </c>
      <c r="JJ71" s="607">
        <v>24</v>
      </c>
      <c r="JK71" s="607">
        <v>24</v>
      </c>
      <c r="JL71" s="607">
        <v>24</v>
      </c>
      <c r="JM71" s="607">
        <v>24</v>
      </c>
      <c r="JN71" s="607">
        <v>24</v>
      </c>
      <c r="JO71" s="607">
        <v>24</v>
      </c>
      <c r="JP71" s="607">
        <v>24</v>
      </c>
      <c r="JQ71" s="607">
        <v>24</v>
      </c>
      <c r="JR71" s="607">
        <v>24</v>
      </c>
    </row>
    <row r="72" spans="1:278" ht="13.5">
      <c r="A72" s="73"/>
      <c r="B72" s="74" t="s">
        <v>1786</v>
      </c>
      <c r="C72" s="74"/>
      <c r="D72" s="76" t="s">
        <v>11</v>
      </c>
      <c r="E72" s="76" t="s">
        <v>1784</v>
      </c>
      <c r="FE72" s="609">
        <v>72</v>
      </c>
      <c r="FF72" s="609">
        <v>72</v>
      </c>
      <c r="FG72" s="609">
        <v>72</v>
      </c>
      <c r="FH72" s="609">
        <v>72</v>
      </c>
      <c r="FI72" s="609">
        <v>72</v>
      </c>
      <c r="FJ72" s="609">
        <v>72</v>
      </c>
      <c r="FK72" s="609">
        <v>72</v>
      </c>
      <c r="FL72" s="609">
        <v>72</v>
      </c>
      <c r="FM72" s="609">
        <v>72</v>
      </c>
      <c r="FN72" s="609">
        <v>72</v>
      </c>
      <c r="FO72" s="609">
        <v>72</v>
      </c>
      <c r="FP72" s="609">
        <v>72</v>
      </c>
      <c r="FQ72" s="609">
        <v>72</v>
      </c>
      <c r="FR72" s="609">
        <v>72</v>
      </c>
      <c r="FS72" s="609">
        <v>72</v>
      </c>
      <c r="FT72" s="609">
        <v>72</v>
      </c>
      <c r="FU72" s="609">
        <v>72</v>
      </c>
      <c r="FV72" s="609">
        <v>72</v>
      </c>
      <c r="FW72" s="609">
        <v>72</v>
      </c>
      <c r="FX72" s="609">
        <v>72</v>
      </c>
      <c r="FY72" s="609">
        <v>72</v>
      </c>
      <c r="FZ72" s="609">
        <v>72</v>
      </c>
      <c r="GA72" s="609">
        <v>72</v>
      </c>
      <c r="GB72" s="609">
        <v>72</v>
      </c>
      <c r="GC72" s="609">
        <v>72</v>
      </c>
      <c r="GD72" s="609">
        <v>72</v>
      </c>
      <c r="GE72" s="609">
        <v>72</v>
      </c>
      <c r="GF72" s="609">
        <v>72</v>
      </c>
      <c r="GG72" s="609">
        <v>72</v>
      </c>
      <c r="GH72" s="609">
        <v>72</v>
      </c>
      <c r="GI72" s="609">
        <v>72</v>
      </c>
      <c r="GJ72" s="609">
        <v>72</v>
      </c>
      <c r="GK72" s="609">
        <v>72</v>
      </c>
      <c r="GL72" s="609">
        <v>72</v>
      </c>
      <c r="GM72" s="609">
        <v>72</v>
      </c>
      <c r="GN72" s="609">
        <v>72</v>
      </c>
      <c r="GO72" s="609">
        <v>72</v>
      </c>
      <c r="GP72" s="609">
        <v>72</v>
      </c>
      <c r="GQ72" s="609">
        <v>72</v>
      </c>
      <c r="GR72" s="609">
        <v>72</v>
      </c>
      <c r="GS72" s="609">
        <v>72</v>
      </c>
      <c r="GT72" s="609">
        <v>72</v>
      </c>
      <c r="GU72" s="609">
        <v>72</v>
      </c>
      <c r="GV72" s="609">
        <v>72</v>
      </c>
      <c r="GW72" s="609">
        <v>72</v>
      </c>
      <c r="GX72" s="609">
        <v>72</v>
      </c>
      <c r="GY72" s="609">
        <v>72</v>
      </c>
      <c r="GZ72" s="609">
        <v>72</v>
      </c>
      <c r="HA72" s="609">
        <v>72</v>
      </c>
      <c r="HB72" s="609">
        <v>72</v>
      </c>
      <c r="HC72" s="609">
        <v>72</v>
      </c>
      <c r="HD72" s="609">
        <v>72</v>
      </c>
      <c r="HE72" s="609">
        <v>72</v>
      </c>
      <c r="HF72" s="609">
        <v>72</v>
      </c>
      <c r="HG72" s="609">
        <v>72</v>
      </c>
      <c r="HH72" s="609">
        <v>72</v>
      </c>
      <c r="HI72" s="609">
        <v>72</v>
      </c>
      <c r="HJ72" s="609">
        <v>72</v>
      </c>
      <c r="HK72" s="609">
        <v>72</v>
      </c>
      <c r="HL72" s="609">
        <v>72</v>
      </c>
      <c r="HM72" s="609">
        <v>72</v>
      </c>
      <c r="HN72" s="609">
        <v>72</v>
      </c>
      <c r="HO72" s="609">
        <v>72</v>
      </c>
      <c r="HP72" s="609">
        <v>72</v>
      </c>
      <c r="HQ72" s="609">
        <v>72</v>
      </c>
      <c r="HR72" s="609">
        <v>72</v>
      </c>
      <c r="HS72" s="609">
        <v>72</v>
      </c>
      <c r="HT72" s="609">
        <v>72</v>
      </c>
      <c r="HU72" s="609">
        <v>72</v>
      </c>
      <c r="HV72" s="609">
        <v>72</v>
      </c>
      <c r="HW72" s="609">
        <v>72</v>
      </c>
      <c r="HX72" s="609">
        <v>72</v>
      </c>
      <c r="HY72" s="609">
        <v>72</v>
      </c>
      <c r="HZ72" s="609">
        <v>72</v>
      </c>
      <c r="IA72" s="609">
        <v>72</v>
      </c>
      <c r="IB72" s="609">
        <v>72</v>
      </c>
      <c r="IC72" s="609">
        <v>72</v>
      </c>
      <c r="ID72" s="609">
        <v>72</v>
      </c>
      <c r="IE72" s="609">
        <v>72</v>
      </c>
      <c r="IF72" s="609">
        <v>72</v>
      </c>
      <c r="IG72" s="609">
        <v>72</v>
      </c>
      <c r="IH72" s="609">
        <v>72</v>
      </c>
      <c r="II72" s="609">
        <v>72</v>
      </c>
      <c r="IJ72" s="609">
        <v>72</v>
      </c>
      <c r="IK72" s="609">
        <v>72</v>
      </c>
      <c r="IL72" s="609">
        <v>72</v>
      </c>
      <c r="IM72" s="609">
        <v>72</v>
      </c>
      <c r="IN72" s="609">
        <v>72</v>
      </c>
      <c r="IO72" s="609">
        <v>72</v>
      </c>
      <c r="IP72" s="609">
        <v>72</v>
      </c>
      <c r="IQ72" s="609">
        <v>72</v>
      </c>
      <c r="IR72" s="609">
        <v>72</v>
      </c>
      <c r="IS72" s="609">
        <v>72</v>
      </c>
      <c r="IT72" s="609">
        <v>72</v>
      </c>
      <c r="IU72" s="609">
        <v>72</v>
      </c>
      <c r="IV72" s="609">
        <v>72</v>
      </c>
      <c r="IW72" s="609">
        <v>72</v>
      </c>
      <c r="IX72" s="609">
        <v>72</v>
      </c>
      <c r="IY72" s="609">
        <v>72</v>
      </c>
      <c r="IZ72" s="609">
        <v>72</v>
      </c>
      <c r="JA72" s="609">
        <v>72</v>
      </c>
      <c r="JB72" s="609">
        <v>72</v>
      </c>
      <c r="JC72" s="609">
        <v>72</v>
      </c>
      <c r="JD72" s="609">
        <v>72</v>
      </c>
      <c r="JE72" s="609">
        <v>72</v>
      </c>
      <c r="JF72" s="609">
        <v>72</v>
      </c>
      <c r="JG72" s="609">
        <v>72</v>
      </c>
      <c r="JH72" s="609">
        <v>72</v>
      </c>
      <c r="JI72" s="609">
        <v>72</v>
      </c>
      <c r="JJ72" s="609">
        <v>72</v>
      </c>
      <c r="JK72" s="609">
        <v>72</v>
      </c>
      <c r="JL72" s="609">
        <v>72</v>
      </c>
      <c r="JM72" s="609">
        <v>72</v>
      </c>
      <c r="JN72" s="609">
        <v>72</v>
      </c>
      <c r="JO72" s="609">
        <v>72</v>
      </c>
      <c r="JP72" s="609">
        <v>72</v>
      </c>
      <c r="JQ72" s="609">
        <v>72</v>
      </c>
      <c r="JR72" s="609">
        <v>72</v>
      </c>
    </row>
    <row r="74" spans="1:278" ht="18">
      <c r="A74" s="708" t="s">
        <v>298</v>
      </c>
      <c r="B74" s="88"/>
      <c r="C74" s="88"/>
      <c r="D74" s="324" t="s">
        <v>136</v>
      </c>
      <c r="E74" s="324" t="s">
        <v>137</v>
      </c>
      <c r="FE74" s="616" t="s">
        <v>267</v>
      </c>
      <c r="FF74" s="616" t="s">
        <v>267</v>
      </c>
      <c r="FG74" s="616" t="s">
        <v>267</v>
      </c>
      <c r="FH74" s="616" t="s">
        <v>267</v>
      </c>
      <c r="FI74" s="616" t="s">
        <v>267</v>
      </c>
      <c r="FJ74" s="616" t="s">
        <v>267</v>
      </c>
      <c r="FK74" s="616" t="s">
        <v>267</v>
      </c>
      <c r="FL74" s="616" t="s">
        <v>267</v>
      </c>
      <c r="FM74" s="616" t="s">
        <v>267</v>
      </c>
      <c r="FN74" s="616" t="s">
        <v>267</v>
      </c>
      <c r="FO74" s="616" t="s">
        <v>267</v>
      </c>
      <c r="FP74" s="616" t="s">
        <v>267</v>
      </c>
      <c r="FQ74" s="616" t="s">
        <v>267</v>
      </c>
      <c r="FR74" s="616" t="s">
        <v>267</v>
      </c>
      <c r="FS74" s="616" t="s">
        <v>267</v>
      </c>
      <c r="FT74" s="616" t="s">
        <v>267</v>
      </c>
      <c r="FU74" s="616" t="s">
        <v>267</v>
      </c>
      <c r="FV74" s="616" t="s">
        <v>267</v>
      </c>
      <c r="FW74" s="616" t="s">
        <v>267</v>
      </c>
      <c r="FX74" s="616" t="s">
        <v>267</v>
      </c>
      <c r="FY74" s="616" t="s">
        <v>267</v>
      </c>
      <c r="FZ74" s="616" t="s">
        <v>267</v>
      </c>
      <c r="GA74" s="616" t="s">
        <v>267</v>
      </c>
      <c r="GB74" s="616" t="s">
        <v>267</v>
      </c>
      <c r="GC74" s="616" t="s">
        <v>267</v>
      </c>
      <c r="GD74" s="616" t="s">
        <v>267</v>
      </c>
      <c r="GE74" s="616" t="s">
        <v>267</v>
      </c>
      <c r="GF74" s="616" t="s">
        <v>267</v>
      </c>
      <c r="GG74" s="616" t="s">
        <v>267</v>
      </c>
      <c r="GH74" s="616" t="s">
        <v>267</v>
      </c>
      <c r="GI74" s="616" t="s">
        <v>267</v>
      </c>
      <c r="GJ74" s="616" t="s">
        <v>267</v>
      </c>
      <c r="GK74" s="616" t="s">
        <v>267</v>
      </c>
      <c r="GL74" s="616" t="s">
        <v>267</v>
      </c>
      <c r="GM74" s="616" t="s">
        <v>267</v>
      </c>
      <c r="GN74" s="616" t="s">
        <v>267</v>
      </c>
      <c r="GO74" s="616" t="s">
        <v>267</v>
      </c>
      <c r="GP74" s="616" t="s">
        <v>267</v>
      </c>
      <c r="GQ74" s="616" t="s">
        <v>267</v>
      </c>
      <c r="GR74" s="616" t="s">
        <v>267</v>
      </c>
      <c r="GS74" s="616" t="s">
        <v>267</v>
      </c>
      <c r="GT74" s="616" t="s">
        <v>267</v>
      </c>
      <c r="GU74" s="616" t="s">
        <v>267</v>
      </c>
      <c r="GV74" s="616" t="s">
        <v>267</v>
      </c>
      <c r="GW74" s="616" t="s">
        <v>267</v>
      </c>
      <c r="GX74" s="616" t="s">
        <v>267</v>
      </c>
      <c r="GY74" s="616" t="s">
        <v>267</v>
      </c>
      <c r="GZ74" s="616" t="s">
        <v>267</v>
      </c>
      <c r="HA74" s="616" t="s">
        <v>267</v>
      </c>
      <c r="HB74" s="616" t="s">
        <v>267</v>
      </c>
      <c r="HC74" s="616" t="s">
        <v>267</v>
      </c>
      <c r="HD74" s="616" t="s">
        <v>267</v>
      </c>
      <c r="HE74" s="616" t="s">
        <v>267</v>
      </c>
      <c r="HF74" s="616" t="s">
        <v>267</v>
      </c>
      <c r="HG74" s="616" t="s">
        <v>267</v>
      </c>
      <c r="HH74" s="616" t="s">
        <v>267</v>
      </c>
      <c r="HI74" s="616" t="s">
        <v>267</v>
      </c>
      <c r="HJ74" s="616" t="s">
        <v>267</v>
      </c>
      <c r="HK74" s="616" t="s">
        <v>267</v>
      </c>
      <c r="HL74" s="616" t="s">
        <v>267</v>
      </c>
      <c r="HM74" s="616" t="s">
        <v>267</v>
      </c>
      <c r="HN74" s="616" t="s">
        <v>267</v>
      </c>
      <c r="HO74" s="616" t="s">
        <v>267</v>
      </c>
      <c r="HP74" s="616" t="s">
        <v>267</v>
      </c>
      <c r="HQ74" s="616" t="s">
        <v>267</v>
      </c>
      <c r="HR74" s="616" t="s">
        <v>267</v>
      </c>
      <c r="HS74" s="616" t="s">
        <v>267</v>
      </c>
      <c r="HT74" s="616" t="s">
        <v>267</v>
      </c>
      <c r="HU74" s="616" t="s">
        <v>267</v>
      </c>
      <c r="HV74" s="616" t="s">
        <v>267</v>
      </c>
      <c r="HW74" s="616" t="s">
        <v>267</v>
      </c>
      <c r="HX74" s="616" t="s">
        <v>267</v>
      </c>
      <c r="HY74" s="616" t="s">
        <v>267</v>
      </c>
      <c r="HZ74" s="616" t="s">
        <v>267</v>
      </c>
      <c r="IA74" s="616" t="s">
        <v>267</v>
      </c>
      <c r="IB74" s="616" t="s">
        <v>267</v>
      </c>
      <c r="IC74" s="616" t="s">
        <v>267</v>
      </c>
      <c r="ID74" s="616" t="s">
        <v>267</v>
      </c>
      <c r="IE74" s="616" t="s">
        <v>267</v>
      </c>
      <c r="IF74" s="616" t="s">
        <v>267</v>
      </c>
      <c r="IG74" s="616" t="s">
        <v>267</v>
      </c>
      <c r="IH74" s="616" t="s">
        <v>267</v>
      </c>
      <c r="II74" s="616" t="s">
        <v>267</v>
      </c>
      <c r="IJ74" s="616" t="s">
        <v>267</v>
      </c>
      <c r="IK74" s="616" t="s">
        <v>267</v>
      </c>
      <c r="IL74" s="616" t="s">
        <v>267</v>
      </c>
      <c r="IM74" s="616" t="s">
        <v>267</v>
      </c>
      <c r="IN74" s="616" t="s">
        <v>267</v>
      </c>
      <c r="IO74" s="616" t="s">
        <v>267</v>
      </c>
      <c r="IP74" s="616" t="s">
        <v>267</v>
      </c>
      <c r="IQ74" s="616" t="s">
        <v>267</v>
      </c>
      <c r="IR74" s="616" t="s">
        <v>267</v>
      </c>
      <c r="IS74" s="616" t="s">
        <v>267</v>
      </c>
      <c r="IT74" s="616" t="s">
        <v>267</v>
      </c>
      <c r="IU74" s="616" t="s">
        <v>267</v>
      </c>
      <c r="IV74" s="616" t="s">
        <v>267</v>
      </c>
      <c r="IW74" s="616" t="s">
        <v>267</v>
      </c>
      <c r="IX74" s="616" t="s">
        <v>267</v>
      </c>
      <c r="IY74" s="616" t="s">
        <v>267</v>
      </c>
      <c r="IZ74" s="616" t="s">
        <v>267</v>
      </c>
      <c r="JA74" s="616" t="s">
        <v>267</v>
      </c>
      <c r="JB74" s="616" t="s">
        <v>267</v>
      </c>
      <c r="JC74" s="616" t="s">
        <v>267</v>
      </c>
      <c r="JD74" s="616" t="s">
        <v>267</v>
      </c>
      <c r="JE74" s="616" t="s">
        <v>267</v>
      </c>
      <c r="JF74" s="616" t="s">
        <v>267</v>
      </c>
      <c r="JG74" s="616" t="s">
        <v>267</v>
      </c>
      <c r="JH74" s="616" t="s">
        <v>267</v>
      </c>
      <c r="JI74" s="616" t="s">
        <v>267</v>
      </c>
      <c r="JJ74" s="616" t="s">
        <v>267</v>
      </c>
      <c r="JK74" s="616" t="s">
        <v>267</v>
      </c>
      <c r="JL74" s="616" t="s">
        <v>267</v>
      </c>
      <c r="JM74" s="616" t="s">
        <v>267</v>
      </c>
      <c r="JN74" s="616" t="s">
        <v>267</v>
      </c>
      <c r="JO74" s="616" t="s">
        <v>267</v>
      </c>
      <c r="JP74" s="616" t="s">
        <v>267</v>
      </c>
      <c r="JQ74" s="616" t="s">
        <v>267</v>
      </c>
      <c r="JR74" s="616" t="s">
        <v>267</v>
      </c>
    </row>
    <row r="75" spans="1:278" ht="15">
      <c r="A75" s="368" t="str">
        <f>IF(Source="Groundwater", "Groundwater to indoor air attenuation coefficient","Soil gas to indoor air attenuation coefficient")</f>
        <v>Groundwater to indoor air attenuation coefficient</v>
      </c>
      <c r="B75" s="366"/>
      <c r="C75" s="366"/>
      <c r="D75" s="367" t="s">
        <v>128</v>
      </c>
      <c r="E75" s="367" t="s">
        <v>272</v>
      </c>
      <c r="FE75" s="626">
        <v>2.443340154297835E-4</v>
      </c>
      <c r="FF75" s="626">
        <v>4.1281632774947902E-4</v>
      </c>
      <c r="FG75" s="626">
        <v>4.991516061313222E-4</v>
      </c>
      <c r="FH75" s="626">
        <v>5.5832821901656191E-4</v>
      </c>
      <c r="FI75" s="626">
        <v>1.6184072779374256E-3</v>
      </c>
      <c r="FJ75" s="626">
        <v>1.0174893679626438E-3</v>
      </c>
      <c r="FK75" s="626">
        <v>1.0158034913600787E-3</v>
      </c>
      <c r="FL75" s="626">
        <v>1.2221874143268324E-3</v>
      </c>
      <c r="FM75" s="626">
        <v>1.0193320993891306E-3</v>
      </c>
      <c r="FN75" s="626">
        <v>9.3557233095078237E-4</v>
      </c>
      <c r="FO75" s="626">
        <v>2.1128848350879527E-4</v>
      </c>
      <c r="FP75" s="626">
        <v>1.0501684537807814E-3</v>
      </c>
      <c r="FQ75" s="626">
        <v>2.8830074798777595E-4</v>
      </c>
      <c r="FR75" s="626">
        <v>2.3285593009151603E-4</v>
      </c>
      <c r="FS75" s="626">
        <v>2.7786550692973839E-4</v>
      </c>
      <c r="FT75" s="626">
        <v>6.6017277907930681E-4</v>
      </c>
      <c r="FU75" s="626">
        <v>1.4252894911704088E-3</v>
      </c>
      <c r="FV75" s="626">
        <v>9.4454707328217081E-4</v>
      </c>
      <c r="FW75" s="626">
        <v>1.1920360952592391E-3</v>
      </c>
      <c r="FX75" s="626">
        <v>6.9450026930139891E-4</v>
      </c>
      <c r="FY75" s="626">
        <v>6.13325672894386E-4</v>
      </c>
      <c r="FZ75" s="626">
        <v>7.2318581872025381E-4</v>
      </c>
      <c r="GA75" s="626">
        <v>1.3167913553049544E-3</v>
      </c>
      <c r="GB75" s="626">
        <v>5.32862454512095E-4</v>
      </c>
      <c r="GC75" s="626">
        <v>7.3522721572722371E-4</v>
      </c>
      <c r="GD75" s="626">
        <v>5.3626387754270239E-4</v>
      </c>
      <c r="GE75" s="626">
        <v>1.3801782442886813E-4</v>
      </c>
      <c r="GF75" s="626">
        <v>5.2495925485946152E-4</v>
      </c>
      <c r="GG75" s="626">
        <v>6.4632649616798248E-4</v>
      </c>
      <c r="GH75" s="626">
        <v>3.9334228179577305E-4</v>
      </c>
      <c r="GI75" s="626">
        <v>3.9100139064335716E-4</v>
      </c>
      <c r="GJ75" s="626">
        <v>4.428979112438384E-4</v>
      </c>
      <c r="GK75" s="626">
        <v>2.6978164271709582E-4</v>
      </c>
      <c r="GL75" s="626">
        <v>1.7735063299576331E-4</v>
      </c>
      <c r="GM75" s="626">
        <v>2.6924634023945077E-4</v>
      </c>
      <c r="GN75" s="626" t="e">
        <v>#DIV/0!</v>
      </c>
      <c r="GO75" s="626">
        <v>4.4390112790433471E-4</v>
      </c>
      <c r="GP75" s="626">
        <v>3.1717820231277644E-4</v>
      </c>
      <c r="GQ75" s="626">
        <v>6.8604402073278606E-4</v>
      </c>
      <c r="GR75" s="626">
        <v>9.731857037798237E-4</v>
      </c>
      <c r="GS75" s="626">
        <v>6.3182964868844387E-4</v>
      </c>
      <c r="GT75" s="626">
        <v>1.1612750837182017E-3</v>
      </c>
      <c r="GU75" s="626">
        <v>5.3346136947241582E-4</v>
      </c>
      <c r="GV75" s="626">
        <v>1.0606106176025653E-3</v>
      </c>
      <c r="GW75" s="626">
        <v>6.9055690381931729E-4</v>
      </c>
      <c r="GX75" s="626">
        <v>3.6937838282814528E-4</v>
      </c>
      <c r="GY75" s="626">
        <v>2.1310222165814223E-4</v>
      </c>
      <c r="GZ75" s="626">
        <v>2.434807219759243E-4</v>
      </c>
      <c r="HA75" s="626">
        <v>2.3594525743811631E-4</v>
      </c>
      <c r="HB75" s="626">
        <v>2.0509570319799108E-4</v>
      </c>
      <c r="HC75" s="626">
        <v>2.4147348165112393E-4</v>
      </c>
      <c r="HD75" s="626">
        <v>2.0472624870027076E-4</v>
      </c>
      <c r="HE75" s="626">
        <v>2.1501247305690313E-4</v>
      </c>
      <c r="HF75" s="626">
        <v>2.1501247305690313E-4</v>
      </c>
      <c r="HG75" s="626">
        <v>2.4277694430308188E-4</v>
      </c>
      <c r="HH75" s="626">
        <v>3.0998245158106067E-4</v>
      </c>
      <c r="HI75" s="626">
        <v>5.4946719800401346E-4</v>
      </c>
      <c r="HJ75" s="626">
        <v>3.8894937959959046E-4</v>
      </c>
      <c r="HK75" s="626">
        <v>5.8880666445221004E-4</v>
      </c>
      <c r="HL75" s="626">
        <v>1.0187940433814492E-3</v>
      </c>
      <c r="HM75" s="626">
        <v>1.1307359516015674E-3</v>
      </c>
      <c r="HN75" s="626">
        <v>1.8975289801062605E-4</v>
      </c>
      <c r="HO75" s="626">
        <v>1.3060963502501629E-3</v>
      </c>
      <c r="HP75" s="626">
        <v>8.0555839123558359E-4</v>
      </c>
      <c r="HQ75" s="626">
        <v>4.2395213316359848E-4</v>
      </c>
      <c r="HR75" s="626">
        <v>6.9143218217571046E-4</v>
      </c>
      <c r="HS75" s="626">
        <v>1.0699058546461959E-3</v>
      </c>
      <c r="HT75" s="626">
        <v>7.9967319671607289E-4</v>
      </c>
      <c r="HU75" s="626">
        <v>4.0899081473334261E-4</v>
      </c>
      <c r="HV75" s="626">
        <v>9.5064016161295044E-4</v>
      </c>
      <c r="HW75" s="626">
        <v>2.9356983161258818E-4</v>
      </c>
      <c r="HX75" s="626">
        <v>4.9083159643294671E-4</v>
      </c>
      <c r="HY75" s="626" t="e">
        <v>#DIV/0!</v>
      </c>
      <c r="HZ75" s="626">
        <v>4.4831099408772403E-4</v>
      </c>
      <c r="IA75" s="626">
        <v>2.901581747791117E-4</v>
      </c>
      <c r="IB75" s="626">
        <v>2.5023127438886911E-4</v>
      </c>
      <c r="IC75" s="626">
        <v>2.1701140738516396E-4</v>
      </c>
      <c r="ID75" s="626">
        <v>3.5260998773146594E-4</v>
      </c>
      <c r="IE75" s="626">
        <v>3.7902363967452286E-4</v>
      </c>
      <c r="IF75" s="626">
        <v>3.6385211251632689E-4</v>
      </c>
      <c r="IG75" s="626">
        <v>2.4868375967808712E-4</v>
      </c>
      <c r="IH75" s="626">
        <v>1.8910276220218285E-4</v>
      </c>
      <c r="II75" s="626">
        <v>5.5062496961133371E-4</v>
      </c>
      <c r="IJ75" s="626">
        <v>7.2817502323892897E-4</v>
      </c>
      <c r="IK75" s="626" t="e">
        <v>#DIV/0!</v>
      </c>
      <c r="IL75" s="626" t="e">
        <v>#DIV/0!</v>
      </c>
      <c r="IM75" s="626" t="e">
        <v>#DIV/0!</v>
      </c>
      <c r="IN75" s="626" t="e">
        <v>#DIV/0!</v>
      </c>
      <c r="IO75" s="626">
        <v>5.2689593631334401E-4</v>
      </c>
      <c r="IP75" s="626">
        <v>3.3755721208500748E-4</v>
      </c>
      <c r="IQ75" s="626">
        <v>2.4494260013045808E-4</v>
      </c>
      <c r="IR75" s="626">
        <v>2.7907328303377693E-4</v>
      </c>
      <c r="IS75" s="626">
        <v>2.9963342919787103E-4</v>
      </c>
      <c r="IT75" s="626">
        <v>2.9923769399467975E-4</v>
      </c>
      <c r="IU75" s="626">
        <v>4.5161195846584617E-4</v>
      </c>
      <c r="IV75" s="626">
        <v>4.7498178944142166E-4</v>
      </c>
      <c r="IW75" s="626">
        <v>4.7459917628847072E-4</v>
      </c>
      <c r="IX75" s="626">
        <v>4.5433783794785197E-4</v>
      </c>
      <c r="IY75" s="626">
        <v>4.3303922425370444E-4</v>
      </c>
      <c r="IZ75" s="626">
        <v>4.3307373956313298E-4</v>
      </c>
      <c r="JA75" s="626">
        <v>4.1712070145375987E-4</v>
      </c>
      <c r="JB75" s="626">
        <v>5.0738187606106581E-4</v>
      </c>
      <c r="JC75" s="626">
        <v>6.3847035256767756E-4</v>
      </c>
      <c r="JD75" s="626">
        <v>2.218076086626833E-4</v>
      </c>
      <c r="JE75" s="626">
        <v>4.3167018671486069E-4</v>
      </c>
      <c r="JF75" s="626">
        <v>4.2763433109311769E-4</v>
      </c>
      <c r="JG75" s="626">
        <v>4.2452354198289053E-4</v>
      </c>
      <c r="JH75" s="626">
        <v>4.1936388112954863E-4</v>
      </c>
      <c r="JI75" s="626">
        <v>1.6614071053857059E-4</v>
      </c>
      <c r="JJ75" s="626">
        <v>2.6851607119490154E-4</v>
      </c>
      <c r="JK75" s="626">
        <v>3.0667371131701786E-4</v>
      </c>
      <c r="JL75" s="626">
        <v>5.8181567735832564E-4</v>
      </c>
      <c r="JM75" s="626">
        <v>5.7249616941736482E-4</v>
      </c>
      <c r="JN75" s="626">
        <v>6.791806824073144E-4</v>
      </c>
      <c r="JO75" s="626">
        <v>4.7301764075537861E-4</v>
      </c>
      <c r="JP75" s="626">
        <v>4.7669428260174767E-4</v>
      </c>
      <c r="JQ75" s="626">
        <v>4.7237918452747233E-4</v>
      </c>
      <c r="JR75" s="626">
        <v>4.7398166505347822E-4</v>
      </c>
    </row>
    <row r="76" spans="1:278" ht="13.5">
      <c r="A76" s="371"/>
      <c r="B76" s="366"/>
      <c r="C76" s="366"/>
      <c r="D76" s="366"/>
      <c r="E76" s="751" t="s">
        <v>337</v>
      </c>
      <c r="FE76" s="627"/>
      <c r="FF76" s="627"/>
      <c r="FG76" s="627"/>
      <c r="FH76" s="627"/>
      <c r="FI76" s="627"/>
      <c r="FJ76" s="627"/>
      <c r="FK76" s="627"/>
      <c r="FL76" s="627"/>
      <c r="FM76" s="627"/>
      <c r="FN76" s="627"/>
      <c r="FO76" s="627"/>
      <c r="FP76" s="627"/>
      <c r="FQ76" s="627"/>
      <c r="FR76" s="627"/>
      <c r="FS76" s="627"/>
      <c r="FT76" s="627"/>
      <c r="FU76" s="627"/>
      <c r="FV76" s="627"/>
      <c r="FW76" s="627"/>
      <c r="FX76" s="627"/>
      <c r="FY76" s="627"/>
      <c r="FZ76" s="627"/>
      <c r="GA76" s="627"/>
      <c r="GB76" s="627"/>
      <c r="GC76" s="627"/>
      <c r="GD76" s="627"/>
      <c r="GE76" s="627"/>
      <c r="GF76" s="627"/>
      <c r="GG76" s="627"/>
      <c r="GH76" s="627"/>
      <c r="GI76" s="627"/>
      <c r="GJ76" s="627"/>
      <c r="GK76" s="627"/>
      <c r="GL76" s="627"/>
      <c r="GM76" s="627"/>
      <c r="GN76" s="627"/>
      <c r="GO76" s="627"/>
      <c r="GP76" s="627"/>
      <c r="GQ76" s="627"/>
      <c r="GR76" s="627"/>
      <c r="GS76" s="627"/>
      <c r="GT76" s="627"/>
      <c r="GU76" s="627"/>
      <c r="GV76" s="627"/>
      <c r="GW76" s="627"/>
      <c r="GX76" s="627"/>
      <c r="GY76" s="627"/>
      <c r="GZ76" s="627"/>
      <c r="HA76" s="627"/>
      <c r="HB76" s="627"/>
      <c r="HC76" s="627"/>
      <c r="HD76" s="627"/>
      <c r="HE76" s="627"/>
      <c r="HF76" s="627"/>
      <c r="HG76" s="627"/>
      <c r="HH76" s="627"/>
      <c r="HI76" s="627"/>
      <c r="HJ76" s="627"/>
      <c r="HK76" s="627"/>
      <c r="HL76" s="627"/>
      <c r="HM76" s="627"/>
      <c r="HN76" s="627"/>
      <c r="HO76" s="627"/>
      <c r="HP76" s="627"/>
      <c r="HQ76" s="627"/>
      <c r="HR76" s="627"/>
      <c r="HS76" s="627"/>
      <c r="HT76" s="627"/>
      <c r="HU76" s="627"/>
      <c r="HV76" s="627"/>
      <c r="HW76" s="627"/>
      <c r="HX76" s="627"/>
      <c r="HY76" s="627"/>
      <c r="HZ76" s="627"/>
      <c r="IA76" s="627"/>
      <c r="IB76" s="627"/>
      <c r="IC76" s="627"/>
      <c r="ID76" s="627"/>
      <c r="IE76" s="627"/>
      <c r="IF76" s="627"/>
      <c r="IG76" s="627"/>
      <c r="IH76" s="627"/>
      <c r="II76" s="627"/>
      <c r="IJ76" s="627"/>
      <c r="IK76" s="627"/>
      <c r="IL76" s="627"/>
      <c r="IM76" s="627"/>
      <c r="IN76" s="627"/>
      <c r="IO76" s="627"/>
      <c r="IP76" s="627"/>
      <c r="IQ76" s="627"/>
      <c r="IR76" s="627"/>
      <c r="IS76" s="627"/>
      <c r="IT76" s="627"/>
      <c r="IU76" s="627"/>
      <c r="IV76" s="627"/>
      <c r="IW76" s="627"/>
      <c r="IX76" s="627"/>
      <c r="IY76" s="627"/>
      <c r="IZ76" s="627"/>
      <c r="JA76" s="627"/>
      <c r="JB76" s="627"/>
      <c r="JC76" s="627"/>
      <c r="JD76" s="627"/>
      <c r="JE76" s="627"/>
      <c r="JF76" s="627"/>
      <c r="JG76" s="627"/>
      <c r="JH76" s="627"/>
      <c r="JI76" s="627"/>
      <c r="JJ76" s="627"/>
      <c r="JK76" s="627"/>
      <c r="JL76" s="627"/>
      <c r="JM76" s="627"/>
      <c r="JN76" s="627"/>
      <c r="JO76" s="627"/>
      <c r="JP76" s="627"/>
      <c r="JQ76" s="627"/>
      <c r="JR76" s="627"/>
    </row>
    <row r="77" spans="1:278" ht="18">
      <c r="A77" s="708" t="s">
        <v>299</v>
      </c>
      <c r="B77" s="88"/>
      <c r="C77" s="88"/>
      <c r="D77" s="764"/>
      <c r="E77" s="88"/>
      <c r="FE77" s="628"/>
      <c r="FF77" s="628"/>
      <c r="FG77" s="628"/>
      <c r="FH77" s="628"/>
      <c r="FI77" s="628"/>
      <c r="FJ77" s="628"/>
      <c r="FK77" s="628"/>
      <c r="FL77" s="628"/>
      <c r="FM77" s="628"/>
      <c r="FN77" s="628"/>
      <c r="FO77" s="628"/>
      <c r="FP77" s="628"/>
      <c r="FQ77" s="628"/>
      <c r="FR77" s="628"/>
      <c r="FS77" s="628"/>
      <c r="FT77" s="628"/>
      <c r="FU77" s="628"/>
      <c r="FV77" s="628"/>
      <c r="FW77" s="628"/>
      <c r="FX77" s="628"/>
      <c r="FY77" s="628"/>
      <c r="FZ77" s="628"/>
      <c r="GA77" s="628"/>
      <c r="GB77" s="628"/>
      <c r="GC77" s="628"/>
      <c r="GD77" s="628"/>
      <c r="GE77" s="628"/>
      <c r="GF77" s="628"/>
      <c r="GG77" s="628"/>
      <c r="GH77" s="628"/>
      <c r="GI77" s="628"/>
      <c r="GJ77" s="628"/>
      <c r="GK77" s="628"/>
      <c r="GL77" s="628"/>
      <c r="GM77" s="628"/>
      <c r="GN77" s="628"/>
      <c r="GO77" s="628"/>
      <c r="GP77" s="628"/>
      <c r="GQ77" s="628"/>
      <c r="GR77" s="628"/>
      <c r="GS77" s="628"/>
      <c r="GT77" s="628"/>
      <c r="GU77" s="628"/>
      <c r="GV77" s="628"/>
      <c r="GW77" s="628"/>
      <c r="GX77" s="628"/>
      <c r="GY77" s="628"/>
      <c r="GZ77" s="628"/>
      <c r="HA77" s="628"/>
      <c r="HB77" s="628"/>
      <c r="HC77" s="628"/>
      <c r="HD77" s="628"/>
      <c r="HE77" s="628"/>
      <c r="HF77" s="628"/>
      <c r="HG77" s="628"/>
      <c r="HH77" s="628"/>
      <c r="HI77" s="628"/>
      <c r="HJ77" s="628"/>
      <c r="HK77" s="628"/>
      <c r="HL77" s="628"/>
      <c r="HM77" s="628"/>
      <c r="HN77" s="628"/>
      <c r="HO77" s="628"/>
      <c r="HP77" s="628"/>
      <c r="HQ77" s="628"/>
      <c r="HR77" s="628"/>
      <c r="HS77" s="628"/>
      <c r="HT77" s="628"/>
      <c r="HU77" s="628"/>
      <c r="HV77" s="628"/>
      <c r="HW77" s="628"/>
      <c r="HX77" s="628"/>
      <c r="HY77" s="628"/>
      <c r="HZ77" s="628"/>
      <c r="IA77" s="628"/>
      <c r="IB77" s="628"/>
      <c r="IC77" s="628"/>
      <c r="ID77" s="628"/>
      <c r="IE77" s="628"/>
      <c r="IF77" s="628"/>
      <c r="IG77" s="628"/>
      <c r="IH77" s="628"/>
      <c r="II77" s="628"/>
      <c r="IJ77" s="628"/>
      <c r="IK77" s="628"/>
      <c r="IL77" s="628"/>
      <c r="IM77" s="628"/>
      <c r="IN77" s="628"/>
      <c r="IO77" s="628"/>
      <c r="IP77" s="628"/>
      <c r="IQ77" s="628"/>
      <c r="IR77" s="628"/>
      <c r="IS77" s="628"/>
      <c r="IT77" s="628"/>
      <c r="IU77" s="628"/>
      <c r="IV77" s="628"/>
      <c r="IW77" s="628"/>
      <c r="IX77" s="628"/>
      <c r="IY77" s="628"/>
      <c r="IZ77" s="628"/>
      <c r="JA77" s="628"/>
      <c r="JB77" s="628"/>
      <c r="JC77" s="628"/>
      <c r="JD77" s="628"/>
      <c r="JE77" s="628"/>
      <c r="JF77" s="628"/>
      <c r="JG77" s="628"/>
      <c r="JH77" s="628"/>
      <c r="JI77" s="628"/>
      <c r="JJ77" s="628"/>
      <c r="JK77" s="628"/>
      <c r="JL77" s="628"/>
      <c r="JM77" s="628"/>
      <c r="JN77" s="628"/>
      <c r="JO77" s="628"/>
      <c r="JP77" s="628"/>
      <c r="JQ77" s="628"/>
      <c r="JR77" s="628"/>
    </row>
    <row r="78" spans="1:278" ht="13.5" customHeight="1">
      <c r="A78" s="368" t="s">
        <v>284</v>
      </c>
      <c r="B78" s="366"/>
      <c r="C78" s="366"/>
      <c r="D78" s="367" t="s">
        <v>251</v>
      </c>
      <c r="E78" s="369" t="s">
        <v>274</v>
      </c>
      <c r="FE78" s="626">
        <v>0</v>
      </c>
      <c r="FF78" s="626">
        <v>0</v>
      </c>
      <c r="FG78" s="626">
        <v>0</v>
      </c>
      <c r="FH78" s="626">
        <v>0</v>
      </c>
      <c r="FI78" s="626">
        <v>0</v>
      </c>
      <c r="FJ78" s="626">
        <v>0</v>
      </c>
      <c r="FK78" s="626">
        <v>0</v>
      </c>
      <c r="FL78" s="626">
        <v>0</v>
      </c>
      <c r="FM78" s="626">
        <v>0</v>
      </c>
      <c r="FN78" s="626">
        <v>0</v>
      </c>
      <c r="FO78" s="626">
        <v>0</v>
      </c>
      <c r="FP78" s="626">
        <v>0</v>
      </c>
      <c r="FQ78" s="626">
        <v>0</v>
      </c>
      <c r="FR78" s="626">
        <v>0</v>
      </c>
      <c r="FS78" s="626">
        <v>0</v>
      </c>
      <c r="FT78" s="626">
        <v>0</v>
      </c>
      <c r="FU78" s="626">
        <v>0</v>
      </c>
      <c r="FV78" s="626">
        <v>0</v>
      </c>
      <c r="FW78" s="626">
        <v>0</v>
      </c>
      <c r="FX78" s="626">
        <v>0</v>
      </c>
      <c r="FY78" s="626">
        <v>0</v>
      </c>
      <c r="FZ78" s="626">
        <v>0</v>
      </c>
      <c r="GA78" s="626">
        <v>0</v>
      </c>
      <c r="GB78" s="626">
        <v>0</v>
      </c>
      <c r="GC78" s="626">
        <v>0</v>
      </c>
      <c r="GD78" s="626">
        <v>0</v>
      </c>
      <c r="GE78" s="626">
        <v>0</v>
      </c>
      <c r="GF78" s="626">
        <v>0</v>
      </c>
      <c r="GG78" s="626">
        <v>0</v>
      </c>
      <c r="GH78" s="626">
        <v>0</v>
      </c>
      <c r="GI78" s="626">
        <v>0</v>
      </c>
      <c r="GJ78" s="626">
        <v>0</v>
      </c>
      <c r="GK78" s="626">
        <v>0</v>
      </c>
      <c r="GL78" s="626">
        <v>0</v>
      </c>
      <c r="GM78" s="626">
        <v>0</v>
      </c>
      <c r="GN78" s="626" t="e">
        <v>#DIV/0!</v>
      </c>
      <c r="GO78" s="626">
        <v>0</v>
      </c>
      <c r="GP78" s="626">
        <v>0</v>
      </c>
      <c r="GQ78" s="626">
        <v>0</v>
      </c>
      <c r="GR78" s="626">
        <v>0</v>
      </c>
      <c r="GS78" s="626">
        <v>0</v>
      </c>
      <c r="GT78" s="626">
        <v>0</v>
      </c>
      <c r="GU78" s="626">
        <v>0</v>
      </c>
      <c r="GV78" s="626">
        <v>0</v>
      </c>
      <c r="GW78" s="626">
        <v>0</v>
      </c>
      <c r="GX78" s="626">
        <v>0</v>
      </c>
      <c r="GY78" s="626">
        <v>0</v>
      </c>
      <c r="GZ78" s="626">
        <v>0</v>
      </c>
      <c r="HA78" s="626">
        <v>0</v>
      </c>
      <c r="HB78" s="626">
        <v>0</v>
      </c>
      <c r="HC78" s="626">
        <v>0</v>
      </c>
      <c r="HD78" s="626">
        <v>0</v>
      </c>
      <c r="HE78" s="626">
        <v>0</v>
      </c>
      <c r="HF78" s="626">
        <v>0</v>
      </c>
      <c r="HG78" s="626">
        <v>0</v>
      </c>
      <c r="HH78" s="626">
        <v>0</v>
      </c>
      <c r="HI78" s="626">
        <v>0</v>
      </c>
      <c r="HJ78" s="626">
        <v>0</v>
      </c>
      <c r="HK78" s="626">
        <v>0</v>
      </c>
      <c r="HL78" s="626">
        <v>0</v>
      </c>
      <c r="HM78" s="626">
        <v>0</v>
      </c>
      <c r="HN78" s="626">
        <v>0</v>
      </c>
      <c r="HO78" s="626">
        <v>0</v>
      </c>
      <c r="HP78" s="626">
        <v>0</v>
      </c>
      <c r="HQ78" s="626">
        <v>0</v>
      </c>
      <c r="HR78" s="626">
        <v>0</v>
      </c>
      <c r="HS78" s="626">
        <v>0</v>
      </c>
      <c r="HT78" s="626">
        <v>0</v>
      </c>
      <c r="HU78" s="626">
        <v>0</v>
      </c>
      <c r="HV78" s="626">
        <v>0</v>
      </c>
      <c r="HW78" s="626">
        <v>0</v>
      </c>
      <c r="HX78" s="626">
        <v>0</v>
      </c>
      <c r="HY78" s="626" t="e">
        <v>#DIV/0!</v>
      </c>
      <c r="HZ78" s="626">
        <v>0</v>
      </c>
      <c r="IA78" s="626">
        <v>0</v>
      </c>
      <c r="IB78" s="626">
        <v>0</v>
      </c>
      <c r="IC78" s="626">
        <v>0</v>
      </c>
      <c r="ID78" s="626">
        <v>0</v>
      </c>
      <c r="IE78" s="626">
        <v>0</v>
      </c>
      <c r="IF78" s="626">
        <v>0</v>
      </c>
      <c r="IG78" s="626">
        <v>0</v>
      </c>
      <c r="IH78" s="626">
        <v>0</v>
      </c>
      <c r="II78" s="626">
        <v>0</v>
      </c>
      <c r="IJ78" s="626">
        <v>0</v>
      </c>
      <c r="IK78" s="626" t="e">
        <v>#DIV/0!</v>
      </c>
      <c r="IL78" s="626" t="e">
        <v>#DIV/0!</v>
      </c>
      <c r="IM78" s="626" t="e">
        <v>#DIV/0!</v>
      </c>
      <c r="IN78" s="626" t="e">
        <v>#DIV/0!</v>
      </c>
      <c r="IO78" s="626">
        <v>0</v>
      </c>
      <c r="IP78" s="626">
        <v>0</v>
      </c>
      <c r="IQ78" s="626">
        <v>0</v>
      </c>
      <c r="IR78" s="626">
        <v>0</v>
      </c>
      <c r="IS78" s="626">
        <v>0</v>
      </c>
      <c r="IT78" s="626">
        <v>0</v>
      </c>
      <c r="IU78" s="626">
        <v>0</v>
      </c>
      <c r="IV78" s="626">
        <v>0</v>
      </c>
      <c r="IW78" s="626">
        <v>0</v>
      </c>
      <c r="IX78" s="626">
        <v>0</v>
      </c>
      <c r="IY78" s="626">
        <v>0</v>
      </c>
      <c r="IZ78" s="626">
        <v>0</v>
      </c>
      <c r="JA78" s="626">
        <v>0</v>
      </c>
      <c r="JB78" s="626">
        <v>0</v>
      </c>
      <c r="JC78" s="626">
        <v>0</v>
      </c>
      <c r="JD78" s="626">
        <v>0</v>
      </c>
      <c r="JE78" s="626">
        <v>0</v>
      </c>
      <c r="JF78" s="626">
        <v>0</v>
      </c>
      <c r="JG78" s="626">
        <v>0</v>
      </c>
      <c r="JH78" s="626">
        <v>0</v>
      </c>
      <c r="JI78" s="626">
        <v>0</v>
      </c>
      <c r="JJ78" s="626">
        <v>0</v>
      </c>
      <c r="JK78" s="626">
        <v>0</v>
      </c>
      <c r="JL78" s="626">
        <v>0</v>
      </c>
      <c r="JM78" s="626">
        <v>0</v>
      </c>
      <c r="JN78" s="626">
        <v>0</v>
      </c>
      <c r="JO78" s="626">
        <v>0</v>
      </c>
      <c r="JP78" s="626">
        <v>0</v>
      </c>
      <c r="JQ78" s="626">
        <v>0</v>
      </c>
      <c r="JR78" s="626">
        <v>0</v>
      </c>
    </row>
    <row r="79" spans="1:278" ht="13.5" customHeight="1">
      <c r="A79" s="368"/>
      <c r="B79" s="366"/>
      <c r="C79" s="366"/>
      <c r="D79" s="753"/>
      <c r="E79" s="754" t="s">
        <v>337</v>
      </c>
      <c r="FE79" s="626"/>
      <c r="FF79" s="626"/>
      <c r="FG79" s="626"/>
      <c r="FH79" s="626"/>
      <c r="FI79" s="626"/>
      <c r="FJ79" s="626"/>
      <c r="FK79" s="626"/>
      <c r="FL79" s="626"/>
      <c r="FM79" s="626"/>
      <c r="FN79" s="626"/>
      <c r="FO79" s="626"/>
      <c r="FP79" s="626"/>
      <c r="FQ79" s="626"/>
      <c r="FR79" s="626"/>
      <c r="FS79" s="626"/>
      <c r="FT79" s="626"/>
      <c r="FU79" s="626"/>
      <c r="FV79" s="626"/>
      <c r="FW79" s="626"/>
      <c r="FX79" s="626"/>
      <c r="FY79" s="626"/>
      <c r="FZ79" s="626"/>
      <c r="GA79" s="626"/>
      <c r="GB79" s="626"/>
      <c r="GC79" s="626"/>
      <c r="GD79" s="626"/>
      <c r="GE79" s="626"/>
      <c r="GF79" s="626"/>
      <c r="GG79" s="626"/>
      <c r="GH79" s="626"/>
      <c r="GI79" s="626"/>
      <c r="GJ79" s="626"/>
      <c r="GK79" s="626"/>
      <c r="GL79" s="626"/>
      <c r="GM79" s="626"/>
      <c r="GN79" s="626"/>
      <c r="GO79" s="626"/>
      <c r="GP79" s="626"/>
      <c r="GQ79" s="626"/>
      <c r="GR79" s="626"/>
      <c r="GS79" s="626"/>
      <c r="GT79" s="626"/>
      <c r="GU79" s="626"/>
      <c r="GV79" s="626"/>
      <c r="GW79" s="626"/>
      <c r="GX79" s="626"/>
      <c r="GY79" s="626"/>
      <c r="GZ79" s="626"/>
      <c r="HA79" s="626"/>
      <c r="HB79" s="626"/>
      <c r="HC79" s="626"/>
      <c r="HD79" s="626"/>
      <c r="HE79" s="626"/>
      <c r="HF79" s="626"/>
      <c r="HG79" s="626"/>
      <c r="HH79" s="626"/>
      <c r="HI79" s="626"/>
      <c r="HJ79" s="626"/>
      <c r="HK79" s="626"/>
      <c r="HL79" s="626"/>
      <c r="HM79" s="626"/>
      <c r="HN79" s="626"/>
      <c r="HO79" s="626"/>
      <c r="HP79" s="626"/>
      <c r="HQ79" s="626"/>
      <c r="HR79" s="626"/>
      <c r="HS79" s="626"/>
      <c r="HT79" s="626"/>
      <c r="HU79" s="626"/>
      <c r="HV79" s="626"/>
      <c r="HW79" s="626"/>
      <c r="HX79" s="626"/>
      <c r="HY79" s="626"/>
      <c r="HZ79" s="626"/>
      <c r="IA79" s="626"/>
      <c r="IB79" s="626"/>
      <c r="IC79" s="626"/>
      <c r="ID79" s="626"/>
      <c r="IE79" s="626"/>
      <c r="IF79" s="626"/>
      <c r="IG79" s="626"/>
      <c r="IH79" s="626"/>
      <c r="II79" s="626"/>
      <c r="IJ79" s="626"/>
      <c r="IK79" s="626"/>
      <c r="IL79" s="626"/>
      <c r="IM79" s="626"/>
      <c r="IN79" s="626"/>
      <c r="IO79" s="626"/>
      <c r="IP79" s="626"/>
      <c r="IQ79" s="626"/>
      <c r="IR79" s="626"/>
      <c r="IS79" s="626"/>
      <c r="IT79" s="626"/>
      <c r="IU79" s="626"/>
      <c r="IV79" s="626"/>
      <c r="IW79" s="626"/>
      <c r="IX79" s="626"/>
      <c r="IY79" s="626"/>
      <c r="IZ79" s="626"/>
      <c r="JA79" s="626"/>
      <c r="JB79" s="626"/>
      <c r="JC79" s="626"/>
      <c r="JD79" s="626"/>
      <c r="JE79" s="626"/>
      <c r="JF79" s="626"/>
      <c r="JG79" s="626"/>
      <c r="JH79" s="626"/>
      <c r="JI79" s="626"/>
      <c r="JJ79" s="626"/>
      <c r="JK79" s="626"/>
      <c r="JL79" s="626"/>
      <c r="JM79" s="626"/>
      <c r="JN79" s="626"/>
      <c r="JO79" s="626"/>
      <c r="JP79" s="626"/>
      <c r="JQ79" s="626"/>
      <c r="JR79" s="626"/>
    </row>
    <row r="80" spans="1:278" ht="15">
      <c r="A80" s="368"/>
      <c r="B80" s="366"/>
      <c r="C80" s="366"/>
      <c r="D80" s="367" t="s">
        <v>1638</v>
      </c>
      <c r="E80" s="369" t="s">
        <v>274</v>
      </c>
      <c r="FE80" s="626">
        <v>0</v>
      </c>
      <c r="FF80" s="626">
        <v>0</v>
      </c>
      <c r="FG80" s="626">
        <v>0</v>
      </c>
      <c r="FH80" s="626">
        <v>0</v>
      </c>
      <c r="FI80" s="626">
        <v>0</v>
      </c>
      <c r="FJ80" s="626">
        <v>0</v>
      </c>
      <c r="FK80" s="626">
        <v>0</v>
      </c>
      <c r="FL80" s="626">
        <v>0</v>
      </c>
      <c r="FM80" s="626">
        <v>0</v>
      </c>
      <c r="FN80" s="626">
        <v>0</v>
      </c>
      <c r="FO80" s="626">
        <v>0</v>
      </c>
      <c r="FP80" s="626">
        <v>0</v>
      </c>
      <c r="FQ80" s="626">
        <v>0</v>
      </c>
      <c r="FR80" s="626">
        <v>0</v>
      </c>
      <c r="FS80" s="626">
        <v>0</v>
      </c>
      <c r="FT80" s="626">
        <v>0</v>
      </c>
      <c r="FU80" s="626">
        <v>0</v>
      </c>
      <c r="FV80" s="626">
        <v>0</v>
      </c>
      <c r="FW80" s="626">
        <v>0</v>
      </c>
      <c r="FX80" s="626">
        <v>0</v>
      </c>
      <c r="FY80" s="626">
        <v>0</v>
      </c>
      <c r="FZ80" s="626">
        <v>0</v>
      </c>
      <c r="GA80" s="626">
        <v>0</v>
      </c>
      <c r="GB80" s="626">
        <v>0</v>
      </c>
      <c r="GC80" s="626">
        <v>0</v>
      </c>
      <c r="GD80" s="626">
        <v>0</v>
      </c>
      <c r="GE80" s="626">
        <v>0</v>
      </c>
      <c r="GF80" s="626">
        <v>0</v>
      </c>
      <c r="GG80" s="626">
        <v>0</v>
      </c>
      <c r="GH80" s="626">
        <v>0</v>
      </c>
      <c r="GI80" s="626">
        <v>0</v>
      </c>
      <c r="GJ80" s="626">
        <v>0</v>
      </c>
      <c r="GK80" s="626">
        <v>0</v>
      </c>
      <c r="GL80" s="626">
        <v>0</v>
      </c>
      <c r="GM80" s="626">
        <v>0</v>
      </c>
      <c r="GN80" s="626" t="e">
        <v>#DIV/0!</v>
      </c>
      <c r="GO80" s="626">
        <v>0</v>
      </c>
      <c r="GP80" s="626">
        <v>0</v>
      </c>
      <c r="GQ80" s="626">
        <v>0</v>
      </c>
      <c r="GR80" s="626">
        <v>0</v>
      </c>
      <c r="GS80" s="626">
        <v>0</v>
      </c>
      <c r="GT80" s="626">
        <v>0</v>
      </c>
      <c r="GU80" s="626">
        <v>0</v>
      </c>
      <c r="GV80" s="626">
        <v>0</v>
      </c>
      <c r="GW80" s="626">
        <v>0</v>
      </c>
      <c r="GX80" s="626">
        <v>0</v>
      </c>
      <c r="GY80" s="626">
        <v>0</v>
      </c>
      <c r="GZ80" s="626">
        <v>0</v>
      </c>
      <c r="HA80" s="626">
        <v>0</v>
      </c>
      <c r="HB80" s="626">
        <v>0</v>
      </c>
      <c r="HC80" s="626">
        <v>0</v>
      </c>
      <c r="HD80" s="626">
        <v>0</v>
      </c>
      <c r="HE80" s="626">
        <v>0</v>
      </c>
      <c r="HF80" s="626">
        <v>0</v>
      </c>
      <c r="HG80" s="626">
        <v>0</v>
      </c>
      <c r="HH80" s="626">
        <v>0</v>
      </c>
      <c r="HI80" s="626">
        <v>0</v>
      </c>
      <c r="HJ80" s="626">
        <v>0</v>
      </c>
      <c r="HK80" s="626">
        <v>0</v>
      </c>
      <c r="HL80" s="626">
        <v>0</v>
      </c>
      <c r="HM80" s="626">
        <v>0</v>
      </c>
      <c r="HN80" s="626">
        <v>0</v>
      </c>
      <c r="HO80" s="626">
        <v>0</v>
      </c>
      <c r="HP80" s="626">
        <v>0</v>
      </c>
      <c r="HQ80" s="626">
        <v>0</v>
      </c>
      <c r="HR80" s="626">
        <v>0</v>
      </c>
      <c r="HS80" s="626">
        <v>0</v>
      </c>
      <c r="HT80" s="626">
        <v>0</v>
      </c>
      <c r="HU80" s="626">
        <v>0</v>
      </c>
      <c r="HV80" s="626">
        <v>0</v>
      </c>
      <c r="HW80" s="626">
        <v>0</v>
      </c>
      <c r="HX80" s="626">
        <v>0</v>
      </c>
      <c r="HY80" s="626" t="e">
        <v>#DIV/0!</v>
      </c>
      <c r="HZ80" s="626">
        <v>0</v>
      </c>
      <c r="IA80" s="626">
        <v>0</v>
      </c>
      <c r="IB80" s="626">
        <v>0</v>
      </c>
      <c r="IC80" s="626">
        <v>0</v>
      </c>
      <c r="ID80" s="626">
        <v>0</v>
      </c>
      <c r="IE80" s="626">
        <v>0</v>
      </c>
      <c r="IF80" s="626">
        <v>0</v>
      </c>
      <c r="IG80" s="626">
        <v>0</v>
      </c>
      <c r="IH80" s="626">
        <v>0</v>
      </c>
      <c r="II80" s="626">
        <v>0</v>
      </c>
      <c r="IJ80" s="626">
        <v>0</v>
      </c>
      <c r="IK80" s="626" t="e">
        <v>#DIV/0!</v>
      </c>
      <c r="IL80" s="626" t="e">
        <v>#DIV/0!</v>
      </c>
      <c r="IM80" s="626" t="e">
        <v>#DIV/0!</v>
      </c>
      <c r="IN80" s="626" t="e">
        <v>#DIV/0!</v>
      </c>
      <c r="IO80" s="626">
        <v>0</v>
      </c>
      <c r="IP80" s="626">
        <v>0</v>
      </c>
      <c r="IQ80" s="626">
        <v>0</v>
      </c>
      <c r="IR80" s="626">
        <v>0</v>
      </c>
      <c r="IS80" s="626">
        <v>0</v>
      </c>
      <c r="IT80" s="626">
        <v>0</v>
      </c>
      <c r="IU80" s="626">
        <v>0</v>
      </c>
      <c r="IV80" s="626">
        <v>0</v>
      </c>
      <c r="IW80" s="626">
        <v>0</v>
      </c>
      <c r="IX80" s="626">
        <v>0</v>
      </c>
      <c r="IY80" s="626">
        <v>0</v>
      </c>
      <c r="IZ80" s="626">
        <v>0</v>
      </c>
      <c r="JA80" s="626">
        <v>0</v>
      </c>
      <c r="JB80" s="626">
        <v>0</v>
      </c>
      <c r="JC80" s="626">
        <v>0</v>
      </c>
      <c r="JD80" s="626">
        <v>0</v>
      </c>
      <c r="JE80" s="626">
        <v>0</v>
      </c>
      <c r="JF80" s="626">
        <v>0</v>
      </c>
      <c r="JG80" s="626">
        <v>0</v>
      </c>
      <c r="JH80" s="626">
        <v>0</v>
      </c>
      <c r="JI80" s="626">
        <v>0</v>
      </c>
      <c r="JJ80" s="626">
        <v>0</v>
      </c>
      <c r="JK80" s="626">
        <v>0</v>
      </c>
      <c r="JL80" s="626">
        <v>0</v>
      </c>
      <c r="JM80" s="626">
        <v>0</v>
      </c>
      <c r="JN80" s="626">
        <v>0</v>
      </c>
      <c r="JO80" s="626">
        <v>0</v>
      </c>
      <c r="JP80" s="626">
        <v>0</v>
      </c>
      <c r="JQ80" s="626">
        <v>0</v>
      </c>
      <c r="JR80" s="626">
        <v>0</v>
      </c>
    </row>
    <row r="81" spans="1:278" ht="13.5">
      <c r="A81" s="371"/>
      <c r="B81" s="366"/>
      <c r="C81" s="366"/>
      <c r="D81" s="366"/>
      <c r="E81" s="752" t="s">
        <v>337</v>
      </c>
      <c r="FE81" s="627"/>
      <c r="FF81" s="627"/>
      <c r="FG81" s="627"/>
      <c r="FH81" s="627"/>
      <c r="FI81" s="627"/>
      <c r="FJ81" s="627"/>
      <c r="FK81" s="627"/>
      <c r="FL81" s="627"/>
      <c r="FM81" s="627"/>
      <c r="FN81" s="627"/>
      <c r="FO81" s="627"/>
      <c r="FP81" s="627"/>
      <c r="FQ81" s="627"/>
      <c r="FR81" s="627"/>
      <c r="FS81" s="627"/>
      <c r="FT81" s="627"/>
      <c r="FU81" s="627"/>
      <c r="FV81" s="627"/>
      <c r="FW81" s="627"/>
      <c r="FX81" s="627"/>
      <c r="FY81" s="627"/>
      <c r="FZ81" s="627"/>
      <c r="GA81" s="627"/>
      <c r="GB81" s="627"/>
      <c r="GC81" s="627"/>
      <c r="GD81" s="627"/>
      <c r="GE81" s="627"/>
      <c r="GF81" s="627"/>
      <c r="GG81" s="627"/>
      <c r="GH81" s="627"/>
      <c r="GI81" s="627"/>
      <c r="GJ81" s="627"/>
      <c r="GK81" s="627"/>
      <c r="GL81" s="627"/>
      <c r="GM81" s="627"/>
      <c r="GN81" s="627"/>
      <c r="GO81" s="627"/>
      <c r="GP81" s="627"/>
      <c r="GQ81" s="627"/>
      <c r="GR81" s="627"/>
      <c r="GS81" s="627"/>
      <c r="GT81" s="627"/>
      <c r="GU81" s="627"/>
      <c r="GV81" s="627"/>
      <c r="GW81" s="627"/>
      <c r="GX81" s="627"/>
      <c r="GY81" s="627"/>
      <c r="GZ81" s="627"/>
      <c r="HA81" s="627"/>
      <c r="HB81" s="627"/>
      <c r="HC81" s="627"/>
      <c r="HD81" s="627"/>
      <c r="HE81" s="627"/>
      <c r="HF81" s="627"/>
      <c r="HG81" s="627"/>
      <c r="HH81" s="627"/>
      <c r="HI81" s="627"/>
      <c r="HJ81" s="627"/>
      <c r="HK81" s="627"/>
      <c r="HL81" s="627"/>
      <c r="HM81" s="627"/>
      <c r="HN81" s="627"/>
      <c r="HO81" s="627"/>
      <c r="HP81" s="627"/>
      <c r="HQ81" s="627"/>
      <c r="HR81" s="627"/>
      <c r="HS81" s="627"/>
      <c r="HT81" s="627"/>
      <c r="HU81" s="627"/>
      <c r="HV81" s="627"/>
      <c r="HW81" s="627"/>
      <c r="HX81" s="627"/>
      <c r="HY81" s="627"/>
      <c r="HZ81" s="627"/>
      <c r="IA81" s="627"/>
      <c r="IB81" s="627"/>
      <c r="IC81" s="627"/>
      <c r="ID81" s="627"/>
      <c r="IE81" s="627"/>
      <c r="IF81" s="627"/>
      <c r="IG81" s="627"/>
      <c r="IH81" s="627"/>
      <c r="II81" s="627"/>
      <c r="IJ81" s="627"/>
      <c r="IK81" s="627"/>
      <c r="IL81" s="627"/>
      <c r="IM81" s="627"/>
      <c r="IN81" s="627"/>
      <c r="IO81" s="627"/>
      <c r="IP81" s="627"/>
      <c r="IQ81" s="627"/>
      <c r="IR81" s="627"/>
      <c r="IS81" s="627"/>
      <c r="IT81" s="627"/>
      <c r="IU81" s="627"/>
      <c r="IV81" s="627"/>
      <c r="IW81" s="627"/>
      <c r="IX81" s="627"/>
      <c r="IY81" s="627"/>
      <c r="IZ81" s="627"/>
      <c r="JA81" s="627"/>
      <c r="JB81" s="627"/>
      <c r="JC81" s="627"/>
      <c r="JD81" s="627"/>
      <c r="JE81" s="627"/>
      <c r="JF81" s="627"/>
      <c r="JG81" s="627"/>
      <c r="JH81" s="627"/>
      <c r="JI81" s="627"/>
      <c r="JJ81" s="627"/>
      <c r="JK81" s="627"/>
      <c r="JL81" s="627"/>
      <c r="JM81" s="627"/>
      <c r="JN81" s="627"/>
      <c r="JO81" s="627"/>
      <c r="JP81" s="627"/>
      <c r="JQ81" s="627"/>
      <c r="JR81" s="627"/>
    </row>
    <row r="82" spans="1:278" ht="18">
      <c r="A82" s="708" t="s">
        <v>1646</v>
      </c>
      <c r="B82" s="737"/>
      <c r="C82" s="737"/>
      <c r="D82" s="737"/>
      <c r="E82" s="88"/>
      <c r="FE82" s="628"/>
      <c r="FF82" s="628"/>
      <c r="FG82" s="628"/>
      <c r="FH82" s="628"/>
      <c r="FI82" s="628"/>
      <c r="FJ82" s="628"/>
      <c r="FK82" s="628"/>
      <c r="FL82" s="628"/>
      <c r="FM82" s="628"/>
      <c r="FN82" s="628"/>
      <c r="FO82" s="628"/>
      <c r="FP82" s="628"/>
      <c r="FQ82" s="628"/>
      <c r="FR82" s="628"/>
      <c r="FS82" s="628"/>
      <c r="FT82" s="628"/>
      <c r="FU82" s="628"/>
      <c r="FV82" s="628"/>
      <c r="FW82" s="628"/>
      <c r="FX82" s="628"/>
      <c r="FY82" s="628"/>
      <c r="FZ82" s="628"/>
      <c r="GA82" s="628"/>
      <c r="GB82" s="628"/>
      <c r="GC82" s="628"/>
      <c r="GD82" s="628"/>
      <c r="GE82" s="628"/>
      <c r="GF82" s="628"/>
      <c r="GG82" s="628"/>
      <c r="GH82" s="628"/>
      <c r="GI82" s="628"/>
      <c r="GJ82" s="628"/>
      <c r="GK82" s="628"/>
      <c r="GL82" s="628"/>
      <c r="GM82" s="628"/>
      <c r="GN82" s="628"/>
      <c r="GO82" s="628"/>
      <c r="GP82" s="628"/>
      <c r="GQ82" s="628"/>
      <c r="GR82" s="628"/>
      <c r="GS82" s="628"/>
      <c r="GT82" s="628"/>
      <c r="GU82" s="628"/>
      <c r="GV82" s="628"/>
      <c r="GW82" s="628"/>
      <c r="GX82" s="628"/>
      <c r="GY82" s="628"/>
      <c r="GZ82" s="628"/>
      <c r="HA82" s="628"/>
      <c r="HB82" s="628"/>
      <c r="HC82" s="628"/>
      <c r="HD82" s="628"/>
      <c r="HE82" s="628"/>
      <c r="HF82" s="628"/>
      <c r="HG82" s="628"/>
      <c r="HH82" s="628"/>
      <c r="HI82" s="628"/>
      <c r="HJ82" s="628"/>
      <c r="HK82" s="628"/>
      <c r="HL82" s="628"/>
      <c r="HM82" s="628"/>
      <c r="HN82" s="628"/>
      <c r="HO82" s="628"/>
      <c r="HP82" s="628"/>
      <c r="HQ82" s="628"/>
      <c r="HR82" s="628"/>
      <c r="HS82" s="628"/>
      <c r="HT82" s="628"/>
      <c r="HU82" s="628"/>
      <c r="HV82" s="628"/>
      <c r="HW82" s="628"/>
      <c r="HX82" s="628"/>
      <c r="HY82" s="628"/>
      <c r="HZ82" s="628"/>
      <c r="IA82" s="628"/>
      <c r="IB82" s="628"/>
      <c r="IC82" s="628"/>
      <c r="ID82" s="628"/>
      <c r="IE82" s="628"/>
      <c r="IF82" s="628"/>
      <c r="IG82" s="628"/>
      <c r="IH82" s="628"/>
      <c r="II82" s="628"/>
      <c r="IJ82" s="628"/>
      <c r="IK82" s="628"/>
      <c r="IL82" s="628"/>
      <c r="IM82" s="628"/>
      <c r="IN82" s="628"/>
      <c r="IO82" s="628"/>
      <c r="IP82" s="628"/>
      <c r="IQ82" s="628"/>
      <c r="IR82" s="628"/>
      <c r="IS82" s="628"/>
      <c r="IT82" s="628"/>
      <c r="IU82" s="628"/>
      <c r="IV82" s="628"/>
      <c r="IW82" s="628"/>
      <c r="IX82" s="628"/>
      <c r="IY82" s="628"/>
      <c r="IZ82" s="628"/>
      <c r="JA82" s="628"/>
      <c r="JB82" s="628"/>
      <c r="JC82" s="628"/>
      <c r="JD82" s="628"/>
      <c r="JE82" s="628"/>
      <c r="JF82" s="628"/>
      <c r="JG82" s="628"/>
      <c r="JH82" s="628"/>
      <c r="JI82" s="628"/>
      <c r="JJ82" s="628"/>
      <c r="JK82" s="628"/>
      <c r="JL82" s="628"/>
      <c r="JM82" s="628"/>
      <c r="JN82" s="628"/>
      <c r="JO82" s="628"/>
      <c r="JP82" s="628"/>
      <c r="JQ82" s="628"/>
      <c r="JR82" s="628"/>
    </row>
    <row r="83" spans="1:278" ht="15">
      <c r="A83" s="495" t="s">
        <v>1647</v>
      </c>
      <c r="B83" s="496"/>
      <c r="C83" s="496"/>
      <c r="D83" s="497" t="s">
        <v>251</v>
      </c>
      <c r="E83" s="498" t="s">
        <v>1648</v>
      </c>
      <c r="FE83" s="629">
        <v>0</v>
      </c>
      <c r="FF83" s="629">
        <v>0</v>
      </c>
      <c r="FG83" s="629">
        <v>0</v>
      </c>
      <c r="FH83" s="629">
        <v>0</v>
      </c>
      <c r="FI83" s="629">
        <v>0</v>
      </c>
      <c r="FJ83" s="629">
        <v>0</v>
      </c>
      <c r="FK83" s="629">
        <v>0</v>
      </c>
      <c r="FL83" s="629">
        <v>0</v>
      </c>
      <c r="FM83" s="629">
        <v>0</v>
      </c>
      <c r="FN83" s="629">
        <v>0</v>
      </c>
      <c r="FO83" s="629">
        <v>0</v>
      </c>
      <c r="FP83" s="629">
        <v>0</v>
      </c>
      <c r="FQ83" s="629">
        <v>0</v>
      </c>
      <c r="FR83" s="629">
        <v>0</v>
      </c>
      <c r="FS83" s="629">
        <v>0</v>
      </c>
      <c r="FT83" s="629">
        <v>0</v>
      </c>
      <c r="FU83" s="629">
        <v>0</v>
      </c>
      <c r="FV83" s="629">
        <v>0</v>
      </c>
      <c r="FW83" s="629">
        <v>0</v>
      </c>
      <c r="FX83" s="629">
        <v>0</v>
      </c>
      <c r="FY83" s="629">
        <v>0</v>
      </c>
      <c r="FZ83" s="629">
        <v>0</v>
      </c>
      <c r="GA83" s="629">
        <v>0</v>
      </c>
      <c r="GB83" s="629">
        <v>0</v>
      </c>
      <c r="GC83" s="629">
        <v>0</v>
      </c>
      <c r="GD83" s="629">
        <v>0</v>
      </c>
      <c r="GE83" s="629">
        <v>0</v>
      </c>
      <c r="GF83" s="629">
        <v>0</v>
      </c>
      <c r="GG83" s="629">
        <v>0</v>
      </c>
      <c r="GH83" s="629">
        <v>0</v>
      </c>
      <c r="GI83" s="629">
        <v>0</v>
      </c>
      <c r="GJ83" s="629">
        <v>0</v>
      </c>
      <c r="GK83" s="629">
        <v>0</v>
      </c>
      <c r="GL83" s="629">
        <v>0</v>
      </c>
      <c r="GM83" s="629">
        <v>0</v>
      </c>
      <c r="GN83" s="629" t="e">
        <v>#DIV/0!</v>
      </c>
      <c r="GO83" s="629">
        <v>0</v>
      </c>
      <c r="GP83" s="629">
        <v>0</v>
      </c>
      <c r="GQ83" s="629">
        <v>0</v>
      </c>
      <c r="GR83" s="629">
        <v>0</v>
      </c>
      <c r="GS83" s="629">
        <v>0</v>
      </c>
      <c r="GT83" s="629">
        <v>0</v>
      </c>
      <c r="GU83" s="629">
        <v>0</v>
      </c>
      <c r="GV83" s="629">
        <v>0</v>
      </c>
      <c r="GW83" s="629">
        <v>0</v>
      </c>
      <c r="GX83" s="629">
        <v>0</v>
      </c>
      <c r="GY83" s="629">
        <v>0</v>
      </c>
      <c r="GZ83" s="629">
        <v>0</v>
      </c>
      <c r="HA83" s="629">
        <v>0</v>
      </c>
      <c r="HB83" s="629">
        <v>0</v>
      </c>
      <c r="HC83" s="629">
        <v>0</v>
      </c>
      <c r="HD83" s="629">
        <v>0</v>
      </c>
      <c r="HE83" s="629">
        <v>0</v>
      </c>
      <c r="HF83" s="629">
        <v>0</v>
      </c>
      <c r="HG83" s="629">
        <v>0</v>
      </c>
      <c r="HH83" s="629">
        <v>0</v>
      </c>
      <c r="HI83" s="629">
        <v>0</v>
      </c>
      <c r="HJ83" s="629">
        <v>0</v>
      </c>
      <c r="HK83" s="629">
        <v>0</v>
      </c>
      <c r="HL83" s="629">
        <v>0</v>
      </c>
      <c r="HM83" s="629">
        <v>0</v>
      </c>
      <c r="HN83" s="629">
        <v>0</v>
      </c>
      <c r="HO83" s="629">
        <v>0</v>
      </c>
      <c r="HP83" s="629">
        <v>0</v>
      </c>
      <c r="HQ83" s="629">
        <v>0</v>
      </c>
      <c r="HR83" s="629">
        <v>0</v>
      </c>
      <c r="HS83" s="629">
        <v>0</v>
      </c>
      <c r="HT83" s="629">
        <v>0</v>
      </c>
      <c r="HU83" s="629">
        <v>0</v>
      </c>
      <c r="HV83" s="629">
        <v>0</v>
      </c>
      <c r="HW83" s="629">
        <v>0</v>
      </c>
      <c r="HX83" s="629">
        <v>0</v>
      </c>
      <c r="HY83" s="629" t="e">
        <v>#DIV/0!</v>
      </c>
      <c r="HZ83" s="629">
        <v>0</v>
      </c>
      <c r="IA83" s="629">
        <v>0</v>
      </c>
      <c r="IB83" s="629">
        <v>0</v>
      </c>
      <c r="IC83" s="629">
        <v>0</v>
      </c>
      <c r="ID83" s="629">
        <v>0</v>
      </c>
      <c r="IE83" s="629">
        <v>0</v>
      </c>
      <c r="IF83" s="629">
        <v>0</v>
      </c>
      <c r="IG83" s="629">
        <v>0</v>
      </c>
      <c r="IH83" s="629">
        <v>0</v>
      </c>
      <c r="II83" s="629">
        <v>0</v>
      </c>
      <c r="IJ83" s="629">
        <v>0</v>
      </c>
      <c r="IK83" s="629" t="e">
        <v>#DIV/0!</v>
      </c>
      <c r="IL83" s="629" t="e">
        <v>#DIV/0!</v>
      </c>
      <c r="IM83" s="629" t="e">
        <v>#DIV/0!</v>
      </c>
      <c r="IN83" s="629" t="e">
        <v>#DIV/0!</v>
      </c>
      <c r="IO83" s="629">
        <v>0</v>
      </c>
      <c r="IP83" s="629">
        <v>0</v>
      </c>
      <c r="IQ83" s="629">
        <v>0</v>
      </c>
      <c r="IR83" s="629">
        <v>0</v>
      </c>
      <c r="IS83" s="629">
        <v>0</v>
      </c>
      <c r="IT83" s="629">
        <v>0</v>
      </c>
      <c r="IU83" s="629">
        <v>0</v>
      </c>
      <c r="IV83" s="629">
        <v>0</v>
      </c>
      <c r="IW83" s="629">
        <v>0</v>
      </c>
      <c r="IX83" s="629">
        <v>0</v>
      </c>
      <c r="IY83" s="629">
        <v>0</v>
      </c>
      <c r="IZ83" s="629">
        <v>0</v>
      </c>
      <c r="JA83" s="629">
        <v>0</v>
      </c>
      <c r="JB83" s="629">
        <v>0</v>
      </c>
      <c r="JC83" s="629">
        <v>0</v>
      </c>
      <c r="JD83" s="629">
        <v>0</v>
      </c>
      <c r="JE83" s="629">
        <v>0</v>
      </c>
      <c r="JF83" s="629">
        <v>0</v>
      </c>
      <c r="JG83" s="629">
        <v>0</v>
      </c>
      <c r="JH83" s="629">
        <v>0</v>
      </c>
      <c r="JI83" s="629">
        <v>0</v>
      </c>
      <c r="JJ83" s="629">
        <v>0</v>
      </c>
      <c r="JK83" s="629">
        <v>0</v>
      </c>
      <c r="JL83" s="629">
        <v>0</v>
      </c>
      <c r="JM83" s="629">
        <v>0</v>
      </c>
      <c r="JN83" s="629">
        <v>0</v>
      </c>
      <c r="JO83" s="629">
        <v>0</v>
      </c>
      <c r="JP83" s="629">
        <v>0</v>
      </c>
      <c r="JQ83" s="629">
        <v>0</v>
      </c>
      <c r="JR83" s="629">
        <v>0</v>
      </c>
    </row>
    <row r="84" spans="1:278" ht="15">
      <c r="A84" s="495"/>
      <c r="B84" s="496"/>
      <c r="C84" s="496"/>
      <c r="D84" s="756"/>
      <c r="E84" s="757" t="s">
        <v>337</v>
      </c>
      <c r="FE84" s="629"/>
      <c r="FF84" s="629"/>
      <c r="FG84" s="629"/>
      <c r="FH84" s="629"/>
      <c r="FI84" s="629"/>
      <c r="FJ84" s="629"/>
      <c r="FK84" s="629"/>
      <c r="FL84" s="629"/>
      <c r="FM84" s="629"/>
      <c r="FN84" s="629"/>
      <c r="FO84" s="629"/>
      <c r="FP84" s="629"/>
      <c r="FQ84" s="629"/>
      <c r="FR84" s="629"/>
      <c r="FS84" s="629"/>
      <c r="FT84" s="629"/>
      <c r="FU84" s="629"/>
      <c r="FV84" s="629"/>
      <c r="FW84" s="629"/>
      <c r="FX84" s="629"/>
      <c r="FY84" s="629"/>
      <c r="FZ84" s="629"/>
      <c r="GA84" s="629"/>
      <c r="GB84" s="629"/>
      <c r="GC84" s="629"/>
      <c r="GD84" s="629"/>
      <c r="GE84" s="629"/>
      <c r="GF84" s="629"/>
      <c r="GG84" s="629"/>
      <c r="GH84" s="629"/>
      <c r="GI84" s="629"/>
      <c r="GJ84" s="629"/>
      <c r="GK84" s="629"/>
      <c r="GL84" s="629"/>
      <c r="GM84" s="629"/>
      <c r="GN84" s="629"/>
      <c r="GO84" s="629"/>
      <c r="GP84" s="629"/>
      <c r="GQ84" s="629"/>
      <c r="GR84" s="629"/>
      <c r="GS84" s="629"/>
      <c r="GT84" s="629"/>
      <c r="GU84" s="629"/>
      <c r="GV84" s="629"/>
      <c r="GW84" s="629"/>
      <c r="GX84" s="629"/>
      <c r="GY84" s="629"/>
      <c r="GZ84" s="629"/>
      <c r="HA84" s="629"/>
      <c r="HB84" s="629"/>
      <c r="HC84" s="629"/>
      <c r="HD84" s="629"/>
      <c r="HE84" s="629"/>
      <c r="HF84" s="629"/>
      <c r="HG84" s="629"/>
      <c r="HH84" s="629"/>
      <c r="HI84" s="629"/>
      <c r="HJ84" s="629"/>
      <c r="HK84" s="629"/>
      <c r="HL84" s="629"/>
      <c r="HM84" s="629"/>
      <c r="HN84" s="629"/>
      <c r="HO84" s="629"/>
      <c r="HP84" s="629"/>
      <c r="HQ84" s="629"/>
      <c r="HR84" s="629"/>
      <c r="HS84" s="629"/>
      <c r="HT84" s="629"/>
      <c r="HU84" s="629"/>
      <c r="HV84" s="629"/>
      <c r="HW84" s="629"/>
      <c r="HX84" s="629"/>
      <c r="HY84" s="629"/>
      <c r="HZ84" s="629"/>
      <c r="IA84" s="629"/>
      <c r="IB84" s="629"/>
      <c r="IC84" s="629"/>
      <c r="ID84" s="629"/>
      <c r="IE84" s="629"/>
      <c r="IF84" s="629"/>
      <c r="IG84" s="629"/>
      <c r="IH84" s="629"/>
      <c r="II84" s="629"/>
      <c r="IJ84" s="629"/>
      <c r="IK84" s="629"/>
      <c r="IL84" s="629"/>
      <c r="IM84" s="629"/>
      <c r="IN84" s="629"/>
      <c r="IO84" s="629"/>
      <c r="IP84" s="629"/>
      <c r="IQ84" s="629"/>
      <c r="IR84" s="629"/>
      <c r="IS84" s="629"/>
      <c r="IT84" s="629"/>
      <c r="IU84" s="629"/>
      <c r="IV84" s="629"/>
      <c r="IW84" s="629"/>
      <c r="IX84" s="629"/>
      <c r="IY84" s="629"/>
      <c r="IZ84" s="629"/>
      <c r="JA84" s="629"/>
      <c r="JB84" s="629"/>
      <c r="JC84" s="629"/>
      <c r="JD84" s="629"/>
      <c r="JE84" s="629"/>
      <c r="JF84" s="629"/>
      <c r="JG84" s="629"/>
      <c r="JH84" s="629"/>
      <c r="JI84" s="629"/>
      <c r="JJ84" s="629"/>
      <c r="JK84" s="629"/>
      <c r="JL84" s="629"/>
      <c r="JM84" s="629"/>
      <c r="JN84" s="629"/>
      <c r="JO84" s="629"/>
      <c r="JP84" s="629"/>
      <c r="JQ84" s="629"/>
      <c r="JR84" s="629"/>
    </row>
    <row r="85" spans="1:278" ht="15">
      <c r="A85" s="496"/>
      <c r="B85" s="496"/>
      <c r="C85" s="496"/>
      <c r="D85" s="497" t="s">
        <v>1638</v>
      </c>
      <c r="E85" s="498" t="s">
        <v>1648</v>
      </c>
      <c r="FE85" s="629">
        <v>0</v>
      </c>
      <c r="FF85" s="629">
        <v>0</v>
      </c>
      <c r="FG85" s="629">
        <v>0</v>
      </c>
      <c r="FH85" s="629">
        <v>0</v>
      </c>
      <c r="FI85" s="629">
        <v>0</v>
      </c>
      <c r="FJ85" s="629">
        <v>0</v>
      </c>
      <c r="FK85" s="629">
        <v>0</v>
      </c>
      <c r="FL85" s="629">
        <v>0</v>
      </c>
      <c r="FM85" s="629">
        <v>0</v>
      </c>
      <c r="FN85" s="629">
        <v>0</v>
      </c>
      <c r="FO85" s="629">
        <v>0</v>
      </c>
      <c r="FP85" s="629">
        <v>0</v>
      </c>
      <c r="FQ85" s="629">
        <v>0</v>
      </c>
      <c r="FR85" s="629">
        <v>0</v>
      </c>
      <c r="FS85" s="629">
        <v>0</v>
      </c>
      <c r="FT85" s="629">
        <v>0</v>
      </c>
      <c r="FU85" s="629">
        <v>0</v>
      </c>
      <c r="FV85" s="629">
        <v>0</v>
      </c>
      <c r="FW85" s="629">
        <v>0</v>
      </c>
      <c r="FX85" s="629">
        <v>0</v>
      </c>
      <c r="FY85" s="629">
        <v>0</v>
      </c>
      <c r="FZ85" s="629">
        <v>0</v>
      </c>
      <c r="GA85" s="629">
        <v>0</v>
      </c>
      <c r="GB85" s="629">
        <v>0</v>
      </c>
      <c r="GC85" s="629">
        <v>0</v>
      </c>
      <c r="GD85" s="629">
        <v>0</v>
      </c>
      <c r="GE85" s="629">
        <v>0</v>
      </c>
      <c r="GF85" s="629">
        <v>0</v>
      </c>
      <c r="GG85" s="629">
        <v>0</v>
      </c>
      <c r="GH85" s="629">
        <v>0</v>
      </c>
      <c r="GI85" s="629">
        <v>0</v>
      </c>
      <c r="GJ85" s="629">
        <v>0</v>
      </c>
      <c r="GK85" s="629">
        <v>0</v>
      </c>
      <c r="GL85" s="629">
        <v>0</v>
      </c>
      <c r="GM85" s="629">
        <v>0</v>
      </c>
      <c r="GN85" s="629" t="e">
        <v>#DIV/0!</v>
      </c>
      <c r="GO85" s="629">
        <v>0</v>
      </c>
      <c r="GP85" s="629">
        <v>0</v>
      </c>
      <c r="GQ85" s="629">
        <v>0</v>
      </c>
      <c r="GR85" s="629">
        <v>0</v>
      </c>
      <c r="GS85" s="629">
        <v>0</v>
      </c>
      <c r="GT85" s="629">
        <v>0</v>
      </c>
      <c r="GU85" s="629">
        <v>0</v>
      </c>
      <c r="GV85" s="629">
        <v>0</v>
      </c>
      <c r="GW85" s="629">
        <v>0</v>
      </c>
      <c r="GX85" s="629">
        <v>0</v>
      </c>
      <c r="GY85" s="629">
        <v>0</v>
      </c>
      <c r="GZ85" s="629">
        <v>0</v>
      </c>
      <c r="HA85" s="629">
        <v>0</v>
      </c>
      <c r="HB85" s="629">
        <v>0</v>
      </c>
      <c r="HC85" s="629">
        <v>0</v>
      </c>
      <c r="HD85" s="629">
        <v>0</v>
      </c>
      <c r="HE85" s="629">
        <v>0</v>
      </c>
      <c r="HF85" s="629">
        <v>0</v>
      </c>
      <c r="HG85" s="629">
        <v>0</v>
      </c>
      <c r="HH85" s="629">
        <v>0</v>
      </c>
      <c r="HI85" s="629">
        <v>0</v>
      </c>
      <c r="HJ85" s="629">
        <v>0</v>
      </c>
      <c r="HK85" s="629">
        <v>0</v>
      </c>
      <c r="HL85" s="629">
        <v>0</v>
      </c>
      <c r="HM85" s="629">
        <v>0</v>
      </c>
      <c r="HN85" s="629">
        <v>0</v>
      </c>
      <c r="HO85" s="629">
        <v>0</v>
      </c>
      <c r="HP85" s="629">
        <v>0</v>
      </c>
      <c r="HQ85" s="629">
        <v>0</v>
      </c>
      <c r="HR85" s="629">
        <v>0</v>
      </c>
      <c r="HS85" s="629">
        <v>0</v>
      </c>
      <c r="HT85" s="629">
        <v>0</v>
      </c>
      <c r="HU85" s="629">
        <v>0</v>
      </c>
      <c r="HV85" s="629">
        <v>0</v>
      </c>
      <c r="HW85" s="629">
        <v>0</v>
      </c>
      <c r="HX85" s="629">
        <v>0</v>
      </c>
      <c r="HY85" s="629" t="e">
        <v>#DIV/0!</v>
      </c>
      <c r="HZ85" s="629">
        <v>0</v>
      </c>
      <c r="IA85" s="629">
        <v>0</v>
      </c>
      <c r="IB85" s="629">
        <v>0</v>
      </c>
      <c r="IC85" s="629">
        <v>0</v>
      </c>
      <c r="ID85" s="629">
        <v>0</v>
      </c>
      <c r="IE85" s="629">
        <v>0</v>
      </c>
      <c r="IF85" s="629">
        <v>0</v>
      </c>
      <c r="IG85" s="629">
        <v>0</v>
      </c>
      <c r="IH85" s="629">
        <v>0</v>
      </c>
      <c r="II85" s="629">
        <v>0</v>
      </c>
      <c r="IJ85" s="629">
        <v>0</v>
      </c>
      <c r="IK85" s="629" t="e">
        <v>#DIV/0!</v>
      </c>
      <c r="IL85" s="629" t="e">
        <v>#DIV/0!</v>
      </c>
      <c r="IM85" s="629" t="e">
        <v>#DIV/0!</v>
      </c>
      <c r="IN85" s="629" t="e">
        <v>#DIV/0!</v>
      </c>
      <c r="IO85" s="629">
        <v>0</v>
      </c>
      <c r="IP85" s="629">
        <v>0</v>
      </c>
      <c r="IQ85" s="629">
        <v>0</v>
      </c>
      <c r="IR85" s="629">
        <v>0</v>
      </c>
      <c r="IS85" s="629">
        <v>0</v>
      </c>
      <c r="IT85" s="629">
        <v>0</v>
      </c>
      <c r="IU85" s="629">
        <v>0</v>
      </c>
      <c r="IV85" s="629">
        <v>0</v>
      </c>
      <c r="IW85" s="629">
        <v>0</v>
      </c>
      <c r="IX85" s="629">
        <v>0</v>
      </c>
      <c r="IY85" s="629">
        <v>0</v>
      </c>
      <c r="IZ85" s="629">
        <v>0</v>
      </c>
      <c r="JA85" s="629">
        <v>0</v>
      </c>
      <c r="JB85" s="629">
        <v>0</v>
      </c>
      <c r="JC85" s="629">
        <v>0</v>
      </c>
      <c r="JD85" s="629">
        <v>0</v>
      </c>
      <c r="JE85" s="629">
        <v>0</v>
      </c>
      <c r="JF85" s="629">
        <v>0</v>
      </c>
      <c r="JG85" s="629">
        <v>0</v>
      </c>
      <c r="JH85" s="629">
        <v>0</v>
      </c>
      <c r="JI85" s="629">
        <v>0</v>
      </c>
      <c r="JJ85" s="629">
        <v>0</v>
      </c>
      <c r="JK85" s="629">
        <v>0</v>
      </c>
      <c r="JL85" s="629">
        <v>0</v>
      </c>
      <c r="JM85" s="629">
        <v>0</v>
      </c>
      <c r="JN85" s="629">
        <v>0</v>
      </c>
      <c r="JO85" s="629">
        <v>0</v>
      </c>
      <c r="JP85" s="629">
        <v>0</v>
      </c>
      <c r="JQ85" s="629">
        <v>0</v>
      </c>
      <c r="JR85" s="629">
        <v>0</v>
      </c>
    </row>
    <row r="86" spans="1:278" ht="13.5">
      <c r="A86" s="499"/>
      <c r="B86" s="496"/>
      <c r="C86" s="496"/>
      <c r="D86" s="496"/>
      <c r="E86" s="755" t="s">
        <v>337</v>
      </c>
      <c r="FE86" s="623"/>
      <c r="FF86" s="623"/>
      <c r="FG86" s="623"/>
      <c r="FH86" s="623"/>
      <c r="FI86" s="623"/>
      <c r="FJ86" s="623"/>
      <c r="FK86" s="623"/>
      <c r="FL86" s="623"/>
      <c r="FM86" s="623"/>
      <c r="FN86" s="623"/>
      <c r="FO86" s="623"/>
      <c r="FP86" s="623"/>
      <c r="FQ86" s="623"/>
      <c r="FR86" s="623"/>
      <c r="FS86" s="623"/>
      <c r="FT86" s="623"/>
      <c r="FU86" s="623"/>
      <c r="FV86" s="623"/>
      <c r="FW86" s="623"/>
      <c r="FX86" s="623"/>
      <c r="FY86" s="623"/>
      <c r="FZ86" s="623"/>
      <c r="GA86" s="623"/>
      <c r="GB86" s="623"/>
      <c r="GC86" s="623"/>
      <c r="GD86" s="623"/>
      <c r="GE86" s="623"/>
      <c r="GF86" s="623"/>
      <c r="GG86" s="623"/>
      <c r="GH86" s="623"/>
      <c r="GI86" s="623"/>
      <c r="GJ86" s="623"/>
      <c r="GK86" s="623"/>
      <c r="GL86" s="623"/>
      <c r="GM86" s="623"/>
      <c r="GN86" s="623"/>
      <c r="GO86" s="623"/>
      <c r="GP86" s="623"/>
      <c r="GQ86" s="623"/>
      <c r="GR86" s="623"/>
      <c r="GS86" s="623"/>
      <c r="GT86" s="623"/>
      <c r="GU86" s="623"/>
      <c r="GV86" s="623"/>
      <c r="GW86" s="623"/>
      <c r="GX86" s="623"/>
      <c r="GY86" s="623"/>
      <c r="GZ86" s="623"/>
      <c r="HA86" s="623"/>
      <c r="HB86" s="623"/>
      <c r="HC86" s="623"/>
      <c r="HD86" s="623"/>
      <c r="HE86" s="623"/>
      <c r="HF86" s="623"/>
      <c r="HG86" s="623"/>
      <c r="HH86" s="623"/>
      <c r="HI86" s="623"/>
      <c r="HJ86" s="623"/>
      <c r="HK86" s="623"/>
      <c r="HL86" s="623"/>
      <c r="HM86" s="623"/>
      <c r="HN86" s="623"/>
      <c r="HO86" s="623"/>
      <c r="HP86" s="623"/>
      <c r="HQ86" s="623"/>
      <c r="HR86" s="623"/>
      <c r="HS86" s="623"/>
      <c r="HT86" s="623"/>
      <c r="HU86" s="623"/>
      <c r="HV86" s="623"/>
      <c r="HW86" s="623"/>
      <c r="HX86" s="623"/>
      <c r="HY86" s="623"/>
      <c r="HZ86" s="623"/>
      <c r="IA86" s="623"/>
      <c r="IB86" s="623"/>
      <c r="IC86" s="623"/>
      <c r="ID86" s="623"/>
      <c r="IE86" s="623"/>
      <c r="IF86" s="623"/>
      <c r="IG86" s="623"/>
      <c r="IH86" s="623"/>
      <c r="II86" s="623"/>
      <c r="IJ86" s="623"/>
      <c r="IK86" s="623"/>
      <c r="IL86" s="623"/>
      <c r="IM86" s="623"/>
      <c r="IN86" s="623"/>
      <c r="IO86" s="623"/>
      <c r="IP86" s="623"/>
      <c r="IQ86" s="623"/>
      <c r="IR86" s="623"/>
      <c r="IS86" s="623"/>
      <c r="IT86" s="623"/>
      <c r="IU86" s="623"/>
      <c r="IV86" s="623"/>
      <c r="IW86" s="623"/>
      <c r="IX86" s="623"/>
      <c r="IY86" s="623"/>
      <c r="IZ86" s="623"/>
      <c r="JA86" s="623"/>
      <c r="JB86" s="623"/>
      <c r="JC86" s="623"/>
      <c r="JD86" s="623"/>
      <c r="JE86" s="623"/>
      <c r="JF86" s="623"/>
      <c r="JG86" s="623"/>
      <c r="JH86" s="623"/>
      <c r="JI86" s="623"/>
      <c r="JJ86" s="623"/>
      <c r="JK86" s="623"/>
      <c r="JL86" s="623"/>
      <c r="JM86" s="623"/>
      <c r="JN86" s="623"/>
      <c r="JO86" s="623"/>
      <c r="JP86" s="623"/>
      <c r="JQ86" s="623"/>
      <c r="JR86" s="623"/>
    </row>
    <row r="87" spans="1:278" ht="18">
      <c r="A87" s="701" t="s">
        <v>277</v>
      </c>
      <c r="B87" s="88"/>
      <c r="C87" s="88"/>
      <c r="D87" s="88"/>
      <c r="E87" s="764"/>
      <c r="FE87" s="628"/>
      <c r="FF87" s="628"/>
      <c r="FG87" s="628"/>
      <c r="FH87" s="628"/>
      <c r="FI87" s="628"/>
      <c r="FJ87" s="628"/>
      <c r="FK87" s="628"/>
      <c r="FL87" s="628"/>
      <c r="FM87" s="628"/>
      <c r="FN87" s="628"/>
      <c r="FO87" s="628"/>
      <c r="FP87" s="628"/>
      <c r="FQ87" s="628"/>
      <c r="FR87" s="628"/>
      <c r="FS87" s="628"/>
      <c r="FT87" s="628"/>
      <c r="FU87" s="628"/>
      <c r="FV87" s="628"/>
      <c r="FW87" s="628"/>
      <c r="FX87" s="628"/>
      <c r="FY87" s="628"/>
      <c r="FZ87" s="628"/>
      <c r="GA87" s="628"/>
      <c r="GB87" s="628"/>
      <c r="GC87" s="628"/>
      <c r="GD87" s="628"/>
      <c r="GE87" s="628"/>
      <c r="GF87" s="628"/>
      <c r="GG87" s="628"/>
      <c r="GH87" s="628"/>
      <c r="GI87" s="628"/>
      <c r="GJ87" s="628"/>
      <c r="GK87" s="628"/>
      <c r="GL87" s="628"/>
      <c r="GM87" s="628"/>
      <c r="GN87" s="628"/>
      <c r="GO87" s="628"/>
      <c r="GP87" s="628"/>
      <c r="GQ87" s="628"/>
      <c r="GR87" s="628"/>
      <c r="GS87" s="628"/>
      <c r="GT87" s="628"/>
      <c r="GU87" s="628"/>
      <c r="GV87" s="628"/>
      <c r="GW87" s="628"/>
      <c r="GX87" s="628"/>
      <c r="GY87" s="628"/>
      <c r="GZ87" s="628"/>
      <c r="HA87" s="628"/>
      <c r="HB87" s="628"/>
      <c r="HC87" s="628"/>
      <c r="HD87" s="628"/>
      <c r="HE87" s="628"/>
      <c r="HF87" s="628"/>
      <c r="HG87" s="628"/>
      <c r="HH87" s="628"/>
      <c r="HI87" s="628"/>
      <c r="HJ87" s="628"/>
      <c r="HK87" s="628"/>
      <c r="HL87" s="628"/>
      <c r="HM87" s="628"/>
      <c r="HN87" s="628"/>
      <c r="HO87" s="628"/>
      <c r="HP87" s="628"/>
      <c r="HQ87" s="628"/>
      <c r="HR87" s="628"/>
      <c r="HS87" s="628"/>
      <c r="HT87" s="628"/>
      <c r="HU87" s="628"/>
      <c r="HV87" s="628"/>
      <c r="HW87" s="628"/>
      <c r="HX87" s="628"/>
      <c r="HY87" s="628"/>
      <c r="HZ87" s="628"/>
      <c r="IA87" s="628"/>
      <c r="IB87" s="628"/>
      <c r="IC87" s="628"/>
      <c r="ID87" s="628"/>
      <c r="IE87" s="628"/>
      <c r="IF87" s="628"/>
      <c r="IG87" s="628"/>
      <c r="IH87" s="628"/>
      <c r="II87" s="628"/>
      <c r="IJ87" s="628"/>
      <c r="IK87" s="628"/>
      <c r="IL87" s="628"/>
      <c r="IM87" s="628"/>
      <c r="IN87" s="628"/>
      <c r="IO87" s="628"/>
      <c r="IP87" s="628"/>
      <c r="IQ87" s="628"/>
      <c r="IR87" s="628"/>
      <c r="IS87" s="628"/>
      <c r="IT87" s="628"/>
      <c r="IU87" s="628"/>
      <c r="IV87" s="628"/>
      <c r="IW87" s="628"/>
      <c r="IX87" s="628"/>
      <c r="IY87" s="628"/>
      <c r="IZ87" s="628"/>
      <c r="JA87" s="628"/>
      <c r="JB87" s="628"/>
      <c r="JC87" s="628"/>
      <c r="JD87" s="628"/>
      <c r="JE87" s="628"/>
      <c r="JF87" s="628"/>
      <c r="JG87" s="628"/>
      <c r="JH87" s="628"/>
      <c r="JI87" s="628"/>
      <c r="JJ87" s="628"/>
      <c r="JK87" s="628"/>
      <c r="JL87" s="628"/>
      <c r="JM87" s="628"/>
      <c r="JN87" s="628"/>
      <c r="JO87" s="628"/>
      <c r="JP87" s="628"/>
      <c r="JQ87" s="628"/>
      <c r="JR87" s="628"/>
    </row>
    <row r="88" spans="1:278" ht="13.5">
      <c r="A88" s="36" t="s">
        <v>255</v>
      </c>
      <c r="B88" s="36"/>
      <c r="C88" s="36"/>
      <c r="D88" s="26" t="s">
        <v>258</v>
      </c>
      <c r="E88" s="26" t="s">
        <v>259</v>
      </c>
      <c r="FE88" s="630">
        <v>5.188267547775508E-3</v>
      </c>
      <c r="FF88" s="630">
        <v>6.5367101832234376E-3</v>
      </c>
      <c r="FG88" s="630">
        <v>1.1818515776353372E-2</v>
      </c>
      <c r="FH88" s="630">
        <v>1.1374674266219473E-2</v>
      </c>
      <c r="FI88" s="630">
        <v>2.8341521418644822E-2</v>
      </c>
      <c r="FJ88" s="630">
        <v>3.0390422829069022E-2</v>
      </c>
      <c r="FK88" s="630">
        <v>2.712824067565521E-2</v>
      </c>
      <c r="FL88" s="630">
        <v>3.5421608804572492E-2</v>
      </c>
      <c r="FM88" s="630">
        <v>3.0402687621853313E-2</v>
      </c>
      <c r="FN88" s="630">
        <v>1.4506254169892359E-2</v>
      </c>
      <c r="FO88" s="630">
        <v>3.4404364004529753E-3</v>
      </c>
      <c r="FP88" s="630">
        <v>1.670185271833647E-2</v>
      </c>
      <c r="FQ88" s="630">
        <v>5.3002707829451047E-3</v>
      </c>
      <c r="FR88" s="630">
        <v>4.9629313307059135E-3</v>
      </c>
      <c r="FS88" s="630">
        <v>3.3001536499626593E-3</v>
      </c>
      <c r="FT88" s="630">
        <v>1.5589185801801781E-2</v>
      </c>
      <c r="FU88" s="630">
        <v>2.5624291246347474E-2</v>
      </c>
      <c r="FV88" s="630">
        <v>1.0935277736856822E-2</v>
      </c>
      <c r="FW88" s="630">
        <v>1.573110455195106E-2</v>
      </c>
      <c r="FX88" s="630">
        <v>1.5484076775827813E-2</v>
      </c>
      <c r="FY88" s="630">
        <v>1.390273570851009E-2</v>
      </c>
      <c r="FZ88" s="630">
        <v>1.4784951982764539E-2</v>
      </c>
      <c r="GA88" s="630">
        <v>2.0916701933285695E-2</v>
      </c>
      <c r="GB88" s="630">
        <v>1.1281131397444598E-2</v>
      </c>
      <c r="GC88" s="630">
        <v>1.8841378424444076E-2</v>
      </c>
      <c r="GD88" s="630">
        <v>1.2131934247393847E-2</v>
      </c>
      <c r="GE88" s="630">
        <v>2.8123939834569776E-3</v>
      </c>
      <c r="GF88" s="630">
        <v>1.2167754576750822E-2</v>
      </c>
      <c r="GG88" s="630">
        <v>1.6155601592804436E-2</v>
      </c>
      <c r="GH88" s="630">
        <v>8.5309727449435629E-3</v>
      </c>
      <c r="GI88" s="630">
        <v>8.4762325156678402E-3</v>
      </c>
      <c r="GJ88" s="630">
        <v>1.0168692404389746E-2</v>
      </c>
      <c r="GK88" s="630">
        <v>5.85107688774727E-3</v>
      </c>
      <c r="GL88" s="630">
        <v>3.5371983746332603E-3</v>
      </c>
      <c r="GM88" s="630">
        <v>3.9724542852602081E-3</v>
      </c>
      <c r="GN88" s="630">
        <v>0</v>
      </c>
      <c r="GO88" s="630">
        <v>9.7804564817470241E-3</v>
      </c>
      <c r="GP88" s="630">
        <v>7.0001312955366391E-3</v>
      </c>
      <c r="GQ88" s="630">
        <v>1.1005639426692519E-2</v>
      </c>
      <c r="GR88" s="630">
        <v>1.9288333237984928E-2</v>
      </c>
      <c r="GS88" s="630">
        <v>1.3692325133593156E-2</v>
      </c>
      <c r="GT88" s="630">
        <v>1.603264856207454E-2</v>
      </c>
      <c r="GU88" s="630">
        <v>6.8219594648633924E-3</v>
      </c>
      <c r="GV88" s="630">
        <v>1.3660661436924279E-2</v>
      </c>
      <c r="GW88" s="630">
        <v>9.5052639366247117E-3</v>
      </c>
      <c r="GX88" s="630">
        <v>8.3144329673729145E-3</v>
      </c>
      <c r="GY88" s="630">
        <v>3.9033880538637219E-3</v>
      </c>
      <c r="GZ88" s="630">
        <v>4.4961736643326367E-3</v>
      </c>
      <c r="HA88" s="630">
        <v>4.7582525293572674E-3</v>
      </c>
      <c r="HB88" s="630">
        <v>3.8136082374597277E-3</v>
      </c>
      <c r="HC88" s="630">
        <v>3.8140698120186301E-3</v>
      </c>
      <c r="HD88" s="630">
        <v>3.8136043526616082E-3</v>
      </c>
      <c r="HE88" s="630">
        <v>3.8137177642311292E-3</v>
      </c>
      <c r="HF88" s="630">
        <v>3.8137177642311292E-3</v>
      </c>
      <c r="HG88" s="630">
        <v>5.0949965438892297E-3</v>
      </c>
      <c r="HH88" s="630">
        <v>4.2490904963798414E-3</v>
      </c>
      <c r="HI88" s="630">
        <v>1.3276920236065692E-2</v>
      </c>
      <c r="HJ88" s="630">
        <v>4.3625626550672031E-3</v>
      </c>
      <c r="HK88" s="630">
        <v>1.4440692675873147E-2</v>
      </c>
      <c r="HL88" s="630">
        <v>3.0424461547569996E-2</v>
      </c>
      <c r="HM88" s="630">
        <v>3.5462490215179526E-2</v>
      </c>
      <c r="HN88" s="630">
        <v>3.5251189836754144E-3</v>
      </c>
      <c r="HO88" s="630">
        <v>1.9095746405219934E-2</v>
      </c>
      <c r="HP88" s="630">
        <v>1.7845096619429415E-2</v>
      </c>
      <c r="HQ88" s="630">
        <v>9.7247193637344138E-3</v>
      </c>
      <c r="HR88" s="630">
        <v>1.7733432220261504E-2</v>
      </c>
      <c r="HS88" s="630">
        <v>1.3554260438197574E-2</v>
      </c>
      <c r="HT88" s="630">
        <v>1.7543458847524156E-2</v>
      </c>
      <c r="HU88" s="630">
        <v>4.4984253554148064E-3</v>
      </c>
      <c r="HV88" s="630">
        <v>1.505889400785624E-2</v>
      </c>
      <c r="HW88" s="630">
        <v>3.7455765472852779E-3</v>
      </c>
      <c r="HX88" s="630">
        <v>1.1496233888982079E-2</v>
      </c>
      <c r="HY88" s="630" t="e">
        <v>#DIV/0!</v>
      </c>
      <c r="HZ88" s="630">
        <v>7.6038677200313144E-3</v>
      </c>
      <c r="IA88" s="630">
        <v>3.4934468699230176E-3</v>
      </c>
      <c r="IB88" s="630">
        <v>5.1563267055513761E-3</v>
      </c>
      <c r="IC88" s="630">
        <v>3.9362964574447424E-3</v>
      </c>
      <c r="ID88" s="630">
        <v>7.7881262455760485E-3</v>
      </c>
      <c r="IE88" s="630">
        <v>7.90870770114078E-3</v>
      </c>
      <c r="IF88" s="630">
        <v>8.1583408379391383E-3</v>
      </c>
      <c r="IG88" s="630">
        <v>4.4601212001277495E-3</v>
      </c>
      <c r="IH88" s="630">
        <v>3.9832879395209657E-3</v>
      </c>
      <c r="II88" s="630">
        <v>1.3305584474816078E-2</v>
      </c>
      <c r="IJ88" s="630">
        <v>1.5426335451616905E-2</v>
      </c>
      <c r="IK88" s="630" t="e">
        <v>#DIV/0!</v>
      </c>
      <c r="IL88" s="630" t="e">
        <v>#DIV/0!</v>
      </c>
      <c r="IM88" s="630" t="e">
        <v>#DIV/0!</v>
      </c>
      <c r="IN88" s="630" t="e">
        <v>#DIV/0!</v>
      </c>
      <c r="IO88" s="630">
        <v>1.2577695881955399E-2</v>
      </c>
      <c r="IP88" s="630">
        <v>3.635392639583214E-3</v>
      </c>
      <c r="IQ88" s="630">
        <v>4.6833181702901254E-3</v>
      </c>
      <c r="IR88" s="630">
        <v>6.0728405265963849E-3</v>
      </c>
      <c r="IS88" s="630">
        <v>6.3904405679086028E-3</v>
      </c>
      <c r="IT88" s="630">
        <v>6.4016191073947987E-3</v>
      </c>
      <c r="IU88" s="630">
        <v>1.047830584143092E-2</v>
      </c>
      <c r="IV88" s="630">
        <v>1.0813545430085026E-2</v>
      </c>
      <c r="IW88" s="630">
        <v>1.1099791738292302E-2</v>
      </c>
      <c r="IX88" s="630">
        <v>1.0565370490504654E-2</v>
      </c>
      <c r="IY88" s="630">
        <v>9.2403448885120792E-3</v>
      </c>
      <c r="IZ88" s="630">
        <v>9.2901795830844999E-3</v>
      </c>
      <c r="JA88" s="630">
        <v>9.5480888044814135E-3</v>
      </c>
      <c r="JB88" s="630">
        <v>1.0728727060071226E-2</v>
      </c>
      <c r="JC88" s="630">
        <v>1.6008791574503092E-2</v>
      </c>
      <c r="JD88" s="630">
        <v>3.565448157775963E-3</v>
      </c>
      <c r="JE88" s="630">
        <v>9.9021836086304535E-3</v>
      </c>
      <c r="JF88" s="630">
        <v>9.8087228952592927E-3</v>
      </c>
      <c r="JG88" s="630">
        <v>9.7359723646913265E-3</v>
      </c>
      <c r="JH88" s="630">
        <v>9.6222038571560746E-3</v>
      </c>
      <c r="JI88" s="630">
        <v>3.4714277512090485E-3</v>
      </c>
      <c r="JJ88" s="630">
        <v>3.1387632609786945E-3</v>
      </c>
      <c r="JK88" s="630">
        <v>3.917251591380475E-3</v>
      </c>
      <c r="JL88" s="630">
        <v>1.3725291233841684E-2</v>
      </c>
      <c r="JM88" s="630">
        <v>1.3938841864470166E-2</v>
      </c>
      <c r="JN88" s="630">
        <v>1.7316922385574137E-2</v>
      </c>
      <c r="JO88" s="630">
        <v>1.1051958375229383E-2</v>
      </c>
      <c r="JP88" s="630">
        <v>1.1141554584271067E-2</v>
      </c>
      <c r="JQ88" s="630">
        <v>1.1032980106646322E-2</v>
      </c>
      <c r="JR88" s="630">
        <v>1.1076030421381715E-2</v>
      </c>
    </row>
    <row r="89" spans="1:278" ht="13.5">
      <c r="A89" s="36" t="s">
        <v>256</v>
      </c>
      <c r="B89" s="36"/>
      <c r="C89" s="36"/>
      <c r="D89" s="26" t="s">
        <v>258</v>
      </c>
      <c r="E89" s="26" t="s">
        <v>260</v>
      </c>
      <c r="FE89" s="630" t="s">
        <v>43</v>
      </c>
      <c r="FF89" s="630" t="s">
        <v>43</v>
      </c>
      <c r="FG89" s="630" t="s">
        <v>43</v>
      </c>
      <c r="FH89" s="630" t="s">
        <v>43</v>
      </c>
      <c r="FI89" s="630" t="s">
        <v>43</v>
      </c>
      <c r="FJ89" s="630" t="s">
        <v>43</v>
      </c>
      <c r="FK89" s="630" t="s">
        <v>43</v>
      </c>
      <c r="FL89" s="630" t="s">
        <v>43</v>
      </c>
      <c r="FM89" s="630" t="s">
        <v>43</v>
      </c>
      <c r="FN89" s="630" t="s">
        <v>43</v>
      </c>
      <c r="FO89" s="630" t="s">
        <v>43</v>
      </c>
      <c r="FP89" s="630" t="s">
        <v>43</v>
      </c>
      <c r="FQ89" s="630" t="s">
        <v>43</v>
      </c>
      <c r="FR89" s="630" t="s">
        <v>43</v>
      </c>
      <c r="FS89" s="630" t="s">
        <v>43</v>
      </c>
      <c r="FT89" s="630" t="s">
        <v>43</v>
      </c>
      <c r="FU89" s="630" t="s">
        <v>43</v>
      </c>
      <c r="FV89" s="630" t="s">
        <v>43</v>
      </c>
      <c r="FW89" s="630" t="s">
        <v>43</v>
      </c>
      <c r="FX89" s="630" t="s">
        <v>43</v>
      </c>
      <c r="FY89" s="630" t="s">
        <v>43</v>
      </c>
      <c r="FZ89" s="630" t="s">
        <v>43</v>
      </c>
      <c r="GA89" s="630" t="s">
        <v>43</v>
      </c>
      <c r="GB89" s="630" t="s">
        <v>43</v>
      </c>
      <c r="GC89" s="630" t="s">
        <v>43</v>
      </c>
      <c r="GD89" s="630" t="s">
        <v>43</v>
      </c>
      <c r="GE89" s="630" t="s">
        <v>43</v>
      </c>
      <c r="GF89" s="630" t="s">
        <v>43</v>
      </c>
      <c r="GG89" s="630" t="s">
        <v>43</v>
      </c>
      <c r="GH89" s="630" t="s">
        <v>43</v>
      </c>
      <c r="GI89" s="630" t="s">
        <v>43</v>
      </c>
      <c r="GJ89" s="630" t="s">
        <v>43</v>
      </c>
      <c r="GK89" s="630" t="s">
        <v>43</v>
      </c>
      <c r="GL89" s="630" t="s">
        <v>43</v>
      </c>
      <c r="GM89" s="630" t="s">
        <v>43</v>
      </c>
      <c r="GN89" s="630" t="s">
        <v>43</v>
      </c>
      <c r="GO89" s="630" t="s">
        <v>43</v>
      </c>
      <c r="GP89" s="630" t="s">
        <v>43</v>
      </c>
      <c r="GQ89" s="630" t="s">
        <v>43</v>
      </c>
      <c r="GR89" s="630" t="s">
        <v>43</v>
      </c>
      <c r="GS89" s="630" t="s">
        <v>43</v>
      </c>
      <c r="GT89" s="630" t="s">
        <v>43</v>
      </c>
      <c r="GU89" s="630" t="s">
        <v>43</v>
      </c>
      <c r="GV89" s="630" t="s">
        <v>43</v>
      </c>
      <c r="GW89" s="630" t="s">
        <v>43</v>
      </c>
      <c r="GX89" s="630" t="s">
        <v>43</v>
      </c>
      <c r="GY89" s="630" t="s">
        <v>43</v>
      </c>
      <c r="GZ89" s="630" t="s">
        <v>43</v>
      </c>
      <c r="HA89" s="630" t="s">
        <v>43</v>
      </c>
      <c r="HB89" s="630" t="s">
        <v>43</v>
      </c>
      <c r="HC89" s="630" t="s">
        <v>43</v>
      </c>
      <c r="HD89" s="630" t="s">
        <v>43</v>
      </c>
      <c r="HE89" s="630" t="s">
        <v>43</v>
      </c>
      <c r="HF89" s="630" t="s">
        <v>43</v>
      </c>
      <c r="HG89" s="630" t="s">
        <v>43</v>
      </c>
      <c r="HH89" s="630" t="s">
        <v>43</v>
      </c>
      <c r="HI89" s="630" t="s">
        <v>43</v>
      </c>
      <c r="HJ89" s="630" t="s">
        <v>43</v>
      </c>
      <c r="HK89" s="630" t="s">
        <v>43</v>
      </c>
      <c r="HL89" s="630" t="s">
        <v>43</v>
      </c>
      <c r="HM89" s="630" t="s">
        <v>43</v>
      </c>
      <c r="HN89" s="630" t="s">
        <v>43</v>
      </c>
      <c r="HO89" s="630" t="s">
        <v>43</v>
      </c>
      <c r="HP89" s="630" t="s">
        <v>43</v>
      </c>
      <c r="HQ89" s="630" t="s">
        <v>43</v>
      </c>
      <c r="HR89" s="630" t="s">
        <v>43</v>
      </c>
      <c r="HS89" s="630" t="s">
        <v>43</v>
      </c>
      <c r="HT89" s="630" t="s">
        <v>43</v>
      </c>
      <c r="HU89" s="630" t="s">
        <v>43</v>
      </c>
      <c r="HV89" s="630" t="s">
        <v>43</v>
      </c>
      <c r="HW89" s="630" t="s">
        <v>43</v>
      </c>
      <c r="HX89" s="630" t="s">
        <v>43</v>
      </c>
      <c r="HY89" s="630" t="s">
        <v>43</v>
      </c>
      <c r="HZ89" s="630" t="s">
        <v>43</v>
      </c>
      <c r="IA89" s="630" t="s">
        <v>43</v>
      </c>
      <c r="IB89" s="630" t="s">
        <v>43</v>
      </c>
      <c r="IC89" s="630" t="s">
        <v>43</v>
      </c>
      <c r="ID89" s="630" t="s">
        <v>43</v>
      </c>
      <c r="IE89" s="630" t="s">
        <v>43</v>
      </c>
      <c r="IF89" s="630" t="s">
        <v>43</v>
      </c>
      <c r="IG89" s="630" t="s">
        <v>43</v>
      </c>
      <c r="IH89" s="630" t="s">
        <v>43</v>
      </c>
      <c r="II89" s="630" t="s">
        <v>43</v>
      </c>
      <c r="IJ89" s="630" t="s">
        <v>43</v>
      </c>
      <c r="IK89" s="630" t="s">
        <v>43</v>
      </c>
      <c r="IL89" s="630" t="s">
        <v>43</v>
      </c>
      <c r="IM89" s="630" t="s">
        <v>43</v>
      </c>
      <c r="IN89" s="630" t="s">
        <v>43</v>
      </c>
      <c r="IO89" s="630" t="s">
        <v>43</v>
      </c>
      <c r="IP89" s="630" t="s">
        <v>43</v>
      </c>
      <c r="IQ89" s="630" t="s">
        <v>43</v>
      </c>
      <c r="IR89" s="630" t="s">
        <v>43</v>
      </c>
      <c r="IS89" s="630" t="s">
        <v>43</v>
      </c>
      <c r="IT89" s="630" t="s">
        <v>43</v>
      </c>
      <c r="IU89" s="630" t="s">
        <v>43</v>
      </c>
      <c r="IV89" s="630" t="s">
        <v>43</v>
      </c>
      <c r="IW89" s="630" t="s">
        <v>43</v>
      </c>
      <c r="IX89" s="630" t="s">
        <v>43</v>
      </c>
      <c r="IY89" s="630" t="s">
        <v>43</v>
      </c>
      <c r="IZ89" s="630" t="s">
        <v>43</v>
      </c>
      <c r="JA89" s="630" t="s">
        <v>43</v>
      </c>
      <c r="JB89" s="630" t="s">
        <v>43</v>
      </c>
      <c r="JC89" s="630" t="s">
        <v>43</v>
      </c>
      <c r="JD89" s="630" t="s">
        <v>43</v>
      </c>
      <c r="JE89" s="630" t="s">
        <v>43</v>
      </c>
      <c r="JF89" s="630" t="s">
        <v>43</v>
      </c>
      <c r="JG89" s="630" t="s">
        <v>43</v>
      </c>
      <c r="JH89" s="630" t="s">
        <v>43</v>
      </c>
      <c r="JI89" s="630" t="s">
        <v>43</v>
      </c>
      <c r="JJ89" s="630" t="s">
        <v>43</v>
      </c>
      <c r="JK89" s="630" t="s">
        <v>43</v>
      </c>
      <c r="JL89" s="630" t="s">
        <v>43</v>
      </c>
      <c r="JM89" s="630" t="s">
        <v>43</v>
      </c>
      <c r="JN89" s="630" t="s">
        <v>43</v>
      </c>
      <c r="JO89" s="630" t="s">
        <v>43</v>
      </c>
      <c r="JP89" s="630" t="s">
        <v>43</v>
      </c>
      <c r="JQ89" s="630" t="s">
        <v>43</v>
      </c>
      <c r="JR89" s="630" t="s">
        <v>43</v>
      </c>
    </row>
    <row r="90" spans="1:278" ht="13.5">
      <c r="A90" s="36" t="s">
        <v>257</v>
      </c>
      <c r="B90" s="36"/>
      <c r="C90" s="36"/>
      <c r="D90" s="26" t="s">
        <v>258</v>
      </c>
      <c r="E90" s="26" t="s">
        <v>261</v>
      </c>
      <c r="FE90" s="630" t="s">
        <v>43</v>
      </c>
      <c r="FF90" s="630" t="s">
        <v>43</v>
      </c>
      <c r="FG90" s="630" t="s">
        <v>43</v>
      </c>
      <c r="FH90" s="630" t="s">
        <v>43</v>
      </c>
      <c r="FI90" s="630" t="s">
        <v>43</v>
      </c>
      <c r="FJ90" s="630" t="s">
        <v>43</v>
      </c>
      <c r="FK90" s="630" t="s">
        <v>43</v>
      </c>
      <c r="FL90" s="630" t="s">
        <v>43</v>
      </c>
      <c r="FM90" s="630" t="s">
        <v>43</v>
      </c>
      <c r="FN90" s="630" t="s">
        <v>43</v>
      </c>
      <c r="FO90" s="630" t="s">
        <v>43</v>
      </c>
      <c r="FP90" s="630" t="s">
        <v>43</v>
      </c>
      <c r="FQ90" s="630" t="s">
        <v>43</v>
      </c>
      <c r="FR90" s="630" t="s">
        <v>43</v>
      </c>
      <c r="FS90" s="630" t="s">
        <v>43</v>
      </c>
      <c r="FT90" s="630" t="s">
        <v>43</v>
      </c>
      <c r="FU90" s="630" t="s">
        <v>43</v>
      </c>
      <c r="FV90" s="630" t="s">
        <v>43</v>
      </c>
      <c r="FW90" s="630" t="s">
        <v>43</v>
      </c>
      <c r="FX90" s="630" t="s">
        <v>43</v>
      </c>
      <c r="FY90" s="630" t="s">
        <v>43</v>
      </c>
      <c r="FZ90" s="630" t="s">
        <v>43</v>
      </c>
      <c r="GA90" s="630" t="s">
        <v>43</v>
      </c>
      <c r="GB90" s="630" t="s">
        <v>43</v>
      </c>
      <c r="GC90" s="630" t="s">
        <v>43</v>
      </c>
      <c r="GD90" s="630" t="s">
        <v>43</v>
      </c>
      <c r="GE90" s="630" t="s">
        <v>43</v>
      </c>
      <c r="GF90" s="630" t="s">
        <v>43</v>
      </c>
      <c r="GG90" s="630" t="s">
        <v>43</v>
      </c>
      <c r="GH90" s="630" t="s">
        <v>43</v>
      </c>
      <c r="GI90" s="630" t="s">
        <v>43</v>
      </c>
      <c r="GJ90" s="630" t="s">
        <v>43</v>
      </c>
      <c r="GK90" s="630" t="s">
        <v>43</v>
      </c>
      <c r="GL90" s="630" t="s">
        <v>43</v>
      </c>
      <c r="GM90" s="630" t="s">
        <v>43</v>
      </c>
      <c r="GN90" s="630" t="s">
        <v>43</v>
      </c>
      <c r="GO90" s="630" t="s">
        <v>43</v>
      </c>
      <c r="GP90" s="630" t="s">
        <v>43</v>
      </c>
      <c r="GQ90" s="630" t="s">
        <v>43</v>
      </c>
      <c r="GR90" s="630" t="s">
        <v>43</v>
      </c>
      <c r="GS90" s="630" t="s">
        <v>43</v>
      </c>
      <c r="GT90" s="630" t="s">
        <v>43</v>
      </c>
      <c r="GU90" s="630" t="s">
        <v>43</v>
      </c>
      <c r="GV90" s="630" t="s">
        <v>43</v>
      </c>
      <c r="GW90" s="630" t="s">
        <v>43</v>
      </c>
      <c r="GX90" s="630" t="s">
        <v>43</v>
      </c>
      <c r="GY90" s="630" t="s">
        <v>43</v>
      </c>
      <c r="GZ90" s="630" t="s">
        <v>43</v>
      </c>
      <c r="HA90" s="630" t="s">
        <v>43</v>
      </c>
      <c r="HB90" s="630" t="s">
        <v>43</v>
      </c>
      <c r="HC90" s="630" t="s">
        <v>43</v>
      </c>
      <c r="HD90" s="630" t="s">
        <v>43</v>
      </c>
      <c r="HE90" s="630" t="s">
        <v>43</v>
      </c>
      <c r="HF90" s="630" t="s">
        <v>43</v>
      </c>
      <c r="HG90" s="630" t="s">
        <v>43</v>
      </c>
      <c r="HH90" s="630" t="s">
        <v>43</v>
      </c>
      <c r="HI90" s="630" t="s">
        <v>43</v>
      </c>
      <c r="HJ90" s="630" t="s">
        <v>43</v>
      </c>
      <c r="HK90" s="630" t="s">
        <v>43</v>
      </c>
      <c r="HL90" s="630" t="s">
        <v>43</v>
      </c>
      <c r="HM90" s="630" t="s">
        <v>43</v>
      </c>
      <c r="HN90" s="630" t="s">
        <v>43</v>
      </c>
      <c r="HO90" s="630" t="s">
        <v>43</v>
      </c>
      <c r="HP90" s="630" t="s">
        <v>43</v>
      </c>
      <c r="HQ90" s="630" t="s">
        <v>43</v>
      </c>
      <c r="HR90" s="630" t="s">
        <v>43</v>
      </c>
      <c r="HS90" s="630" t="s">
        <v>43</v>
      </c>
      <c r="HT90" s="630" t="s">
        <v>43</v>
      </c>
      <c r="HU90" s="630" t="s">
        <v>43</v>
      </c>
      <c r="HV90" s="630" t="s">
        <v>43</v>
      </c>
      <c r="HW90" s="630" t="s">
        <v>43</v>
      </c>
      <c r="HX90" s="630" t="s">
        <v>43</v>
      </c>
      <c r="HY90" s="630" t="s">
        <v>43</v>
      </c>
      <c r="HZ90" s="630" t="s">
        <v>43</v>
      </c>
      <c r="IA90" s="630" t="s">
        <v>43</v>
      </c>
      <c r="IB90" s="630" t="s">
        <v>43</v>
      </c>
      <c r="IC90" s="630" t="s">
        <v>43</v>
      </c>
      <c r="ID90" s="630" t="s">
        <v>43</v>
      </c>
      <c r="IE90" s="630" t="s">
        <v>43</v>
      </c>
      <c r="IF90" s="630" t="s">
        <v>43</v>
      </c>
      <c r="IG90" s="630" t="s">
        <v>43</v>
      </c>
      <c r="IH90" s="630" t="s">
        <v>43</v>
      </c>
      <c r="II90" s="630" t="s">
        <v>43</v>
      </c>
      <c r="IJ90" s="630" t="s">
        <v>43</v>
      </c>
      <c r="IK90" s="630" t="s">
        <v>43</v>
      </c>
      <c r="IL90" s="630" t="s">
        <v>43</v>
      </c>
      <c r="IM90" s="630" t="s">
        <v>43</v>
      </c>
      <c r="IN90" s="630" t="s">
        <v>43</v>
      </c>
      <c r="IO90" s="630" t="s">
        <v>43</v>
      </c>
      <c r="IP90" s="630" t="s">
        <v>43</v>
      </c>
      <c r="IQ90" s="630" t="s">
        <v>43</v>
      </c>
      <c r="IR90" s="630" t="s">
        <v>43</v>
      </c>
      <c r="IS90" s="630" t="s">
        <v>43</v>
      </c>
      <c r="IT90" s="630" t="s">
        <v>43</v>
      </c>
      <c r="IU90" s="630" t="s">
        <v>43</v>
      </c>
      <c r="IV90" s="630" t="s">
        <v>43</v>
      </c>
      <c r="IW90" s="630" t="s">
        <v>43</v>
      </c>
      <c r="IX90" s="630" t="s">
        <v>43</v>
      </c>
      <c r="IY90" s="630" t="s">
        <v>43</v>
      </c>
      <c r="IZ90" s="630" t="s">
        <v>43</v>
      </c>
      <c r="JA90" s="630" t="s">
        <v>43</v>
      </c>
      <c r="JB90" s="630" t="s">
        <v>43</v>
      </c>
      <c r="JC90" s="630" t="s">
        <v>43</v>
      </c>
      <c r="JD90" s="630" t="s">
        <v>43</v>
      </c>
      <c r="JE90" s="630" t="s">
        <v>43</v>
      </c>
      <c r="JF90" s="630" t="s">
        <v>43</v>
      </c>
      <c r="JG90" s="630" t="s">
        <v>43</v>
      </c>
      <c r="JH90" s="630" t="s">
        <v>43</v>
      </c>
      <c r="JI90" s="630" t="s">
        <v>43</v>
      </c>
      <c r="JJ90" s="630" t="s">
        <v>43</v>
      </c>
      <c r="JK90" s="630" t="s">
        <v>43</v>
      </c>
      <c r="JL90" s="630" t="s">
        <v>43</v>
      </c>
      <c r="JM90" s="630" t="s">
        <v>43</v>
      </c>
      <c r="JN90" s="630" t="s">
        <v>43</v>
      </c>
      <c r="JO90" s="630" t="s">
        <v>43</v>
      </c>
      <c r="JP90" s="630" t="s">
        <v>43</v>
      </c>
      <c r="JQ90" s="630" t="s">
        <v>43</v>
      </c>
      <c r="JR90" s="630" t="s">
        <v>43</v>
      </c>
    </row>
    <row r="91" spans="1:278" ht="13.5">
      <c r="A91" s="36" t="str">
        <f>IF(Source="Groundwater","Effective diffusion coefficient through capillary zone","")</f>
        <v>Effective diffusion coefficient through capillary zone</v>
      </c>
      <c r="B91" s="36"/>
      <c r="C91" s="36"/>
      <c r="D91" s="26" t="str">
        <f>IF(Source="Groundwater","(cm2/sec)","")</f>
        <v>(cm2/sec)</v>
      </c>
      <c r="E91" s="26" t="str">
        <f>IF(Source="Groundwater","DeffCZ","")</f>
        <v>DeffCZ</v>
      </c>
      <c r="FE91" s="630">
        <v>2.0963243052995274E-4</v>
      </c>
      <c r="FF91" s="630">
        <v>5.2933171349948656E-4</v>
      </c>
      <c r="FG91" s="630">
        <v>4.6819205112689447E-4</v>
      </c>
      <c r="FH91" s="630">
        <v>6.1314963633385053E-4</v>
      </c>
      <c r="FI91" s="630">
        <v>5.7028805444942501E-2</v>
      </c>
      <c r="FJ91" s="630">
        <v>1.2038996446191177E-3</v>
      </c>
      <c r="FK91" s="630">
        <v>1.3013916955133414E-3</v>
      </c>
      <c r="FL91" s="630">
        <v>1.7880707800187359E-3</v>
      </c>
      <c r="FM91" s="630">
        <v>1.2090614193268137E-3</v>
      </c>
      <c r="FN91" s="630">
        <v>2.4099119200887433E-3</v>
      </c>
      <c r="FO91" s="630">
        <v>2.2213308508716527E-4</v>
      </c>
      <c r="FP91" s="630">
        <v>3.1434427844132494E-3</v>
      </c>
      <c r="FQ91" s="630">
        <v>2.8452062172983929E-4</v>
      </c>
      <c r="FR91" s="630">
        <v>1.9791525402525971E-4</v>
      </c>
      <c r="FS91" s="630">
        <v>5.2835087253594315E-4</v>
      </c>
      <c r="FT91" s="630">
        <v>6.9458410023093091E-4</v>
      </c>
      <c r="FU91" s="630">
        <v>7.5239944133667592E-3</v>
      </c>
      <c r="FV91" s="630">
        <v>5.0673651443934493E-2</v>
      </c>
      <c r="FW91" s="630">
        <v>6.0452483931364376E-2</v>
      </c>
      <c r="FX91" s="630">
        <v>7.8507715503288423E-4</v>
      </c>
      <c r="FY91" s="630">
        <v>6.4274794912453454E-4</v>
      </c>
      <c r="FZ91" s="630">
        <v>9.0745100395489033E-4</v>
      </c>
      <c r="GA91" s="630">
        <v>9.1190383501757368E-3</v>
      </c>
      <c r="GB91" s="630">
        <v>5.5546900650684525E-4</v>
      </c>
      <c r="GC91" s="630">
        <v>7.7178261294697631E-4</v>
      </c>
      <c r="GD91" s="630">
        <v>5.3241329742213274E-4</v>
      </c>
      <c r="GE91" s="630">
        <v>1.1427452480310216E-4</v>
      </c>
      <c r="GF91" s="630">
        <v>5.0828581023326528E-4</v>
      </c>
      <c r="GG91" s="630">
        <v>6.4689852472611317E-4</v>
      </c>
      <c r="GH91" s="630">
        <v>3.6535375887219952E-4</v>
      </c>
      <c r="GI91" s="630">
        <v>3.627428708977061E-4</v>
      </c>
      <c r="GJ91" s="630">
        <v>4.0859257993304174E-4</v>
      </c>
      <c r="GK91" s="630">
        <v>2.317885575164941E-4</v>
      </c>
      <c r="GL91" s="630">
        <v>1.5258338998949794E-4</v>
      </c>
      <c r="GM91" s="630">
        <v>3.3464878649378156E-4</v>
      </c>
      <c r="GN91" s="630">
        <v>0</v>
      </c>
      <c r="GO91" s="630">
        <v>4.2161937815391143E-4</v>
      </c>
      <c r="GP91" s="630">
        <v>2.7733562544009227E-4</v>
      </c>
      <c r="GQ91" s="630">
        <v>1.142678537509048E-3</v>
      </c>
      <c r="GR91" s="630">
        <v>1.6364329297794975E-3</v>
      </c>
      <c r="GS91" s="630">
        <v>6.962606050770491E-4</v>
      </c>
      <c r="GT91" s="630">
        <v>1.197639378233115E-2</v>
      </c>
      <c r="GU91" s="630">
        <v>1.1990708830228076E-3</v>
      </c>
      <c r="GV91" s="630">
        <v>1.2990142119280318E-2</v>
      </c>
      <c r="GW91" s="630">
        <v>1.6211149302026414E-3</v>
      </c>
      <c r="GX91" s="630">
        <v>3.2937519651158361E-4</v>
      </c>
      <c r="GY91" s="630">
        <v>2.0045448623089298E-4</v>
      </c>
      <c r="GZ91" s="630">
        <v>2.3211766854506084E-4</v>
      </c>
      <c r="HA91" s="630">
        <v>2.0878633434805727E-4</v>
      </c>
      <c r="HB91" s="630">
        <v>1.8950530609188607E-4</v>
      </c>
      <c r="HC91" s="630">
        <v>2.6879863516407671E-4</v>
      </c>
      <c r="HD91" s="630">
        <v>1.8883794137317339E-4</v>
      </c>
      <c r="HE91" s="630">
        <v>2.0832077622451843E-4</v>
      </c>
      <c r="HF91" s="630">
        <v>2.0832077622451843E-4</v>
      </c>
      <c r="HG91" s="630">
        <v>2.0976103962857656E-4</v>
      </c>
      <c r="HH91" s="630">
        <v>4.4932545660819379E-4</v>
      </c>
      <c r="HI91" s="630">
        <v>5.2597041975548716E-4</v>
      </c>
      <c r="HJ91" s="630">
        <v>1.0653116784894352E-3</v>
      </c>
      <c r="HK91" s="630">
        <v>5.733174736202441E-4</v>
      </c>
      <c r="HL91" s="630">
        <v>1.2068884712874333E-3</v>
      </c>
      <c r="HM91" s="630">
        <v>1.428389869663178E-3</v>
      </c>
      <c r="HN91" s="630">
        <v>1.7371861726960837E-4</v>
      </c>
      <c r="HO91" s="630">
        <v>2.1202482005426088E-2</v>
      </c>
      <c r="HP91" s="630">
        <v>1.0052549580969678E-3</v>
      </c>
      <c r="HQ91" s="630">
        <v>3.8657796983119255E-4</v>
      </c>
      <c r="HR91" s="630">
        <v>7.0259800911460439E-4</v>
      </c>
      <c r="HS91" s="630">
        <v>1.9969242601957662E-2</v>
      </c>
      <c r="HT91" s="630">
        <v>1.0018574072638436E-3</v>
      </c>
      <c r="HU91" s="630">
        <v>1.2714046771619598E-3</v>
      </c>
      <c r="HV91" s="630">
        <v>2.3751117511501157E-3</v>
      </c>
      <c r="HW91" s="630">
        <v>4.8013990004152306E-4</v>
      </c>
      <c r="HX91" s="630">
        <v>4.611499312111543E-4</v>
      </c>
      <c r="HY91" s="630" t="e">
        <v>#DIV/0!</v>
      </c>
      <c r="HZ91" s="630">
        <v>5.4377576611180792E-4</v>
      </c>
      <c r="IA91" s="630">
        <v>5.4119174456996645E-4</v>
      </c>
      <c r="IB91" s="630">
        <v>2.199757622515228E-4</v>
      </c>
      <c r="IC91" s="630">
        <v>2.0639765796450101E-4</v>
      </c>
      <c r="ID91" s="630">
        <v>3.1505398479481479E-4</v>
      </c>
      <c r="IE91" s="630">
        <v>3.5873442802186067E-4</v>
      </c>
      <c r="IF91" s="630">
        <v>3.241469206041645E-4</v>
      </c>
      <c r="IG91" s="630">
        <v>2.4413174941785074E-4</v>
      </c>
      <c r="IH91" s="630">
        <v>1.5781596152869711E-4</v>
      </c>
      <c r="II91" s="630">
        <v>5.2747381974484317E-4</v>
      </c>
      <c r="IJ91" s="630">
        <v>8.8606588229649076E-4</v>
      </c>
      <c r="IK91" s="630" t="e">
        <v>#DIV/0!</v>
      </c>
      <c r="IL91" s="630" t="e">
        <v>#DIV/0!</v>
      </c>
      <c r="IM91" s="630" t="e">
        <v>#DIV/0!</v>
      </c>
      <c r="IN91" s="630" t="e">
        <v>#DIV/0!</v>
      </c>
      <c r="IO91" s="630">
        <v>5.0074644796733471E-4</v>
      </c>
      <c r="IP91" s="630">
        <v>9.9266282790960269E-4</v>
      </c>
      <c r="IQ91" s="630">
        <v>2.2708033092008788E-4</v>
      </c>
      <c r="IR91" s="630">
        <v>2.4060150786637494E-4</v>
      </c>
      <c r="IS91" s="630">
        <v>2.6519177674339661E-4</v>
      </c>
      <c r="IT91" s="630">
        <v>2.6421833544455298E-4</v>
      </c>
      <c r="IU91" s="630">
        <v>4.1609392839184948E-4</v>
      </c>
      <c r="IV91" s="630">
        <v>4.5015508295194142E-4</v>
      </c>
      <c r="IW91" s="630">
        <v>4.415707133706815E-4</v>
      </c>
      <c r="IX91" s="630">
        <v>4.1872629631588954E-4</v>
      </c>
      <c r="IY91" s="630">
        <v>4.1799219208300088E-4</v>
      </c>
      <c r="IZ91" s="630">
        <v>4.1638288356313528E-4</v>
      </c>
      <c r="JA91" s="630">
        <v>3.792018796609577E-4</v>
      </c>
      <c r="JB91" s="630">
        <v>5.1966651249169915E-4</v>
      </c>
      <c r="JC91" s="630">
        <v>6.3420638615256772E-4</v>
      </c>
      <c r="JD91" s="630">
        <v>2.3837059792736166E-4</v>
      </c>
      <c r="JE91" s="630">
        <v>3.9557164488221506E-4</v>
      </c>
      <c r="JF91" s="630">
        <v>3.9087504890332209E-4</v>
      </c>
      <c r="JG91" s="630">
        <v>3.8729027139411734E-4</v>
      </c>
      <c r="JH91" s="630">
        <v>3.8119582083059341E-4</v>
      </c>
      <c r="JI91" s="630">
        <v>1.3752499222834097E-4</v>
      </c>
      <c r="JJ91" s="630">
        <v>5.2640151836887659E-4</v>
      </c>
      <c r="JK91" s="630">
        <v>5.0802741898310405E-4</v>
      </c>
      <c r="JL91" s="630">
        <v>5.7884459105195295E-4</v>
      </c>
      <c r="JM91" s="630">
        <v>5.5388676761148334E-4</v>
      </c>
      <c r="JN91" s="630">
        <v>6.8677498662634239E-4</v>
      </c>
      <c r="JO91" s="630">
        <v>4.3992687275140309E-4</v>
      </c>
      <c r="JP91" s="630">
        <v>4.443226484517434E-4</v>
      </c>
      <c r="JQ91" s="630">
        <v>4.3925559808270711E-4</v>
      </c>
      <c r="JR91" s="630">
        <v>4.410621737140729E-4</v>
      </c>
    </row>
    <row r="92" spans="1:278" ht="13.5">
      <c r="A92" s="36" t="s">
        <v>278</v>
      </c>
      <c r="B92" s="36"/>
      <c r="C92" s="36"/>
      <c r="D92" s="26" t="s">
        <v>258</v>
      </c>
      <c r="E92" s="26" t="s">
        <v>263</v>
      </c>
      <c r="FE92" s="630">
        <v>2.2083417681831373E-3</v>
      </c>
      <c r="FF92" s="630">
        <v>3.9740976503880605E-3</v>
      </c>
      <c r="FG92" s="630">
        <v>4.9711176077716869E-3</v>
      </c>
      <c r="FH92" s="630">
        <v>5.6952294322341959E-3</v>
      </c>
      <c r="FI92" s="630">
        <v>2.9175393064015578E-2</v>
      </c>
      <c r="FJ92" s="630">
        <v>1.2782720252124924E-2</v>
      </c>
      <c r="FK92" s="630">
        <v>1.2750697713251548E-2</v>
      </c>
      <c r="FL92" s="630">
        <v>1.7122247111343268E-2</v>
      </c>
      <c r="FM92" s="630">
        <v>1.281778454124481E-2</v>
      </c>
      <c r="FN92" s="630">
        <v>1.1287210589273252E-2</v>
      </c>
      <c r="FO92" s="630">
        <v>1.8870402587289825E-3</v>
      </c>
      <c r="FP92" s="630">
        <v>1.3414386200510723E-2</v>
      </c>
      <c r="FQ92" s="630">
        <v>2.6479707141851164E-3</v>
      </c>
      <c r="FR92" s="630">
        <v>2.095870578911039E-3</v>
      </c>
      <c r="FS92" s="630">
        <v>2.5423421028271131E-3</v>
      </c>
      <c r="FT92" s="630">
        <v>7.0272071137211303E-3</v>
      </c>
      <c r="FU92" s="630">
        <v>2.2542977993120172E-2</v>
      </c>
      <c r="FV92" s="630">
        <v>1.1445242563939396E-2</v>
      </c>
      <c r="FW92" s="630">
        <v>1.6421339512397107E-2</v>
      </c>
      <c r="FX92" s="630">
        <v>7.5026773891010397E-3</v>
      </c>
      <c r="FY92" s="630">
        <v>6.4003969890512489E-3</v>
      </c>
      <c r="FZ92" s="630">
        <v>7.9109974272739882E-3</v>
      </c>
      <c r="GA92" s="630">
        <v>1.9484440685601623E-2</v>
      </c>
      <c r="GB92" s="630">
        <v>5.3793609769145377E-3</v>
      </c>
      <c r="GC92" s="630">
        <v>8.085481116255051E-3</v>
      </c>
      <c r="GD92" s="630">
        <v>5.421173201925711E-3</v>
      </c>
      <c r="GE92" s="630">
        <v>1.2010945116636839E-3</v>
      </c>
      <c r="GF92" s="630">
        <v>5.2826540857084433E-3</v>
      </c>
      <c r="GG92" s="630">
        <v>6.8393475203245612E-3</v>
      </c>
      <c r="GH92" s="630">
        <v>3.7583355775172075E-3</v>
      </c>
      <c r="GI92" s="630">
        <v>3.732616608833499E-3</v>
      </c>
      <c r="GJ92" s="630">
        <v>4.3138445870333783E-3</v>
      </c>
      <c r="GK92" s="630">
        <v>2.4610698621681209E-3</v>
      </c>
      <c r="GL92" s="630">
        <v>1.5648933310634236E-3</v>
      </c>
      <c r="GM92" s="630">
        <v>2.4557051116393998E-3</v>
      </c>
      <c r="GN92" s="630" t="e">
        <v>#DIV/0!</v>
      </c>
      <c r="GO92" s="630">
        <v>4.3253128912473394E-3</v>
      </c>
      <c r="GP92" s="630">
        <v>2.9445601941343754E-3</v>
      </c>
      <c r="GQ92" s="630">
        <v>7.3842402914091601E-3</v>
      </c>
      <c r="GR92" s="630">
        <v>1.1958885046687002E-2</v>
      </c>
      <c r="GS92" s="630">
        <v>6.6450153968273988E-3</v>
      </c>
      <c r="GT92" s="630">
        <v>1.5729947623533993E-2</v>
      </c>
      <c r="GU92" s="630">
        <v>5.3867148149707054E-3</v>
      </c>
      <c r="GV92" s="630">
        <v>1.3620714396353909E-2</v>
      </c>
      <c r="GW92" s="630">
        <v>7.4473392088830592E-3</v>
      </c>
      <c r="GX92" s="630">
        <v>3.4972124898955434E-3</v>
      </c>
      <c r="GY92" s="630">
        <v>1.9044775950005771E-3</v>
      </c>
      <c r="GZ92" s="630">
        <v>2.1999483088828461E-3</v>
      </c>
      <c r="HA92" s="630">
        <v>2.1260503333791776E-3</v>
      </c>
      <c r="HB92" s="630">
        <v>1.8276732281892151E-3</v>
      </c>
      <c r="HC92" s="630">
        <v>2.1802244739031235E-3</v>
      </c>
      <c r="HD92" s="630">
        <v>1.8241397708293472E-3</v>
      </c>
      <c r="HE92" s="630">
        <v>1.9228673700601663E-3</v>
      </c>
      <c r="HF92" s="630">
        <v>1.9228673700601663E-3</v>
      </c>
      <c r="HG92" s="630">
        <v>2.1930294777037823E-3</v>
      </c>
      <c r="HH92" s="630">
        <v>2.8700596652935719E-3</v>
      </c>
      <c r="HI92" s="630">
        <v>5.5845756796341905E-3</v>
      </c>
      <c r="HJ92" s="630">
        <v>3.7101094467176039E-3</v>
      </c>
      <c r="HK92" s="630">
        <v>6.0820447625858504E-3</v>
      </c>
      <c r="HL92" s="630">
        <v>1.2807539437016574E-2</v>
      </c>
      <c r="HM92" s="630">
        <v>1.5066052526578716E-2</v>
      </c>
      <c r="HN92" s="630">
        <v>1.6817167064541567E-3</v>
      </c>
      <c r="HO92" s="630">
        <v>1.9204165581883408E-2</v>
      </c>
      <c r="HP92" s="630">
        <v>9.1428569829096525E-3</v>
      </c>
      <c r="HQ92" s="630">
        <v>4.0989424991786563E-3</v>
      </c>
      <c r="HR92" s="630">
        <v>7.4596058729238367E-3</v>
      </c>
      <c r="HS92" s="630">
        <v>1.3806258495461151E-2</v>
      </c>
      <c r="HT92" s="630">
        <v>9.0517860494784361E-3</v>
      </c>
      <c r="HU92" s="630">
        <v>3.9314570163092163E-3</v>
      </c>
      <c r="HV92" s="630">
        <v>1.1553321709442616E-2</v>
      </c>
      <c r="HW92" s="630">
        <v>2.7016154274845457E-3</v>
      </c>
      <c r="HX92" s="630">
        <v>4.8720488215363731E-3</v>
      </c>
      <c r="HY92" s="630" t="e">
        <v>#DIV/0!</v>
      </c>
      <c r="HZ92" s="630">
        <v>4.3758313630366192E-3</v>
      </c>
      <c r="IA92" s="630">
        <v>2.6668574291916079E-3</v>
      </c>
      <c r="IB92" s="630">
        <v>2.2664928287295101E-3</v>
      </c>
      <c r="IC92" s="630">
        <v>1.9421379165181266E-3</v>
      </c>
      <c r="ID92" s="630">
        <v>3.3173066040448991E-3</v>
      </c>
      <c r="IE92" s="630">
        <v>3.6017380475166626E-3</v>
      </c>
      <c r="IF92" s="630">
        <v>3.4376690180751425E-3</v>
      </c>
      <c r="IG92" s="630">
        <v>2.2512091362507582E-3</v>
      </c>
      <c r="IH92" s="630">
        <v>1.6755671358216217E-3</v>
      </c>
      <c r="II92" s="630">
        <v>5.5989881116926214E-3</v>
      </c>
      <c r="IJ92" s="630">
        <v>7.9830681759896251E-3</v>
      </c>
      <c r="IK92" s="630" t="e">
        <v>#DIV/0!</v>
      </c>
      <c r="IL92" s="630" t="e">
        <v>#DIV/0!</v>
      </c>
      <c r="IM92" s="630" t="e">
        <v>#DIV/0!</v>
      </c>
      <c r="IN92" s="630" t="e">
        <v>#DIV/0!</v>
      </c>
      <c r="IO92" s="630">
        <v>5.3062949654747648E-3</v>
      </c>
      <c r="IP92" s="630">
        <v>3.1577375894865723E-3</v>
      </c>
      <c r="IQ92" s="630">
        <v>2.2143313153312081E-3</v>
      </c>
      <c r="IR92" s="630">
        <v>2.5545261113351469E-3</v>
      </c>
      <c r="IS92" s="630">
        <v>2.7636081924566867E-3</v>
      </c>
      <c r="IT92" s="630">
        <v>2.7595538000190429E-3</v>
      </c>
      <c r="IU92" s="630">
        <v>4.4137609157533187E-3</v>
      </c>
      <c r="IV92" s="630">
        <v>4.6851270717521336E-3</v>
      </c>
      <c r="IW92" s="630">
        <v>4.680643798107397E-3</v>
      </c>
      <c r="IX92" s="630">
        <v>4.445156640243521E-3</v>
      </c>
      <c r="IY92" s="630">
        <v>4.201621564074845E-3</v>
      </c>
      <c r="IZ92" s="630">
        <v>4.2020129537188155E-3</v>
      </c>
      <c r="JA92" s="630">
        <v>4.0222268656772749E-3</v>
      </c>
      <c r="JB92" s="630">
        <v>5.0697685301748698E-3</v>
      </c>
      <c r="JC92" s="630">
        <v>6.733738752124914E-3</v>
      </c>
      <c r="JD92" s="630">
        <v>1.9884883543796346E-3</v>
      </c>
      <c r="JE92" s="630">
        <v>4.186105716108262E-3</v>
      </c>
      <c r="JF92" s="630">
        <v>4.1404618620559516E-3</v>
      </c>
      <c r="JG92" s="630">
        <v>4.1053777519544496E-3</v>
      </c>
      <c r="JH92" s="630">
        <v>4.0473725444338474E-3</v>
      </c>
      <c r="JI92" s="630">
        <v>1.4601810602822079E-3</v>
      </c>
      <c r="JJ92" s="630">
        <v>2.4483898156653066E-3</v>
      </c>
      <c r="JK92" s="630">
        <v>2.8359365418193726E-3</v>
      </c>
      <c r="JL92" s="630">
        <v>5.9924572973361684E-3</v>
      </c>
      <c r="JM92" s="630">
        <v>5.8738329483370242E-3</v>
      </c>
      <c r="JN92" s="630">
        <v>7.2887478121732279E-3</v>
      </c>
      <c r="JO92" s="630">
        <v>4.662126542971776E-3</v>
      </c>
      <c r="JP92" s="630">
        <v>4.7052098893476156E-3</v>
      </c>
      <c r="JQ92" s="630">
        <v>4.6546578057626697E-3</v>
      </c>
      <c r="JR92" s="630">
        <v>4.6734109685378491E-3</v>
      </c>
    </row>
    <row r="93" spans="1:278" ht="13.5" customHeight="1">
      <c r="A93" s="73"/>
      <c r="B93" s="74"/>
      <c r="C93" s="74"/>
      <c r="D93" s="74"/>
      <c r="E93" s="76"/>
      <c r="FE93" s="631"/>
      <c r="FF93" s="631"/>
      <c r="FG93" s="631"/>
      <c r="FH93" s="631"/>
      <c r="FI93" s="631"/>
      <c r="FJ93" s="631"/>
      <c r="FK93" s="631"/>
      <c r="FL93" s="631"/>
      <c r="FM93" s="631"/>
      <c r="FN93" s="631"/>
      <c r="FO93" s="631"/>
      <c r="FP93" s="631"/>
      <c r="FQ93" s="631"/>
      <c r="FR93" s="631"/>
      <c r="FS93" s="631"/>
      <c r="FT93" s="631"/>
      <c r="FU93" s="631"/>
      <c r="FV93" s="631"/>
      <c r="FW93" s="631"/>
      <c r="FX93" s="631"/>
      <c r="FY93" s="631"/>
      <c r="FZ93" s="631"/>
      <c r="GA93" s="631"/>
      <c r="GB93" s="631"/>
      <c r="GC93" s="631"/>
      <c r="GD93" s="631"/>
      <c r="GE93" s="631"/>
      <c r="GF93" s="631"/>
      <c r="GG93" s="631"/>
      <c r="GH93" s="631"/>
      <c r="GI93" s="631"/>
      <c r="GJ93" s="631"/>
      <c r="GK93" s="631"/>
      <c r="GL93" s="631"/>
      <c r="GM93" s="631"/>
      <c r="GN93" s="631"/>
      <c r="GO93" s="631"/>
      <c r="GP93" s="631"/>
      <c r="GQ93" s="631"/>
      <c r="GR93" s="631"/>
      <c r="GS93" s="631"/>
      <c r="GT93" s="631"/>
      <c r="GU93" s="631"/>
      <c r="GV93" s="631"/>
      <c r="GW93" s="631"/>
      <c r="GX93" s="631"/>
      <c r="GY93" s="631"/>
      <c r="GZ93" s="631"/>
      <c r="HA93" s="631"/>
      <c r="HB93" s="631"/>
      <c r="HC93" s="631"/>
      <c r="HD93" s="631"/>
      <c r="HE93" s="631"/>
      <c r="HF93" s="631"/>
      <c r="HG93" s="631"/>
      <c r="HH93" s="631"/>
      <c r="HI93" s="631"/>
      <c r="HJ93" s="631"/>
      <c r="HK93" s="631"/>
      <c r="HL93" s="631"/>
      <c r="HM93" s="631"/>
      <c r="HN93" s="631"/>
      <c r="HO93" s="631"/>
      <c r="HP93" s="631"/>
      <c r="HQ93" s="631"/>
      <c r="HR93" s="631"/>
      <c r="HS93" s="631"/>
      <c r="HT93" s="631"/>
      <c r="HU93" s="631"/>
      <c r="HV93" s="631"/>
      <c r="HW93" s="631"/>
      <c r="HX93" s="631"/>
      <c r="HY93" s="631"/>
      <c r="HZ93" s="631"/>
      <c r="IA93" s="631"/>
      <c r="IB93" s="631"/>
      <c r="IC93" s="631"/>
      <c r="ID93" s="631"/>
      <c r="IE93" s="631"/>
      <c r="IF93" s="631"/>
      <c r="IG93" s="631"/>
      <c r="IH93" s="631"/>
      <c r="II93" s="631"/>
      <c r="IJ93" s="631"/>
      <c r="IK93" s="631"/>
      <c r="IL93" s="631"/>
      <c r="IM93" s="631"/>
      <c r="IN93" s="631"/>
      <c r="IO93" s="631"/>
      <c r="IP93" s="631"/>
      <c r="IQ93" s="631"/>
      <c r="IR93" s="631"/>
      <c r="IS93" s="631"/>
      <c r="IT93" s="631"/>
      <c r="IU93" s="631"/>
      <c r="IV93" s="631"/>
      <c r="IW93" s="631"/>
      <c r="IX93" s="631"/>
      <c r="IY93" s="631"/>
      <c r="IZ93" s="631"/>
      <c r="JA93" s="631"/>
      <c r="JB93" s="631"/>
      <c r="JC93" s="631"/>
      <c r="JD93" s="631"/>
      <c r="JE93" s="631"/>
      <c r="JF93" s="631"/>
      <c r="JG93" s="631"/>
      <c r="JH93" s="631"/>
      <c r="JI93" s="631"/>
      <c r="JJ93" s="631"/>
      <c r="JK93" s="631"/>
      <c r="JL93" s="631"/>
      <c r="JM93" s="631"/>
      <c r="JN93" s="631"/>
      <c r="JO93" s="631"/>
      <c r="JP93" s="631"/>
      <c r="JQ93" s="631"/>
      <c r="JR93" s="631"/>
    </row>
    <row r="94" spans="1:278" ht="13.5" customHeight="1">
      <c r="A94" s="63" t="s">
        <v>266</v>
      </c>
      <c r="B94" s="77"/>
      <c r="C94" s="77"/>
      <c r="D94" s="77"/>
      <c r="E94" s="57"/>
      <c r="FE94" s="632"/>
      <c r="FF94" s="632"/>
      <c r="FG94" s="632"/>
      <c r="FH94" s="632"/>
      <c r="FI94" s="632"/>
      <c r="FJ94" s="632"/>
      <c r="FK94" s="632"/>
      <c r="FL94" s="632"/>
      <c r="FM94" s="632"/>
      <c r="FN94" s="632"/>
      <c r="FO94" s="632"/>
      <c r="FP94" s="632"/>
      <c r="FQ94" s="632"/>
      <c r="FR94" s="632"/>
      <c r="FS94" s="632"/>
      <c r="FT94" s="632"/>
      <c r="FU94" s="632"/>
      <c r="FV94" s="632"/>
      <c r="FW94" s="632"/>
      <c r="FX94" s="632"/>
      <c r="FY94" s="632"/>
      <c r="FZ94" s="632"/>
      <c r="GA94" s="632"/>
      <c r="GB94" s="632"/>
      <c r="GC94" s="632"/>
      <c r="GD94" s="632"/>
      <c r="GE94" s="632"/>
      <c r="GF94" s="632"/>
      <c r="GG94" s="632"/>
      <c r="GH94" s="632"/>
      <c r="GI94" s="632"/>
      <c r="GJ94" s="632"/>
      <c r="GK94" s="632"/>
      <c r="GL94" s="632"/>
      <c r="GM94" s="632"/>
      <c r="GN94" s="632"/>
      <c r="GO94" s="632"/>
      <c r="GP94" s="632"/>
      <c r="GQ94" s="632"/>
      <c r="GR94" s="632"/>
      <c r="GS94" s="632"/>
      <c r="GT94" s="632"/>
      <c r="GU94" s="632"/>
      <c r="GV94" s="632"/>
      <c r="GW94" s="632"/>
      <c r="GX94" s="632"/>
      <c r="GY94" s="632"/>
      <c r="GZ94" s="632"/>
      <c r="HA94" s="632"/>
      <c r="HB94" s="632"/>
      <c r="HC94" s="632"/>
      <c r="HD94" s="632"/>
      <c r="HE94" s="632"/>
      <c r="HF94" s="632"/>
      <c r="HG94" s="632"/>
      <c r="HH94" s="632"/>
      <c r="HI94" s="632"/>
      <c r="HJ94" s="632"/>
      <c r="HK94" s="632"/>
      <c r="HL94" s="632"/>
      <c r="HM94" s="632"/>
      <c r="HN94" s="632"/>
      <c r="HO94" s="632"/>
      <c r="HP94" s="632"/>
      <c r="HQ94" s="632"/>
      <c r="HR94" s="632"/>
      <c r="HS94" s="632"/>
      <c r="HT94" s="632"/>
      <c r="HU94" s="632"/>
      <c r="HV94" s="632"/>
      <c r="HW94" s="632"/>
      <c r="HX94" s="632"/>
      <c r="HY94" s="632"/>
      <c r="HZ94" s="632"/>
      <c r="IA94" s="632"/>
      <c r="IB94" s="632"/>
      <c r="IC94" s="632"/>
      <c r="ID94" s="632"/>
      <c r="IE94" s="632"/>
      <c r="IF94" s="632"/>
      <c r="IG94" s="632"/>
      <c r="IH94" s="632"/>
      <c r="II94" s="632"/>
      <c r="IJ94" s="632"/>
      <c r="IK94" s="632"/>
      <c r="IL94" s="632"/>
      <c r="IM94" s="632"/>
      <c r="IN94" s="632"/>
      <c r="IO94" s="632"/>
      <c r="IP94" s="632"/>
      <c r="IQ94" s="632"/>
      <c r="IR94" s="632"/>
      <c r="IS94" s="632"/>
      <c r="IT94" s="632"/>
      <c r="IU94" s="632"/>
      <c r="IV94" s="632"/>
      <c r="IW94" s="632"/>
      <c r="IX94" s="632"/>
      <c r="IY94" s="632"/>
      <c r="IZ94" s="632"/>
      <c r="JA94" s="632"/>
      <c r="JB94" s="632"/>
      <c r="JC94" s="632"/>
      <c r="JD94" s="632"/>
      <c r="JE94" s="632"/>
      <c r="JF94" s="632"/>
      <c r="JG94" s="632"/>
      <c r="JH94" s="632"/>
      <c r="JI94" s="632"/>
      <c r="JJ94" s="632"/>
      <c r="JK94" s="632"/>
      <c r="JL94" s="632"/>
      <c r="JM94" s="632"/>
      <c r="JN94" s="632"/>
      <c r="JO94" s="632"/>
      <c r="JP94" s="632"/>
      <c r="JQ94" s="632"/>
      <c r="JR94" s="632"/>
    </row>
    <row r="95" spans="1:278" ht="13.5">
      <c r="A95" s="951" t="s">
        <v>1657</v>
      </c>
      <c r="B95" s="951"/>
      <c r="C95" s="951"/>
      <c r="D95" s="765" t="s">
        <v>128</v>
      </c>
      <c r="E95" s="765" t="s">
        <v>269</v>
      </c>
      <c r="FE95" s="633">
        <v>2.6599814723324392E-4</v>
      </c>
      <c r="FF95" s="633">
        <v>4.7868614684443481E-4</v>
      </c>
      <c r="FG95" s="633">
        <v>5.9877872727722001E-4</v>
      </c>
      <c r="FH95" s="633">
        <v>6.8599910524216651E-4</v>
      </c>
      <c r="FI95" s="633">
        <v>3.5142207658439739E-3</v>
      </c>
      <c r="FJ95" s="633">
        <v>1.5396982263590092E-3</v>
      </c>
      <c r="FK95" s="633">
        <v>1.535841062521081E-3</v>
      </c>
      <c r="FL95" s="633">
        <v>2.0624008809262215E-3</v>
      </c>
      <c r="FM95" s="633">
        <v>1.5439217736714409E-3</v>
      </c>
      <c r="FN95" s="633">
        <v>1.3595617976506749E-3</v>
      </c>
      <c r="FO95" s="633">
        <v>2.272968884655104E-4</v>
      </c>
      <c r="FP95" s="633">
        <v>1.6157833570039767E-3</v>
      </c>
      <c r="FQ95" s="633">
        <v>3.1895212690770364E-4</v>
      </c>
      <c r="FR95" s="633">
        <v>2.5245082027754753E-4</v>
      </c>
      <c r="FS95" s="633">
        <v>3.062289989386278E-4</v>
      </c>
      <c r="FT95" s="633">
        <v>8.4643785640659865E-4</v>
      </c>
      <c r="FU95" s="633">
        <v>2.7153362154731832E-3</v>
      </c>
      <c r="FV95" s="633">
        <v>1.3785969909665132E-3</v>
      </c>
      <c r="FW95" s="633">
        <v>1.9779754874533766E-3</v>
      </c>
      <c r="FX95" s="633">
        <v>9.0370897908232013E-4</v>
      </c>
      <c r="FY95" s="633">
        <v>7.7093761716310466E-4</v>
      </c>
      <c r="FZ95" s="633">
        <v>9.5289175287080388E-4</v>
      </c>
      <c r="GA95" s="633">
        <v>2.3469307137681497E-3</v>
      </c>
      <c r="GB95" s="633">
        <v>6.4795226616363847E-4</v>
      </c>
      <c r="GC95" s="633">
        <v>9.7390858036556659E-4</v>
      </c>
      <c r="GD95" s="633">
        <v>6.5298861268613443E-4</v>
      </c>
      <c r="GE95" s="633">
        <v>1.4467367296023658E-4</v>
      </c>
      <c r="GF95" s="633">
        <v>6.3630377304716226E-4</v>
      </c>
      <c r="GG95" s="633">
        <v>8.2380988074475642E-4</v>
      </c>
      <c r="GH95" s="633">
        <v>4.5269727480762631E-4</v>
      </c>
      <c r="GI95" s="633">
        <v>4.495993856506211E-4</v>
      </c>
      <c r="GJ95" s="633">
        <v>5.1960918555966798E-4</v>
      </c>
      <c r="GK95" s="633">
        <v>2.9643963311298745E-4</v>
      </c>
      <c r="GL95" s="633">
        <v>1.8849379777976914E-4</v>
      </c>
      <c r="GM95" s="633">
        <v>2.9579344069767917E-4</v>
      </c>
      <c r="GN95" s="633" t="e">
        <v>#DIV/0!</v>
      </c>
      <c r="GO95" s="633">
        <v>5.2099056036168992E-4</v>
      </c>
      <c r="GP95" s="633">
        <v>3.5467678388427347E-4</v>
      </c>
      <c r="GQ95" s="633">
        <v>8.894430493228871E-4</v>
      </c>
      <c r="GR95" s="633">
        <v>1.4404660144662382E-3</v>
      </c>
      <c r="GS95" s="633">
        <v>8.0040227892202054E-4</v>
      </c>
      <c r="GT95" s="633">
        <v>1.8946962758298114E-3</v>
      </c>
      <c r="GU95" s="633">
        <v>6.4883804721717678E-4</v>
      </c>
      <c r="GV95" s="633">
        <v>1.6406359041083222E-3</v>
      </c>
      <c r="GW95" s="633">
        <v>8.9704341054518523E-4</v>
      </c>
      <c r="GX95" s="633">
        <v>4.2124459909052852E-4</v>
      </c>
      <c r="GY95" s="633">
        <v>2.2939724231823099E-4</v>
      </c>
      <c r="GZ95" s="633">
        <v>2.6498714220905698E-4</v>
      </c>
      <c r="HA95" s="633">
        <v>2.5608601791232482E-4</v>
      </c>
      <c r="HB95" s="633">
        <v>2.2014603873842778E-4</v>
      </c>
      <c r="HC95" s="633">
        <v>2.6261137608601844E-4</v>
      </c>
      <c r="HD95" s="633">
        <v>2.1972042838925353E-4</v>
      </c>
      <c r="HE95" s="633">
        <v>2.3161231888127194E-4</v>
      </c>
      <c r="HF95" s="633">
        <v>2.3161231888127194E-4</v>
      </c>
      <c r="HG95" s="633">
        <v>2.6415375839991735E-4</v>
      </c>
      <c r="HH95" s="633">
        <v>3.4570308111549664E-4</v>
      </c>
      <c r="HI95" s="633">
        <v>6.7267069131635323E-4</v>
      </c>
      <c r="HJ95" s="633">
        <v>4.4688836351239835E-4</v>
      </c>
      <c r="HK95" s="633">
        <v>7.325916040470989E-4</v>
      </c>
      <c r="HL95" s="633">
        <v>1.542687735180576E-3</v>
      </c>
      <c r="HM95" s="633">
        <v>1.8147290948926744E-3</v>
      </c>
      <c r="HN95" s="633">
        <v>2.0256535221721244E-4</v>
      </c>
      <c r="HO95" s="633">
        <v>2.3131711483880199E-3</v>
      </c>
      <c r="HP95" s="633">
        <v>1.1012711224827091E-3</v>
      </c>
      <c r="HQ95" s="633">
        <v>4.9372390003480011E-4</v>
      </c>
      <c r="HR95" s="633">
        <v>8.9852094901073901E-4</v>
      </c>
      <c r="HS95" s="633">
        <v>1.6629849749376954E-3</v>
      </c>
      <c r="HT95" s="633">
        <v>1.0903014891095941E-3</v>
      </c>
      <c r="HU95" s="633">
        <v>4.7355001718133707E-4</v>
      </c>
      <c r="HV95" s="633">
        <v>1.3916152895254634E-3</v>
      </c>
      <c r="HW95" s="633">
        <v>3.2541371476158313E-4</v>
      </c>
      <c r="HX95" s="633">
        <v>5.8684574028810904E-4</v>
      </c>
      <c r="HY95" s="633" t="e">
        <v>#DIV/0!</v>
      </c>
      <c r="HZ95" s="633">
        <v>5.2707558763899346E-4</v>
      </c>
      <c r="IA95" s="633">
        <v>3.2122706064822802E-4</v>
      </c>
      <c r="IB95" s="633">
        <v>2.7300253151281553E-4</v>
      </c>
      <c r="IC95" s="633">
        <v>2.3393348570782107E-4</v>
      </c>
      <c r="ID95" s="633">
        <v>3.9957465968074312E-4</v>
      </c>
      <c r="IE95" s="633">
        <v>4.3383486254807931E-4</v>
      </c>
      <c r="IF95" s="633">
        <v>4.1407249674103923E-4</v>
      </c>
      <c r="IG95" s="633">
        <v>2.7116158735244881E-4</v>
      </c>
      <c r="IH95" s="633">
        <v>2.0182462701873915E-4</v>
      </c>
      <c r="II95" s="633">
        <v>6.7440669082508042E-4</v>
      </c>
      <c r="IJ95" s="633">
        <v>9.6157278490319837E-4</v>
      </c>
      <c r="IK95" s="633" t="e">
        <v>#DIV/0!</v>
      </c>
      <c r="IL95" s="633" t="e">
        <v>#DIV/0!</v>
      </c>
      <c r="IM95" s="633" t="e">
        <v>#DIV/0!</v>
      </c>
      <c r="IN95" s="633" t="e">
        <v>#DIV/0!</v>
      </c>
      <c r="IO95" s="633">
        <v>6.3915135321224658E-4</v>
      </c>
      <c r="IP95" s="633">
        <v>3.803543275564858E-4</v>
      </c>
      <c r="IQ95" s="633">
        <v>2.6671959735799695E-4</v>
      </c>
      <c r="IR95" s="633">
        <v>3.076965814187063E-4</v>
      </c>
      <c r="IS95" s="633">
        <v>3.3288083822138257E-4</v>
      </c>
      <c r="IT95" s="633">
        <v>3.3239248044447157E-4</v>
      </c>
      <c r="IU95" s="633">
        <v>5.3164426033874899E-4</v>
      </c>
      <c r="IV95" s="633">
        <v>5.6433072932533107E-4</v>
      </c>
      <c r="IW95" s="633">
        <v>5.6379071215035333E-4</v>
      </c>
      <c r="IX95" s="633">
        <v>5.3542592342449037E-4</v>
      </c>
      <c r="IY95" s="633">
        <v>5.0609175061641502E-4</v>
      </c>
      <c r="IZ95" s="633">
        <v>5.0613889409829925E-4</v>
      </c>
      <c r="JA95" s="633">
        <v>4.8448338451804627E-4</v>
      </c>
      <c r="JB95" s="633">
        <v>6.1066138192794747E-4</v>
      </c>
      <c r="JC95" s="633">
        <v>8.1108914291448686E-4</v>
      </c>
      <c r="JD95" s="633">
        <v>2.3951646691672799E-4</v>
      </c>
      <c r="JE95" s="633">
        <v>5.042228429720791E-4</v>
      </c>
      <c r="JF95" s="633">
        <v>4.9872497086486081E-4</v>
      </c>
      <c r="JG95" s="633">
        <v>4.944990360848451E-4</v>
      </c>
      <c r="JH95" s="633">
        <v>4.8751222002554726E-4</v>
      </c>
      <c r="JI95" s="633">
        <v>1.7588104443620278E-4</v>
      </c>
      <c r="JJ95" s="633">
        <v>2.9491230209693963E-4</v>
      </c>
      <c r="JK95" s="633">
        <v>3.4159289864613374E-4</v>
      </c>
      <c r="JL95" s="633">
        <v>7.218006566878304E-4</v>
      </c>
      <c r="JM95" s="633">
        <v>7.0751217222173154E-4</v>
      </c>
      <c r="JN95" s="633">
        <v>8.7794083398763797E-4</v>
      </c>
      <c r="JO95" s="633">
        <v>5.6156028041696603E-4</v>
      </c>
      <c r="JP95" s="633">
        <v>5.6674973545408638E-4</v>
      </c>
      <c r="JQ95" s="633">
        <v>5.6066065958453081E-4</v>
      </c>
      <c r="JR95" s="633">
        <v>5.6291950675430805E-4</v>
      </c>
    </row>
    <row r="96" spans="1:278" ht="13.5">
      <c r="A96" s="939" t="s">
        <v>1727</v>
      </c>
      <c r="B96" s="939"/>
      <c r="C96" s="939"/>
      <c r="D96" s="26" t="s">
        <v>128</v>
      </c>
      <c r="E96" s="26" t="s">
        <v>270</v>
      </c>
      <c r="FE96" s="634">
        <v>160.0167006139981</v>
      </c>
      <c r="FF96" s="634">
        <v>127.00723018567663</v>
      </c>
      <c r="FG96" s="634">
        <v>70.246507311756417</v>
      </c>
      <c r="FH96" s="634">
        <v>72.987536650897596</v>
      </c>
      <c r="FI96" s="634">
        <v>29.293044739353761</v>
      </c>
      <c r="FJ96" s="634">
        <v>27.318127805171713</v>
      </c>
      <c r="FK96" s="634">
        <v>30.603143964390686</v>
      </c>
      <c r="FL96" s="634">
        <v>23.437937544794568</v>
      </c>
      <c r="FM96" s="634">
        <v>27.307107359185075</v>
      </c>
      <c r="FN96" s="634">
        <v>57.231139422664334</v>
      </c>
      <c r="FO96" s="634">
        <v>241.30934517156263</v>
      </c>
      <c r="FP96" s="634">
        <v>49.70762638723626</v>
      </c>
      <c r="FQ96" s="634">
        <v>156.63529070422476</v>
      </c>
      <c r="FR96" s="634">
        <v>167.28207576864236</v>
      </c>
      <c r="FS96" s="634">
        <v>251.56690959134866</v>
      </c>
      <c r="FT96" s="634">
        <v>53.255472444350545</v>
      </c>
      <c r="FU96" s="634">
        <v>32.399313874332222</v>
      </c>
      <c r="FV96" s="634">
        <v>75.920289806589452</v>
      </c>
      <c r="FW96" s="634">
        <v>52.77502620086193</v>
      </c>
      <c r="FX96" s="634">
        <v>53.616981297441974</v>
      </c>
      <c r="FY96" s="634">
        <v>59.71554608418046</v>
      </c>
      <c r="FZ96" s="634">
        <v>56.152326762070437</v>
      </c>
      <c r="GA96" s="634">
        <v>39.691221758845529</v>
      </c>
      <c r="GB96" s="634">
        <v>73.592747540000701</v>
      </c>
      <c r="GC96" s="634">
        <v>44.063095395432114</v>
      </c>
      <c r="GD96" s="634">
        <v>68.431746988412769</v>
      </c>
      <c r="GE96" s="634">
        <v>295.19671133602242</v>
      </c>
      <c r="GF96" s="634">
        <v>68.230292586934141</v>
      </c>
      <c r="GG96" s="634">
        <v>51.388334264660479</v>
      </c>
      <c r="GH96" s="634">
        <v>97.317091464135004</v>
      </c>
      <c r="GI96" s="634">
        <v>97.945573503690468</v>
      </c>
      <c r="GJ96" s="634">
        <v>81.643678644396843</v>
      </c>
      <c r="GK96" s="634">
        <v>141.89002654131173</v>
      </c>
      <c r="GL96" s="634">
        <v>234.70819755304007</v>
      </c>
      <c r="GM96" s="634">
        <v>208.99156926190639</v>
      </c>
      <c r="GN96" s="634" t="e">
        <v>#DIV/0!</v>
      </c>
      <c r="GO96" s="634">
        <v>84.88453033323249</v>
      </c>
      <c r="GP96" s="634">
        <v>118.59912619454242</v>
      </c>
      <c r="GQ96" s="634">
        <v>75.434913203149989</v>
      </c>
      <c r="GR96" s="634">
        <v>43.042052657135052</v>
      </c>
      <c r="GS96" s="634">
        <v>60.633197561227568</v>
      </c>
      <c r="GT96" s="634">
        <v>51.782427069572769</v>
      </c>
      <c r="GU96" s="634">
        <v>121.69662677911268</v>
      </c>
      <c r="GV96" s="634">
        <v>60.773737694259012</v>
      </c>
      <c r="GW96" s="634">
        <v>87.342072817024828</v>
      </c>
      <c r="GX96" s="634">
        <v>99.851602406993038</v>
      </c>
      <c r="GY96" s="634">
        <v>212.68944912508573</v>
      </c>
      <c r="GZ96" s="634">
        <v>184.64799557980214</v>
      </c>
      <c r="HA96" s="634">
        <v>174.47780456701784</v>
      </c>
      <c r="HB96" s="634">
        <v>217.69657584197066</v>
      </c>
      <c r="HC96" s="634">
        <v>217.67023044035997</v>
      </c>
      <c r="HD96" s="634">
        <v>217.69679760258612</v>
      </c>
      <c r="HE96" s="634">
        <v>217.69032377913558</v>
      </c>
      <c r="HF96" s="634">
        <v>217.69032377913558</v>
      </c>
      <c r="HG96" s="634">
        <v>162.94602905932121</v>
      </c>
      <c r="HH96" s="634">
        <v>195.38521375457665</v>
      </c>
      <c r="HI96" s="634">
        <v>62.530273597827154</v>
      </c>
      <c r="HJ96" s="634">
        <v>190.30315906945447</v>
      </c>
      <c r="HK96" s="634">
        <v>57.490971765141971</v>
      </c>
      <c r="HL96" s="634">
        <v>27.287564435598842</v>
      </c>
      <c r="HM96" s="634">
        <v>23.410918123915305</v>
      </c>
      <c r="HN96" s="634">
        <v>235.5124631941103</v>
      </c>
      <c r="HO96" s="634">
        <v>43.476145801285512</v>
      </c>
      <c r="HP96" s="634">
        <v>46.523113469377272</v>
      </c>
      <c r="HQ96" s="634">
        <v>85.371045049767346</v>
      </c>
      <c r="HR96" s="634">
        <v>46.816061582774239</v>
      </c>
      <c r="HS96" s="634">
        <v>61.250811778566913</v>
      </c>
      <c r="HT96" s="634">
        <v>47.323020056269009</v>
      </c>
      <c r="HU96" s="634">
        <v>184.55556985032169</v>
      </c>
      <c r="HV96" s="634">
        <v>55.130838590443261</v>
      </c>
      <c r="HW96" s="634">
        <v>221.65064427783096</v>
      </c>
      <c r="HX96" s="634">
        <v>72.215776306828914</v>
      </c>
      <c r="HY96" s="634" t="e">
        <v>#DIV/0!</v>
      </c>
      <c r="HZ96" s="634">
        <v>109.18252203554857</v>
      </c>
      <c r="IA96" s="634">
        <v>237.64765454011624</v>
      </c>
      <c r="IB96" s="634">
        <v>161.00792333501678</v>
      </c>
      <c r="IC96" s="634">
        <v>210.91131317803445</v>
      </c>
      <c r="ID96" s="634">
        <v>106.59938330728859</v>
      </c>
      <c r="IE96" s="634">
        <v>104.97409769967388</v>
      </c>
      <c r="IF96" s="634">
        <v>101.76204590974567</v>
      </c>
      <c r="IG96" s="634">
        <v>186.14055933590689</v>
      </c>
      <c r="IH96" s="634">
        <v>208.4231588333424</v>
      </c>
      <c r="II96" s="634">
        <v>62.39556454427693</v>
      </c>
      <c r="IJ96" s="634">
        <v>53.817671572200737</v>
      </c>
      <c r="IK96" s="634" t="e">
        <v>#DIV/0!</v>
      </c>
      <c r="IL96" s="634" t="e">
        <v>#DIV/0!</v>
      </c>
      <c r="IM96" s="634" t="e">
        <v>#DIV/0!</v>
      </c>
      <c r="IN96" s="634" t="e">
        <v>#DIV/0!</v>
      </c>
      <c r="IO96" s="634">
        <v>66.006481846072958</v>
      </c>
      <c r="IP96" s="634">
        <v>228.36858001475639</v>
      </c>
      <c r="IQ96" s="634">
        <v>177.26949669240284</v>
      </c>
      <c r="IR96" s="634">
        <v>136.70858822354404</v>
      </c>
      <c r="IS96" s="634">
        <v>129.91427524838369</v>
      </c>
      <c r="IT96" s="634">
        <v>129.68741828746155</v>
      </c>
      <c r="IU96" s="634">
        <v>79.231267674502419</v>
      </c>
      <c r="IV96" s="634">
        <v>76.77495417811248</v>
      </c>
      <c r="IW96" s="634">
        <v>74.795047913704636</v>
      </c>
      <c r="IX96" s="634">
        <v>78.57835706223878</v>
      </c>
      <c r="IY96" s="634">
        <v>89.846154544497693</v>
      </c>
      <c r="IZ96" s="634">
        <v>89.364198772793983</v>
      </c>
      <c r="JA96" s="634">
        <v>86.950328164947024</v>
      </c>
      <c r="JB96" s="634">
        <v>77.381915883337228</v>
      </c>
      <c r="JC96" s="634">
        <v>51.859595462531651</v>
      </c>
      <c r="JD96" s="634">
        <v>232.84855596261966</v>
      </c>
      <c r="JE96" s="634">
        <v>83.841048369788794</v>
      </c>
      <c r="JF96" s="634">
        <v>84.639913244869874</v>
      </c>
      <c r="JG96" s="634">
        <v>85.272371756987511</v>
      </c>
      <c r="JH96" s="634">
        <v>86.28059301407184</v>
      </c>
      <c r="JI96" s="634">
        <v>239.15504351446336</v>
      </c>
      <c r="JJ96" s="634">
        <v>264.50209393582895</v>
      </c>
      <c r="JK96" s="634">
        <v>211.93672030780698</v>
      </c>
      <c r="JL96" s="634">
        <v>60.487565673704211</v>
      </c>
      <c r="JM96" s="634">
        <v>59.560863303421435</v>
      </c>
      <c r="JN96" s="634">
        <v>47.942090194347792</v>
      </c>
      <c r="JO96" s="634">
        <v>75.118764178342701</v>
      </c>
      <c r="JP96" s="634">
        <v>74.514687211581062</v>
      </c>
      <c r="JQ96" s="634">
        <v>75.247978956981285</v>
      </c>
      <c r="JR96" s="634">
        <v>74.955505114453132</v>
      </c>
    </row>
    <row r="97" spans="1:278" ht="13.5">
      <c r="A97" s="581" t="s">
        <v>333</v>
      </c>
      <c r="B97" s="170"/>
      <c r="C97" s="170"/>
      <c r="D97" s="26" t="s">
        <v>128</v>
      </c>
      <c r="E97" s="26" t="s">
        <v>271</v>
      </c>
      <c r="FE97" s="634">
        <v>3.0000000000000001E-3</v>
      </c>
      <c r="FF97" s="634">
        <v>3.0000000000000001E-3</v>
      </c>
      <c r="FG97" s="634">
        <v>3.0000000000000001E-3</v>
      </c>
      <c r="FH97" s="634">
        <v>3.0000000000000001E-3</v>
      </c>
      <c r="FI97" s="634">
        <v>3.0000000000000001E-3</v>
      </c>
      <c r="FJ97" s="634">
        <v>3.0000000000000001E-3</v>
      </c>
      <c r="FK97" s="634">
        <v>3.0000000000000001E-3</v>
      </c>
      <c r="FL97" s="634">
        <v>3.0000000000000001E-3</v>
      </c>
      <c r="FM97" s="634">
        <v>3.0000000000000001E-3</v>
      </c>
      <c r="FN97" s="634">
        <v>3.0000000000000001E-3</v>
      </c>
      <c r="FO97" s="634">
        <v>3.0000000000000001E-3</v>
      </c>
      <c r="FP97" s="634">
        <v>3.0000000000000001E-3</v>
      </c>
      <c r="FQ97" s="634">
        <v>3.0000000000000001E-3</v>
      </c>
      <c r="FR97" s="634">
        <v>3.0000000000000001E-3</v>
      </c>
      <c r="FS97" s="634">
        <v>3.0000000000000001E-3</v>
      </c>
      <c r="FT97" s="634">
        <v>3.0000000000000001E-3</v>
      </c>
      <c r="FU97" s="634">
        <v>3.0000000000000001E-3</v>
      </c>
      <c r="FV97" s="634">
        <v>3.0000000000000001E-3</v>
      </c>
      <c r="FW97" s="634">
        <v>3.0000000000000001E-3</v>
      </c>
      <c r="FX97" s="634">
        <v>3.0000000000000001E-3</v>
      </c>
      <c r="FY97" s="634">
        <v>3.0000000000000001E-3</v>
      </c>
      <c r="FZ97" s="634">
        <v>3.0000000000000001E-3</v>
      </c>
      <c r="GA97" s="634">
        <v>3.0000000000000001E-3</v>
      </c>
      <c r="GB97" s="634">
        <v>3.0000000000000001E-3</v>
      </c>
      <c r="GC97" s="634">
        <v>3.0000000000000001E-3</v>
      </c>
      <c r="GD97" s="634">
        <v>3.0000000000000001E-3</v>
      </c>
      <c r="GE97" s="634">
        <v>3.0000000000000001E-3</v>
      </c>
      <c r="GF97" s="634">
        <v>3.0000000000000001E-3</v>
      </c>
      <c r="GG97" s="634">
        <v>3.0000000000000001E-3</v>
      </c>
      <c r="GH97" s="634">
        <v>3.0000000000000001E-3</v>
      </c>
      <c r="GI97" s="634">
        <v>3.0000000000000001E-3</v>
      </c>
      <c r="GJ97" s="634">
        <v>3.0000000000000001E-3</v>
      </c>
      <c r="GK97" s="634">
        <v>3.0000000000000001E-3</v>
      </c>
      <c r="GL97" s="634">
        <v>3.0000000000000001E-3</v>
      </c>
      <c r="GM97" s="634">
        <v>3.0000000000000001E-3</v>
      </c>
      <c r="GN97" s="634">
        <v>3.0000000000000001E-3</v>
      </c>
      <c r="GO97" s="634">
        <v>3.0000000000000001E-3</v>
      </c>
      <c r="GP97" s="634">
        <v>3.0000000000000001E-3</v>
      </c>
      <c r="GQ97" s="634">
        <v>3.0000000000000001E-3</v>
      </c>
      <c r="GR97" s="634">
        <v>3.0000000000000001E-3</v>
      </c>
      <c r="GS97" s="634">
        <v>3.0000000000000001E-3</v>
      </c>
      <c r="GT97" s="634">
        <v>3.0000000000000001E-3</v>
      </c>
      <c r="GU97" s="634">
        <v>3.0000000000000001E-3</v>
      </c>
      <c r="GV97" s="634">
        <v>3.0000000000000001E-3</v>
      </c>
      <c r="GW97" s="634">
        <v>3.0000000000000001E-3</v>
      </c>
      <c r="GX97" s="634">
        <v>3.0000000000000001E-3</v>
      </c>
      <c r="GY97" s="634">
        <v>3.0000000000000001E-3</v>
      </c>
      <c r="GZ97" s="634">
        <v>3.0000000000000001E-3</v>
      </c>
      <c r="HA97" s="634">
        <v>3.0000000000000001E-3</v>
      </c>
      <c r="HB97" s="634">
        <v>3.0000000000000001E-3</v>
      </c>
      <c r="HC97" s="634">
        <v>3.0000000000000001E-3</v>
      </c>
      <c r="HD97" s="634">
        <v>3.0000000000000001E-3</v>
      </c>
      <c r="HE97" s="634">
        <v>3.0000000000000001E-3</v>
      </c>
      <c r="HF97" s="634">
        <v>3.0000000000000001E-3</v>
      </c>
      <c r="HG97" s="634">
        <v>3.0000000000000001E-3</v>
      </c>
      <c r="HH97" s="634">
        <v>3.0000000000000001E-3</v>
      </c>
      <c r="HI97" s="634">
        <v>3.0000000000000001E-3</v>
      </c>
      <c r="HJ97" s="634">
        <v>3.0000000000000001E-3</v>
      </c>
      <c r="HK97" s="634">
        <v>3.0000000000000001E-3</v>
      </c>
      <c r="HL97" s="634">
        <v>3.0000000000000001E-3</v>
      </c>
      <c r="HM97" s="634">
        <v>3.0000000000000001E-3</v>
      </c>
      <c r="HN97" s="634">
        <v>3.0000000000000001E-3</v>
      </c>
      <c r="HO97" s="634">
        <v>3.0000000000000001E-3</v>
      </c>
      <c r="HP97" s="634">
        <v>3.0000000000000001E-3</v>
      </c>
      <c r="HQ97" s="634">
        <v>3.0000000000000001E-3</v>
      </c>
      <c r="HR97" s="634">
        <v>3.0000000000000001E-3</v>
      </c>
      <c r="HS97" s="634">
        <v>3.0000000000000001E-3</v>
      </c>
      <c r="HT97" s="634">
        <v>3.0000000000000001E-3</v>
      </c>
      <c r="HU97" s="634">
        <v>3.0000000000000001E-3</v>
      </c>
      <c r="HV97" s="634">
        <v>3.0000000000000001E-3</v>
      </c>
      <c r="HW97" s="634">
        <v>3.0000000000000001E-3</v>
      </c>
      <c r="HX97" s="634">
        <v>3.0000000000000001E-3</v>
      </c>
      <c r="HY97" s="634">
        <v>3.0000000000000001E-3</v>
      </c>
      <c r="HZ97" s="634">
        <v>3.0000000000000001E-3</v>
      </c>
      <c r="IA97" s="634">
        <v>3.0000000000000001E-3</v>
      </c>
      <c r="IB97" s="634">
        <v>3.0000000000000001E-3</v>
      </c>
      <c r="IC97" s="634">
        <v>3.0000000000000001E-3</v>
      </c>
      <c r="ID97" s="634">
        <v>3.0000000000000001E-3</v>
      </c>
      <c r="IE97" s="634">
        <v>3.0000000000000001E-3</v>
      </c>
      <c r="IF97" s="634">
        <v>3.0000000000000001E-3</v>
      </c>
      <c r="IG97" s="634">
        <v>3.0000000000000001E-3</v>
      </c>
      <c r="IH97" s="634">
        <v>3.0000000000000001E-3</v>
      </c>
      <c r="II97" s="634">
        <v>3.0000000000000001E-3</v>
      </c>
      <c r="IJ97" s="634">
        <v>3.0000000000000001E-3</v>
      </c>
      <c r="IK97" s="634">
        <v>3.0000000000000001E-3</v>
      </c>
      <c r="IL97" s="634">
        <v>3.0000000000000001E-3</v>
      </c>
      <c r="IM97" s="634">
        <v>3.0000000000000001E-3</v>
      </c>
      <c r="IN97" s="634">
        <v>3.0000000000000001E-3</v>
      </c>
      <c r="IO97" s="634">
        <v>3.0000000000000001E-3</v>
      </c>
      <c r="IP97" s="634">
        <v>3.0000000000000001E-3</v>
      </c>
      <c r="IQ97" s="634">
        <v>3.0000000000000001E-3</v>
      </c>
      <c r="IR97" s="634">
        <v>3.0000000000000001E-3</v>
      </c>
      <c r="IS97" s="634">
        <v>3.0000000000000001E-3</v>
      </c>
      <c r="IT97" s="634">
        <v>3.0000000000000001E-3</v>
      </c>
      <c r="IU97" s="634">
        <v>3.0000000000000001E-3</v>
      </c>
      <c r="IV97" s="634">
        <v>3.0000000000000001E-3</v>
      </c>
      <c r="IW97" s="634">
        <v>3.0000000000000001E-3</v>
      </c>
      <c r="IX97" s="634">
        <v>3.0000000000000001E-3</v>
      </c>
      <c r="IY97" s="634">
        <v>3.0000000000000001E-3</v>
      </c>
      <c r="IZ97" s="634">
        <v>3.0000000000000001E-3</v>
      </c>
      <c r="JA97" s="634">
        <v>3.0000000000000001E-3</v>
      </c>
      <c r="JB97" s="634">
        <v>3.0000000000000001E-3</v>
      </c>
      <c r="JC97" s="634">
        <v>3.0000000000000001E-3</v>
      </c>
      <c r="JD97" s="634">
        <v>3.0000000000000001E-3</v>
      </c>
      <c r="JE97" s="634">
        <v>3.0000000000000001E-3</v>
      </c>
      <c r="JF97" s="634">
        <v>3.0000000000000001E-3</v>
      </c>
      <c r="JG97" s="634">
        <v>3.0000000000000001E-3</v>
      </c>
      <c r="JH97" s="634">
        <v>3.0000000000000001E-3</v>
      </c>
      <c r="JI97" s="634">
        <v>3.0000000000000001E-3</v>
      </c>
      <c r="JJ97" s="634">
        <v>3.0000000000000001E-3</v>
      </c>
      <c r="JK97" s="634">
        <v>3.0000000000000001E-3</v>
      </c>
      <c r="JL97" s="634">
        <v>3.0000000000000001E-3</v>
      </c>
      <c r="JM97" s="634">
        <v>3.0000000000000001E-3</v>
      </c>
      <c r="JN97" s="634">
        <v>3.0000000000000001E-3</v>
      </c>
      <c r="JO97" s="634">
        <v>3.0000000000000001E-3</v>
      </c>
      <c r="JP97" s="634">
        <v>3.0000000000000001E-3</v>
      </c>
      <c r="JQ97" s="634">
        <v>3.0000000000000001E-3</v>
      </c>
      <c r="JR97" s="634">
        <v>3.0000000000000001E-3</v>
      </c>
    </row>
    <row r="98" spans="1:278" ht="13.5">
      <c r="A98" s="45"/>
      <c r="B98" s="170"/>
      <c r="C98" s="36"/>
      <c r="D98" s="36"/>
      <c r="E98" s="26"/>
    </row>
    <row r="99" spans="1:278" ht="15">
      <c r="A99" s="766" t="s">
        <v>268</v>
      </c>
      <c r="B99" s="739"/>
      <c r="C99" s="88"/>
      <c r="D99" s="88"/>
      <c r="E99" s="767"/>
      <c r="FE99" s="635"/>
      <c r="FF99" s="635"/>
      <c r="FG99" s="635"/>
      <c r="FH99" s="635"/>
      <c r="FI99" s="635"/>
      <c r="FJ99" s="635"/>
      <c r="FK99" s="635"/>
      <c r="FL99" s="635"/>
      <c r="FM99" s="635"/>
      <c r="FN99" s="635"/>
      <c r="FO99" s="635"/>
      <c r="FP99" s="635"/>
      <c r="FQ99" s="635"/>
      <c r="FR99" s="635"/>
      <c r="FS99" s="635"/>
      <c r="FT99" s="635"/>
      <c r="FU99" s="635"/>
      <c r="FV99" s="635"/>
      <c r="FW99" s="635"/>
      <c r="FX99" s="635"/>
      <c r="FY99" s="635"/>
      <c r="FZ99" s="635"/>
      <c r="GA99" s="635"/>
      <c r="GB99" s="635"/>
      <c r="GC99" s="635"/>
      <c r="GD99" s="635"/>
      <c r="GE99" s="635"/>
      <c r="GF99" s="635"/>
      <c r="GG99" s="635"/>
      <c r="GH99" s="635"/>
      <c r="GI99" s="635"/>
      <c r="GJ99" s="635"/>
      <c r="GK99" s="635"/>
      <c r="GL99" s="635"/>
      <c r="GM99" s="635"/>
      <c r="GN99" s="635"/>
      <c r="GO99" s="635"/>
      <c r="GP99" s="635"/>
      <c r="GQ99" s="635"/>
      <c r="GR99" s="635"/>
      <c r="GS99" s="635"/>
      <c r="GT99" s="635"/>
      <c r="GU99" s="635"/>
      <c r="GV99" s="635"/>
      <c r="GW99" s="635"/>
      <c r="GX99" s="635"/>
      <c r="GY99" s="635"/>
      <c r="GZ99" s="635"/>
      <c r="HA99" s="635"/>
      <c r="HB99" s="635"/>
      <c r="HC99" s="635"/>
      <c r="HD99" s="635"/>
      <c r="HE99" s="635"/>
      <c r="HF99" s="635"/>
      <c r="HG99" s="635"/>
      <c r="HH99" s="635"/>
      <c r="HI99" s="635"/>
      <c r="HJ99" s="635"/>
      <c r="HK99" s="635"/>
      <c r="HL99" s="635"/>
      <c r="HM99" s="635"/>
      <c r="HN99" s="635"/>
      <c r="HO99" s="635"/>
      <c r="HP99" s="635"/>
      <c r="HQ99" s="635"/>
      <c r="HR99" s="635"/>
      <c r="HS99" s="635"/>
      <c r="HT99" s="635"/>
      <c r="HU99" s="635"/>
      <c r="HV99" s="635"/>
      <c r="HW99" s="635"/>
      <c r="HX99" s="635"/>
      <c r="HY99" s="635"/>
      <c r="HZ99" s="635"/>
      <c r="IA99" s="635"/>
      <c r="IB99" s="635"/>
      <c r="IC99" s="635"/>
      <c r="ID99" s="635"/>
      <c r="IE99" s="635"/>
      <c r="IF99" s="635"/>
      <c r="IG99" s="635"/>
      <c r="IH99" s="635"/>
      <c r="II99" s="635"/>
      <c r="IJ99" s="635"/>
      <c r="IK99" s="635"/>
      <c r="IL99" s="635"/>
      <c r="IM99" s="635"/>
      <c r="IN99" s="635"/>
      <c r="IO99" s="635"/>
      <c r="IP99" s="635"/>
      <c r="IQ99" s="635"/>
      <c r="IR99" s="635"/>
      <c r="IS99" s="635"/>
      <c r="IT99" s="635"/>
      <c r="IU99" s="635"/>
      <c r="IV99" s="635"/>
      <c r="IW99" s="635"/>
      <c r="IX99" s="635"/>
      <c r="IY99" s="635"/>
      <c r="IZ99" s="635"/>
      <c r="JA99" s="635"/>
      <c r="JB99" s="635"/>
      <c r="JC99" s="635"/>
      <c r="JD99" s="635"/>
      <c r="JE99" s="635"/>
      <c r="JF99" s="635"/>
      <c r="JG99" s="635"/>
      <c r="JH99" s="635"/>
      <c r="JI99" s="635"/>
      <c r="JJ99" s="635"/>
      <c r="JK99" s="635"/>
      <c r="JL99" s="635"/>
      <c r="JM99" s="635"/>
      <c r="JN99" s="635"/>
      <c r="JO99" s="635"/>
      <c r="JP99" s="635"/>
      <c r="JQ99" s="635"/>
      <c r="JR99" s="635"/>
    </row>
    <row r="100" spans="1:278" ht="15">
      <c r="A100" s="54"/>
      <c r="B100" s="36"/>
      <c r="C100" s="36"/>
      <c r="D100" s="36"/>
      <c r="E100" s="26"/>
      <c r="FE100" s="623"/>
      <c r="FF100" s="623"/>
      <c r="FG100" s="623"/>
      <c r="FH100" s="623"/>
      <c r="FI100" s="623"/>
      <c r="FJ100" s="623"/>
      <c r="FK100" s="623"/>
      <c r="FL100" s="623"/>
      <c r="FM100" s="623"/>
      <c r="FN100" s="623"/>
      <c r="FO100" s="623"/>
      <c r="FP100" s="623"/>
      <c r="FQ100" s="623"/>
      <c r="FR100" s="623"/>
      <c r="FS100" s="623"/>
      <c r="FT100" s="623"/>
      <c r="FU100" s="623"/>
      <c r="FV100" s="623"/>
      <c r="FW100" s="623"/>
      <c r="FX100" s="623"/>
      <c r="FY100" s="623"/>
      <c r="FZ100" s="623"/>
      <c r="GA100" s="623"/>
      <c r="GB100" s="623"/>
      <c r="GC100" s="623"/>
      <c r="GD100" s="623"/>
      <c r="GE100" s="623"/>
      <c r="GF100" s="623"/>
      <c r="GG100" s="623"/>
      <c r="GH100" s="623"/>
      <c r="GI100" s="623"/>
      <c r="GJ100" s="623"/>
      <c r="GK100" s="623"/>
      <c r="GL100" s="623"/>
      <c r="GM100" s="623"/>
      <c r="GN100" s="623"/>
      <c r="GO100" s="623"/>
      <c r="GP100" s="623"/>
      <c r="GQ100" s="623"/>
      <c r="GR100" s="623"/>
      <c r="GS100" s="623"/>
      <c r="GT100" s="623"/>
      <c r="GU100" s="623"/>
      <c r="GV100" s="623"/>
      <c r="GW100" s="623"/>
      <c r="GX100" s="623"/>
      <c r="GY100" s="623"/>
      <c r="GZ100" s="623"/>
      <c r="HA100" s="623"/>
      <c r="HB100" s="623"/>
      <c r="HC100" s="623"/>
      <c r="HD100" s="623"/>
      <c r="HE100" s="623"/>
      <c r="HF100" s="623"/>
      <c r="HG100" s="623"/>
      <c r="HH100" s="623"/>
      <c r="HI100" s="623"/>
      <c r="HJ100" s="623"/>
      <c r="HK100" s="623"/>
      <c r="HL100" s="623"/>
      <c r="HM100" s="623"/>
      <c r="HN100" s="623"/>
      <c r="HO100" s="623"/>
      <c r="HP100" s="623"/>
      <c r="HQ100" s="623"/>
      <c r="HR100" s="623"/>
      <c r="HS100" s="623"/>
      <c r="HT100" s="623"/>
      <c r="HU100" s="623"/>
      <c r="HV100" s="623"/>
      <c r="HW100" s="623"/>
      <c r="HX100" s="623"/>
      <c r="HY100" s="623"/>
      <c r="HZ100" s="623"/>
      <c r="IA100" s="623"/>
      <c r="IB100" s="623"/>
      <c r="IC100" s="623"/>
      <c r="ID100" s="623"/>
      <c r="IE100" s="623"/>
      <c r="IF100" s="623"/>
      <c r="IG100" s="623"/>
      <c r="IH100" s="623"/>
      <c r="II100" s="623"/>
      <c r="IJ100" s="623"/>
      <c r="IK100" s="623"/>
      <c r="IL100" s="623"/>
      <c r="IM100" s="623"/>
      <c r="IN100" s="623"/>
      <c r="IO100" s="623"/>
      <c r="IP100" s="623"/>
      <c r="IQ100" s="623"/>
      <c r="IR100" s="623"/>
      <c r="IS100" s="623"/>
      <c r="IT100" s="623"/>
      <c r="IU100" s="623"/>
      <c r="IV100" s="623"/>
      <c r="IW100" s="623"/>
      <c r="IX100" s="623"/>
      <c r="IY100" s="623"/>
      <c r="IZ100" s="623"/>
      <c r="JA100" s="623"/>
      <c r="JB100" s="623"/>
      <c r="JC100" s="623"/>
      <c r="JD100" s="623"/>
      <c r="JE100" s="623"/>
      <c r="JF100" s="623"/>
      <c r="JG100" s="623"/>
      <c r="JH100" s="623"/>
      <c r="JI100" s="623"/>
      <c r="JJ100" s="623"/>
      <c r="JK100" s="623"/>
      <c r="JL100" s="623"/>
      <c r="JM100" s="623"/>
      <c r="JN100" s="623"/>
      <c r="JO100" s="623"/>
      <c r="JP100" s="623"/>
      <c r="JQ100" s="623"/>
      <c r="JR100" s="623"/>
    </row>
    <row r="101" spans="1:278" s="636" customFormat="1" ht="13.5">
      <c r="A101" s="502"/>
      <c r="B101" s="326"/>
      <c r="C101" s="503"/>
      <c r="D101" s="503"/>
      <c r="E101" s="504"/>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c r="CF101"/>
      <c r="CG101"/>
      <c r="CH101"/>
      <c r="CI101"/>
      <c r="CJ101"/>
      <c r="CK101"/>
      <c r="CL101"/>
      <c r="CM101"/>
      <c r="CN101"/>
      <c r="CO101"/>
      <c r="CP101"/>
      <c r="CQ101"/>
      <c r="CR101"/>
      <c r="CS101"/>
      <c r="CT101"/>
      <c r="CU101"/>
      <c r="CV101"/>
      <c r="CW101"/>
      <c r="CX101"/>
      <c r="CY101"/>
      <c r="CZ101"/>
      <c r="DA101"/>
      <c r="DB101"/>
      <c r="DC101"/>
      <c r="DD101"/>
      <c r="DE101"/>
      <c r="DF101"/>
      <c r="DG101"/>
      <c r="DH101"/>
      <c r="DI101"/>
      <c r="DJ101"/>
      <c r="DK101"/>
      <c r="DL101"/>
      <c r="DM101"/>
      <c r="DN101"/>
      <c r="DO101"/>
      <c r="DP101"/>
      <c r="DQ101"/>
      <c r="DR101"/>
      <c r="DS101"/>
      <c r="DT101"/>
      <c r="DU101"/>
      <c r="DV101"/>
      <c r="DW101"/>
      <c r="DX101"/>
      <c r="DY101"/>
      <c r="DZ101"/>
      <c r="EA101"/>
      <c r="EB101"/>
      <c r="EC101"/>
      <c r="ED101"/>
      <c r="EE101"/>
      <c r="EF101"/>
      <c r="EG101"/>
      <c r="EH101"/>
      <c r="EI101"/>
      <c r="EJ101"/>
      <c r="EK101"/>
      <c r="EL101"/>
      <c r="EM101"/>
      <c r="EN101"/>
      <c r="EO101"/>
      <c r="EP101"/>
      <c r="EQ101"/>
      <c r="ER101"/>
      <c r="ES101"/>
      <c r="ET101"/>
      <c r="EU101"/>
      <c r="EV101"/>
      <c r="EW101"/>
      <c r="EX101"/>
      <c r="EY101"/>
      <c r="EZ101"/>
      <c r="FA101"/>
      <c r="FB101"/>
      <c r="FC101"/>
      <c r="FD101"/>
      <c r="FE101" s="623" t="s">
        <v>2299</v>
      </c>
      <c r="FF101" s="623" t="s">
        <v>2299</v>
      </c>
      <c r="FG101" s="623" t="s">
        <v>2299</v>
      </c>
      <c r="FH101" s="623" t="s">
        <v>2299</v>
      </c>
      <c r="FI101" s="623" t="s">
        <v>2299</v>
      </c>
      <c r="FJ101" s="623" t="s">
        <v>2299</v>
      </c>
      <c r="FK101" s="623" t="s">
        <v>2299</v>
      </c>
      <c r="FL101" s="623" t="s">
        <v>2299</v>
      </c>
      <c r="FM101" s="623" t="s">
        <v>2299</v>
      </c>
      <c r="FN101" s="623" t="s">
        <v>2299</v>
      </c>
      <c r="FO101" s="623" t="s">
        <v>2299</v>
      </c>
      <c r="FP101" s="623" t="s">
        <v>2299</v>
      </c>
      <c r="FQ101" s="623" t="s">
        <v>2299</v>
      </c>
      <c r="FR101" s="623" t="s">
        <v>2299</v>
      </c>
      <c r="FS101" s="623" t="s">
        <v>2299</v>
      </c>
      <c r="FT101" s="623" t="s">
        <v>2299</v>
      </c>
      <c r="FU101" s="623" t="s">
        <v>2299</v>
      </c>
      <c r="FV101" s="623" t="s">
        <v>2299</v>
      </c>
      <c r="FW101" s="623" t="s">
        <v>2299</v>
      </c>
      <c r="FX101" s="623" t="s">
        <v>2299</v>
      </c>
      <c r="FY101" s="623" t="s">
        <v>2299</v>
      </c>
      <c r="FZ101" s="623" t="s">
        <v>2299</v>
      </c>
      <c r="GA101" s="623" t="s">
        <v>2299</v>
      </c>
      <c r="GB101" s="623" t="s">
        <v>2299</v>
      </c>
      <c r="GC101" s="623" t="s">
        <v>2299</v>
      </c>
      <c r="GD101" s="623" t="s">
        <v>2299</v>
      </c>
      <c r="GE101" s="623" t="s">
        <v>2299</v>
      </c>
      <c r="GF101" s="623" t="s">
        <v>2299</v>
      </c>
      <c r="GG101" s="623" t="s">
        <v>2299</v>
      </c>
      <c r="GH101" s="623" t="s">
        <v>2299</v>
      </c>
      <c r="GI101" s="623" t="s">
        <v>2299</v>
      </c>
      <c r="GJ101" s="623" t="s">
        <v>2299</v>
      </c>
      <c r="GK101" s="623" t="s">
        <v>2299</v>
      </c>
      <c r="GL101" s="623" t="s">
        <v>2299</v>
      </c>
      <c r="GM101" s="623" t="s">
        <v>2299</v>
      </c>
      <c r="GN101" s="623" t="e">
        <v>#DIV/0!</v>
      </c>
      <c r="GO101" s="623" t="s">
        <v>2299</v>
      </c>
      <c r="GP101" s="623" t="s">
        <v>2299</v>
      </c>
      <c r="GQ101" s="623" t="s">
        <v>2299</v>
      </c>
      <c r="GR101" s="623" t="s">
        <v>2299</v>
      </c>
      <c r="GS101" s="623" t="s">
        <v>2299</v>
      </c>
      <c r="GT101" s="623" t="s">
        <v>2299</v>
      </c>
      <c r="GU101" s="623" t="s">
        <v>2299</v>
      </c>
      <c r="GV101" s="623" t="s">
        <v>2299</v>
      </c>
      <c r="GW101" s="623" t="s">
        <v>2299</v>
      </c>
      <c r="GX101" s="623" t="s">
        <v>2299</v>
      </c>
      <c r="GY101" s="623" t="s">
        <v>2299</v>
      </c>
      <c r="GZ101" s="623" t="s">
        <v>2299</v>
      </c>
      <c r="HA101" s="623" t="s">
        <v>2299</v>
      </c>
      <c r="HB101" s="623" t="s">
        <v>2299</v>
      </c>
      <c r="HC101" s="623" t="s">
        <v>2299</v>
      </c>
      <c r="HD101" s="623" t="s">
        <v>2299</v>
      </c>
      <c r="HE101" s="623" t="s">
        <v>2299</v>
      </c>
      <c r="HF101" s="623" t="s">
        <v>2299</v>
      </c>
      <c r="HG101" s="623" t="s">
        <v>2299</v>
      </c>
      <c r="HH101" s="623" t="s">
        <v>2299</v>
      </c>
      <c r="HI101" s="623" t="s">
        <v>2299</v>
      </c>
      <c r="HJ101" s="623" t="s">
        <v>2299</v>
      </c>
      <c r="HK101" s="623" t="s">
        <v>2299</v>
      </c>
      <c r="HL101" s="623" t="s">
        <v>2299</v>
      </c>
      <c r="HM101" s="623" t="s">
        <v>2299</v>
      </c>
      <c r="HN101" s="623" t="s">
        <v>2299</v>
      </c>
      <c r="HO101" s="623" t="s">
        <v>2299</v>
      </c>
      <c r="HP101" s="623" t="s">
        <v>2299</v>
      </c>
      <c r="HQ101" s="623" t="s">
        <v>2299</v>
      </c>
      <c r="HR101" s="623" t="s">
        <v>2299</v>
      </c>
      <c r="HS101" s="623" t="s">
        <v>2299</v>
      </c>
      <c r="HT101" s="623" t="s">
        <v>2299</v>
      </c>
      <c r="HU101" s="623" t="s">
        <v>2299</v>
      </c>
      <c r="HV101" s="623" t="s">
        <v>2299</v>
      </c>
      <c r="HW101" s="623" t="s">
        <v>2299</v>
      </c>
      <c r="HX101" s="623" t="s">
        <v>2299</v>
      </c>
      <c r="HY101" s="623" t="e">
        <v>#DIV/0!</v>
      </c>
      <c r="HZ101" s="623" t="s">
        <v>2299</v>
      </c>
      <c r="IA101" s="623" t="s">
        <v>2299</v>
      </c>
      <c r="IB101" s="623" t="s">
        <v>2299</v>
      </c>
      <c r="IC101" s="623" t="s">
        <v>2299</v>
      </c>
      <c r="ID101" s="623" t="s">
        <v>2299</v>
      </c>
      <c r="IE101" s="623" t="s">
        <v>2299</v>
      </c>
      <c r="IF101" s="623" t="s">
        <v>2299</v>
      </c>
      <c r="IG101" s="623" t="s">
        <v>2299</v>
      </c>
      <c r="IH101" s="623" t="s">
        <v>2299</v>
      </c>
      <c r="II101" s="623" t="s">
        <v>2299</v>
      </c>
      <c r="IJ101" s="623" t="s">
        <v>2299</v>
      </c>
      <c r="IK101" s="623" t="e">
        <v>#DIV/0!</v>
      </c>
      <c r="IL101" s="623" t="e">
        <v>#DIV/0!</v>
      </c>
      <c r="IM101" s="623" t="e">
        <v>#DIV/0!</v>
      </c>
      <c r="IN101" s="623" t="e">
        <v>#DIV/0!</v>
      </c>
      <c r="IO101" s="623" t="s">
        <v>2299</v>
      </c>
      <c r="IP101" s="623" t="s">
        <v>2299</v>
      </c>
      <c r="IQ101" s="623" t="s">
        <v>2299</v>
      </c>
      <c r="IR101" s="623" t="s">
        <v>2299</v>
      </c>
      <c r="IS101" s="623" t="s">
        <v>2299</v>
      </c>
      <c r="IT101" s="623" t="s">
        <v>2299</v>
      </c>
      <c r="IU101" s="623" t="s">
        <v>2299</v>
      </c>
      <c r="IV101" s="623" t="s">
        <v>2299</v>
      </c>
      <c r="IW101" s="623" t="s">
        <v>2299</v>
      </c>
      <c r="IX101" s="623" t="s">
        <v>2299</v>
      </c>
      <c r="IY101" s="623" t="s">
        <v>2299</v>
      </c>
      <c r="IZ101" s="623" t="s">
        <v>2299</v>
      </c>
      <c r="JA101" s="623" t="s">
        <v>2299</v>
      </c>
      <c r="JB101" s="623" t="s">
        <v>2299</v>
      </c>
      <c r="JC101" s="623" t="s">
        <v>2299</v>
      </c>
      <c r="JD101" s="623" t="s">
        <v>2299</v>
      </c>
      <c r="JE101" s="623" t="s">
        <v>2299</v>
      </c>
      <c r="JF101" s="623" t="s">
        <v>2299</v>
      </c>
      <c r="JG101" s="623" t="s">
        <v>2299</v>
      </c>
      <c r="JH101" s="623" t="s">
        <v>2299</v>
      </c>
      <c r="JI101" s="623" t="s">
        <v>2299</v>
      </c>
      <c r="JJ101" s="623" t="s">
        <v>2299</v>
      </c>
      <c r="JK101" s="623" t="s">
        <v>2299</v>
      </c>
      <c r="JL101" s="623" t="s">
        <v>2299</v>
      </c>
      <c r="JM101" s="623" t="s">
        <v>2299</v>
      </c>
      <c r="JN101" s="623" t="s">
        <v>2299</v>
      </c>
      <c r="JO101" s="623" t="s">
        <v>2299</v>
      </c>
      <c r="JP101" s="623" t="s">
        <v>2299</v>
      </c>
      <c r="JQ101" s="623" t="s">
        <v>2299</v>
      </c>
      <c r="JR101" s="623" t="s">
        <v>2299</v>
      </c>
    </row>
    <row r="102" spans="1:278" s="636" customFormat="1" ht="13.5">
      <c r="A102" s="502"/>
      <c r="B102" s="326"/>
      <c r="C102" s="503"/>
      <c r="D102" s="503"/>
      <c r="E102" s="504"/>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c r="CK102"/>
      <c r="CL102"/>
      <c r="CM102"/>
      <c r="CN102"/>
      <c r="CO102"/>
      <c r="CP102"/>
      <c r="CQ102"/>
      <c r="CR102"/>
      <c r="CS102"/>
      <c r="CT102"/>
      <c r="CU102"/>
      <c r="CV102"/>
      <c r="CW102"/>
      <c r="CX102"/>
      <c r="CY102"/>
      <c r="CZ102"/>
      <c r="DA102"/>
      <c r="DB102"/>
      <c r="DC102"/>
      <c r="DD102"/>
      <c r="DE102"/>
      <c r="DF102"/>
      <c r="DG102"/>
      <c r="DH102"/>
      <c r="DI102"/>
      <c r="DJ102"/>
      <c r="DK102"/>
      <c r="DL102"/>
      <c r="DM102"/>
      <c r="DN102"/>
      <c r="DO102"/>
      <c r="DP102"/>
      <c r="DQ102"/>
      <c r="DR102"/>
      <c r="DS102"/>
      <c r="DT102"/>
      <c r="DU102"/>
      <c r="DV102"/>
      <c r="DW102"/>
      <c r="DX102"/>
      <c r="DY102"/>
      <c r="DZ102"/>
      <c r="EA102"/>
      <c r="EB102"/>
      <c r="EC102"/>
      <c r="ED102"/>
      <c r="EE102"/>
      <c r="EF102"/>
      <c r="EG102"/>
      <c r="EH102"/>
      <c r="EI102"/>
      <c r="EJ102"/>
      <c r="EK102"/>
      <c r="EL102"/>
      <c r="EM102"/>
      <c r="EN102"/>
      <c r="EO102"/>
      <c r="EP102"/>
      <c r="EQ102"/>
      <c r="ER102"/>
      <c r="ES102"/>
      <c r="ET102"/>
      <c r="EU102"/>
      <c r="EV102"/>
      <c r="EW102"/>
      <c r="EX102"/>
      <c r="EY102"/>
      <c r="EZ102"/>
      <c r="FA102"/>
      <c r="FB102"/>
      <c r="FC102"/>
      <c r="FD102"/>
      <c r="FE102" s="623" t="s">
        <v>2300</v>
      </c>
      <c r="FF102" s="623" t="s">
        <v>2303</v>
      </c>
      <c r="FG102" s="623" t="s">
        <v>2303</v>
      </c>
      <c r="FH102" s="623" t="s">
        <v>2303</v>
      </c>
      <c r="FI102" s="623" t="s">
        <v>2303</v>
      </c>
      <c r="FJ102" s="623" t="s">
        <v>2303</v>
      </c>
      <c r="FK102" s="623" t="s">
        <v>2303</v>
      </c>
      <c r="FL102" s="623" t="s">
        <v>2303</v>
      </c>
      <c r="FM102" s="623" t="s">
        <v>2303</v>
      </c>
      <c r="FN102" s="623" t="s">
        <v>2303</v>
      </c>
      <c r="FO102" s="623" t="s">
        <v>2300</v>
      </c>
      <c r="FP102" s="623" t="s">
        <v>2303</v>
      </c>
      <c r="FQ102" s="623" t="s">
        <v>2303</v>
      </c>
      <c r="FR102" s="623" t="s">
        <v>2300</v>
      </c>
      <c r="FS102" s="623" t="s">
        <v>2303</v>
      </c>
      <c r="FT102" s="623" t="s">
        <v>2303</v>
      </c>
      <c r="FU102" s="623" t="s">
        <v>2303</v>
      </c>
      <c r="FV102" s="623" t="s">
        <v>2303</v>
      </c>
      <c r="FW102" s="623" t="s">
        <v>2303</v>
      </c>
      <c r="FX102" s="623" t="s">
        <v>2303</v>
      </c>
      <c r="FY102" s="623" t="s">
        <v>2303</v>
      </c>
      <c r="FZ102" s="623" t="s">
        <v>2303</v>
      </c>
      <c r="GA102" s="623" t="s">
        <v>2303</v>
      </c>
      <c r="GB102" s="623" t="s">
        <v>2303</v>
      </c>
      <c r="GC102" s="623" t="s">
        <v>2303</v>
      </c>
      <c r="GD102" s="623" t="s">
        <v>2303</v>
      </c>
      <c r="GE102" s="623" t="s">
        <v>2300</v>
      </c>
      <c r="GF102" s="623" t="s">
        <v>2303</v>
      </c>
      <c r="GG102" s="623" t="s">
        <v>2303</v>
      </c>
      <c r="GH102" s="623" t="s">
        <v>2303</v>
      </c>
      <c r="GI102" s="623" t="s">
        <v>2303</v>
      </c>
      <c r="GJ102" s="623" t="s">
        <v>2303</v>
      </c>
      <c r="GK102" s="623" t="s">
        <v>2300</v>
      </c>
      <c r="GL102" s="623" t="s">
        <v>2300</v>
      </c>
      <c r="GM102" s="623" t="s">
        <v>2300</v>
      </c>
      <c r="GN102" s="623" t="e">
        <v>#DIV/0!</v>
      </c>
      <c r="GO102" s="623" t="s">
        <v>2303</v>
      </c>
      <c r="GP102" s="623" t="s">
        <v>2303</v>
      </c>
      <c r="GQ102" s="623" t="s">
        <v>2303</v>
      </c>
      <c r="GR102" s="623" t="s">
        <v>2303</v>
      </c>
      <c r="GS102" s="623" t="s">
        <v>2303</v>
      </c>
      <c r="GT102" s="623" t="s">
        <v>2303</v>
      </c>
      <c r="GU102" s="623" t="s">
        <v>2303</v>
      </c>
      <c r="GV102" s="623" t="s">
        <v>2303</v>
      </c>
      <c r="GW102" s="623" t="s">
        <v>2303</v>
      </c>
      <c r="GX102" s="623" t="s">
        <v>2303</v>
      </c>
      <c r="GY102" s="623" t="s">
        <v>2300</v>
      </c>
      <c r="GZ102" s="623" t="s">
        <v>2300</v>
      </c>
      <c r="HA102" s="623" t="s">
        <v>2300</v>
      </c>
      <c r="HB102" s="623" t="s">
        <v>2300</v>
      </c>
      <c r="HC102" s="623" t="s">
        <v>2300</v>
      </c>
      <c r="HD102" s="623" t="s">
        <v>2300</v>
      </c>
      <c r="HE102" s="623" t="s">
        <v>2300</v>
      </c>
      <c r="HF102" s="623" t="s">
        <v>2300</v>
      </c>
      <c r="HG102" s="623" t="s">
        <v>2300</v>
      </c>
      <c r="HH102" s="623" t="s">
        <v>2303</v>
      </c>
      <c r="HI102" s="623" t="s">
        <v>2303</v>
      </c>
      <c r="HJ102" s="623" t="s">
        <v>2303</v>
      </c>
      <c r="HK102" s="623" t="s">
        <v>2303</v>
      </c>
      <c r="HL102" s="623" t="s">
        <v>2303</v>
      </c>
      <c r="HM102" s="623" t="s">
        <v>2303</v>
      </c>
      <c r="HN102" s="623" t="s">
        <v>2300</v>
      </c>
      <c r="HO102" s="623" t="s">
        <v>2303</v>
      </c>
      <c r="HP102" s="623" t="s">
        <v>2303</v>
      </c>
      <c r="HQ102" s="623" t="s">
        <v>2303</v>
      </c>
      <c r="HR102" s="623" t="s">
        <v>2303</v>
      </c>
      <c r="HS102" s="623" t="s">
        <v>2303</v>
      </c>
      <c r="HT102" s="623" t="s">
        <v>2303</v>
      </c>
      <c r="HU102" s="623" t="s">
        <v>2303</v>
      </c>
      <c r="HV102" s="623" t="s">
        <v>2303</v>
      </c>
      <c r="HW102" s="623" t="s">
        <v>2303</v>
      </c>
      <c r="HX102" s="623" t="s">
        <v>2303</v>
      </c>
      <c r="HY102" s="623" t="e">
        <v>#DIV/0!</v>
      </c>
      <c r="HZ102" s="623" t="s">
        <v>2303</v>
      </c>
      <c r="IA102" s="623" t="s">
        <v>2303</v>
      </c>
      <c r="IB102" s="623" t="s">
        <v>2300</v>
      </c>
      <c r="IC102" s="623" t="s">
        <v>2300</v>
      </c>
      <c r="ID102" s="623" t="s">
        <v>2303</v>
      </c>
      <c r="IE102" s="623" t="s">
        <v>2303</v>
      </c>
      <c r="IF102" s="623" t="s">
        <v>2303</v>
      </c>
      <c r="IG102" s="623" t="s">
        <v>2300</v>
      </c>
      <c r="IH102" s="623" t="s">
        <v>2300</v>
      </c>
      <c r="II102" s="623" t="s">
        <v>2303</v>
      </c>
      <c r="IJ102" s="623" t="s">
        <v>2303</v>
      </c>
      <c r="IK102" s="623" t="e">
        <v>#DIV/0!</v>
      </c>
      <c r="IL102" s="623" t="e">
        <v>#DIV/0!</v>
      </c>
      <c r="IM102" s="623" t="e">
        <v>#DIV/0!</v>
      </c>
      <c r="IN102" s="623" t="e">
        <v>#DIV/0!</v>
      </c>
      <c r="IO102" s="623" t="s">
        <v>2303</v>
      </c>
      <c r="IP102" s="623" t="s">
        <v>2303</v>
      </c>
      <c r="IQ102" s="623" t="s">
        <v>2300</v>
      </c>
      <c r="IR102" s="623" t="s">
        <v>2303</v>
      </c>
      <c r="IS102" s="623" t="s">
        <v>2303</v>
      </c>
      <c r="IT102" s="623" t="s">
        <v>2303</v>
      </c>
      <c r="IU102" s="623" t="s">
        <v>2303</v>
      </c>
      <c r="IV102" s="623" t="s">
        <v>2303</v>
      </c>
      <c r="IW102" s="623" t="s">
        <v>2303</v>
      </c>
      <c r="IX102" s="623" t="s">
        <v>2303</v>
      </c>
      <c r="IY102" s="623" t="s">
        <v>2303</v>
      </c>
      <c r="IZ102" s="623" t="s">
        <v>2303</v>
      </c>
      <c r="JA102" s="623" t="s">
        <v>2303</v>
      </c>
      <c r="JB102" s="623" t="s">
        <v>2303</v>
      </c>
      <c r="JC102" s="623" t="s">
        <v>2303</v>
      </c>
      <c r="JD102" s="623" t="s">
        <v>2300</v>
      </c>
      <c r="JE102" s="623" t="s">
        <v>2303</v>
      </c>
      <c r="JF102" s="623" t="s">
        <v>2303</v>
      </c>
      <c r="JG102" s="623" t="s">
        <v>2303</v>
      </c>
      <c r="JH102" s="623" t="s">
        <v>2303</v>
      </c>
      <c r="JI102" s="623" t="s">
        <v>2300</v>
      </c>
      <c r="JJ102" s="623" t="s">
        <v>2300</v>
      </c>
      <c r="JK102" s="623" t="s">
        <v>2303</v>
      </c>
      <c r="JL102" s="623" t="s">
        <v>2303</v>
      </c>
      <c r="JM102" s="623" t="s">
        <v>2303</v>
      </c>
      <c r="JN102" s="623" t="s">
        <v>2303</v>
      </c>
      <c r="JO102" s="623" t="s">
        <v>2303</v>
      </c>
      <c r="JP102" s="623" t="s">
        <v>2303</v>
      </c>
      <c r="JQ102" s="623" t="s">
        <v>2303</v>
      </c>
      <c r="JR102" s="623" t="s">
        <v>2303</v>
      </c>
    </row>
    <row r="103" spans="1:278" s="636" customFormat="1" ht="13.5">
      <c r="A103" s="45"/>
      <c r="B103" s="36" t="str">
        <f>IF(B_Param&lt;0.1,IF((A_Param*B_Param/C_Param)&lt;0.1,"Diffusion through soil is the overall rate limiting process.",IF((A_Param*B_Param/C_Param)&gt;(10*(1+A_Param)),"Diffusion through the foundation is the overall rate-limiting process.","Diffusion through soil and diffusion through foundation both control intrusion.")),"")</f>
        <v/>
      </c>
      <c r="C103" s="48"/>
      <c r="D103" s="48"/>
      <c r="E103" s="26"/>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c r="CS103"/>
      <c r="CT103"/>
      <c r="CU103"/>
      <c r="CV103"/>
      <c r="CW103"/>
      <c r="CX103"/>
      <c r="CY103"/>
      <c r="CZ103"/>
      <c r="DA103"/>
      <c r="DB103"/>
      <c r="DC103"/>
      <c r="DD103"/>
      <c r="DE103"/>
      <c r="DF103"/>
      <c r="DG103"/>
      <c r="DH103"/>
      <c r="DI103"/>
      <c r="DJ103"/>
      <c r="DK103"/>
      <c r="DL103"/>
      <c r="DM103"/>
      <c r="DN103"/>
      <c r="DO103"/>
      <c r="DP103"/>
      <c r="DQ103"/>
      <c r="DR103"/>
      <c r="DS103"/>
      <c r="DT103"/>
      <c r="DU103"/>
      <c r="DV103"/>
      <c r="DW103"/>
      <c r="DX103"/>
      <c r="DY103"/>
      <c r="DZ103"/>
      <c r="EA103"/>
      <c r="EB103"/>
      <c r="EC103"/>
      <c r="ED103"/>
      <c r="EE103"/>
      <c r="EF103"/>
      <c r="EG103"/>
      <c r="EH103"/>
      <c r="EI103"/>
      <c r="EJ103"/>
      <c r="EK103"/>
      <c r="EL103"/>
      <c r="EM103"/>
      <c r="EN103"/>
      <c r="EO103"/>
      <c r="EP103"/>
      <c r="EQ103"/>
      <c r="ER103"/>
      <c r="ES103"/>
      <c r="ET103"/>
      <c r="EU103"/>
      <c r="EV103"/>
      <c r="EW103"/>
      <c r="EX103"/>
      <c r="EY103"/>
      <c r="EZ103"/>
      <c r="FA103"/>
      <c r="FB103"/>
      <c r="FC103"/>
      <c r="FD103"/>
      <c r="FE103" s="623" t="s">
        <v>43</v>
      </c>
      <c r="FF103" s="623" t="s">
        <v>43</v>
      </c>
      <c r="FG103" s="623" t="s">
        <v>43</v>
      </c>
      <c r="FH103" s="623" t="s">
        <v>43</v>
      </c>
      <c r="FI103" s="623" t="s">
        <v>43</v>
      </c>
      <c r="FJ103" s="623" t="s">
        <v>43</v>
      </c>
      <c r="FK103" s="623" t="s">
        <v>43</v>
      </c>
      <c r="FL103" s="623" t="s">
        <v>43</v>
      </c>
      <c r="FM103" s="623" t="s">
        <v>43</v>
      </c>
      <c r="FN103" s="623" t="s">
        <v>43</v>
      </c>
      <c r="FO103" s="623" t="s">
        <v>43</v>
      </c>
      <c r="FP103" s="623" t="s">
        <v>43</v>
      </c>
      <c r="FQ103" s="623" t="s">
        <v>43</v>
      </c>
      <c r="FR103" s="623" t="s">
        <v>43</v>
      </c>
      <c r="FS103" s="623" t="s">
        <v>43</v>
      </c>
      <c r="FT103" s="623" t="s">
        <v>43</v>
      </c>
      <c r="FU103" s="623" t="s">
        <v>43</v>
      </c>
      <c r="FV103" s="623" t="s">
        <v>43</v>
      </c>
      <c r="FW103" s="623" t="s">
        <v>43</v>
      </c>
      <c r="FX103" s="623" t="s">
        <v>43</v>
      </c>
      <c r="FY103" s="623" t="s">
        <v>43</v>
      </c>
      <c r="FZ103" s="623" t="s">
        <v>43</v>
      </c>
      <c r="GA103" s="623" t="s">
        <v>43</v>
      </c>
      <c r="GB103" s="623" t="s">
        <v>43</v>
      </c>
      <c r="GC103" s="623" t="s">
        <v>43</v>
      </c>
      <c r="GD103" s="623" t="s">
        <v>43</v>
      </c>
      <c r="GE103" s="623" t="s">
        <v>43</v>
      </c>
      <c r="GF103" s="623" t="s">
        <v>43</v>
      </c>
      <c r="GG103" s="623" t="s">
        <v>43</v>
      </c>
      <c r="GH103" s="623" t="s">
        <v>43</v>
      </c>
      <c r="GI103" s="623" t="s">
        <v>43</v>
      </c>
      <c r="GJ103" s="623" t="s">
        <v>43</v>
      </c>
      <c r="GK103" s="623" t="s">
        <v>43</v>
      </c>
      <c r="GL103" s="623" t="s">
        <v>43</v>
      </c>
      <c r="GM103" s="623" t="s">
        <v>43</v>
      </c>
      <c r="GN103" s="623" t="e">
        <v>#DIV/0!</v>
      </c>
      <c r="GO103" s="623" t="s">
        <v>43</v>
      </c>
      <c r="GP103" s="623" t="s">
        <v>43</v>
      </c>
      <c r="GQ103" s="623" t="s">
        <v>43</v>
      </c>
      <c r="GR103" s="623" t="s">
        <v>43</v>
      </c>
      <c r="GS103" s="623" t="s">
        <v>43</v>
      </c>
      <c r="GT103" s="623" t="s">
        <v>43</v>
      </c>
      <c r="GU103" s="623" t="s">
        <v>43</v>
      </c>
      <c r="GV103" s="623" t="s">
        <v>43</v>
      </c>
      <c r="GW103" s="623" t="s">
        <v>43</v>
      </c>
      <c r="GX103" s="623" t="s">
        <v>43</v>
      </c>
      <c r="GY103" s="623" t="s">
        <v>43</v>
      </c>
      <c r="GZ103" s="623" t="s">
        <v>43</v>
      </c>
      <c r="HA103" s="623" t="s">
        <v>43</v>
      </c>
      <c r="HB103" s="623" t="s">
        <v>43</v>
      </c>
      <c r="HC103" s="623" t="s">
        <v>43</v>
      </c>
      <c r="HD103" s="623" t="s">
        <v>43</v>
      </c>
      <c r="HE103" s="623" t="s">
        <v>43</v>
      </c>
      <c r="HF103" s="623" t="s">
        <v>43</v>
      </c>
      <c r="HG103" s="623" t="s">
        <v>43</v>
      </c>
      <c r="HH103" s="623" t="s">
        <v>43</v>
      </c>
      <c r="HI103" s="623" t="s">
        <v>43</v>
      </c>
      <c r="HJ103" s="623" t="s">
        <v>43</v>
      </c>
      <c r="HK103" s="623" t="s">
        <v>43</v>
      </c>
      <c r="HL103" s="623" t="s">
        <v>43</v>
      </c>
      <c r="HM103" s="623" t="s">
        <v>43</v>
      </c>
      <c r="HN103" s="623" t="s">
        <v>43</v>
      </c>
      <c r="HO103" s="623" t="s">
        <v>43</v>
      </c>
      <c r="HP103" s="623" t="s">
        <v>43</v>
      </c>
      <c r="HQ103" s="623" t="s">
        <v>43</v>
      </c>
      <c r="HR103" s="623" t="s">
        <v>43</v>
      </c>
      <c r="HS103" s="623" t="s">
        <v>43</v>
      </c>
      <c r="HT103" s="623" t="s">
        <v>43</v>
      </c>
      <c r="HU103" s="623" t="s">
        <v>43</v>
      </c>
      <c r="HV103" s="623" t="s">
        <v>43</v>
      </c>
      <c r="HW103" s="623" t="s">
        <v>43</v>
      </c>
      <c r="HX103" s="623" t="s">
        <v>43</v>
      </c>
      <c r="HY103" s="623" t="e">
        <v>#DIV/0!</v>
      </c>
      <c r="HZ103" s="623" t="s">
        <v>43</v>
      </c>
      <c r="IA103" s="623" t="s">
        <v>43</v>
      </c>
      <c r="IB103" s="623" t="s">
        <v>43</v>
      </c>
      <c r="IC103" s="623" t="s">
        <v>43</v>
      </c>
      <c r="ID103" s="623" t="s">
        <v>43</v>
      </c>
      <c r="IE103" s="623" t="s">
        <v>43</v>
      </c>
      <c r="IF103" s="623" t="s">
        <v>43</v>
      </c>
      <c r="IG103" s="623" t="s">
        <v>43</v>
      </c>
      <c r="IH103" s="623" t="s">
        <v>43</v>
      </c>
      <c r="II103" s="623" t="s">
        <v>43</v>
      </c>
      <c r="IJ103" s="623" t="s">
        <v>43</v>
      </c>
      <c r="IK103" s="623" t="e">
        <v>#DIV/0!</v>
      </c>
      <c r="IL103" s="623" t="e">
        <v>#DIV/0!</v>
      </c>
      <c r="IM103" s="623" t="e">
        <v>#DIV/0!</v>
      </c>
      <c r="IN103" s="623" t="e">
        <v>#DIV/0!</v>
      </c>
      <c r="IO103" s="623" t="s">
        <v>43</v>
      </c>
      <c r="IP103" s="623" t="s">
        <v>43</v>
      </c>
      <c r="IQ103" s="623" t="s">
        <v>43</v>
      </c>
      <c r="IR103" s="623" t="s">
        <v>43</v>
      </c>
      <c r="IS103" s="623" t="s">
        <v>43</v>
      </c>
      <c r="IT103" s="623" t="s">
        <v>43</v>
      </c>
      <c r="IU103" s="623" t="s">
        <v>43</v>
      </c>
      <c r="IV103" s="623" t="s">
        <v>43</v>
      </c>
      <c r="IW103" s="623" t="s">
        <v>43</v>
      </c>
      <c r="IX103" s="623" t="s">
        <v>43</v>
      </c>
      <c r="IY103" s="623" t="s">
        <v>43</v>
      </c>
      <c r="IZ103" s="623" t="s">
        <v>43</v>
      </c>
      <c r="JA103" s="623" t="s">
        <v>43</v>
      </c>
      <c r="JB103" s="623" t="s">
        <v>43</v>
      </c>
      <c r="JC103" s="623" t="s">
        <v>43</v>
      </c>
      <c r="JD103" s="623" t="s">
        <v>43</v>
      </c>
      <c r="JE103" s="623" t="s">
        <v>43</v>
      </c>
      <c r="JF103" s="623" t="s">
        <v>43</v>
      </c>
      <c r="JG103" s="623" t="s">
        <v>43</v>
      </c>
      <c r="JH103" s="623" t="s">
        <v>43</v>
      </c>
      <c r="JI103" s="623" t="s">
        <v>43</v>
      </c>
      <c r="JJ103" s="623" t="s">
        <v>43</v>
      </c>
      <c r="JK103" s="623" t="s">
        <v>43</v>
      </c>
      <c r="JL103" s="623" t="s">
        <v>43</v>
      </c>
      <c r="JM103" s="623" t="s">
        <v>43</v>
      </c>
      <c r="JN103" s="623" t="s">
        <v>43</v>
      </c>
      <c r="JO103" s="623" t="s">
        <v>43</v>
      </c>
      <c r="JP103" s="623" t="s">
        <v>43</v>
      </c>
      <c r="JQ103" s="623" t="s">
        <v>43</v>
      </c>
      <c r="JR103" s="623" t="s">
        <v>43</v>
      </c>
    </row>
    <row r="104" spans="1:278" ht="13.5" customHeight="1">
      <c r="A104" s="45"/>
      <c r="B104" s="36"/>
      <c r="C104" s="36"/>
      <c r="D104" s="36"/>
      <c r="E104" s="26"/>
      <c r="FE104" s="623"/>
      <c r="FF104" s="623"/>
      <c r="FG104" s="623"/>
      <c r="FH104" s="623"/>
      <c r="FI104" s="623"/>
      <c r="FJ104" s="623"/>
      <c r="FK104" s="623"/>
      <c r="FL104" s="623"/>
      <c r="FM104" s="623"/>
      <c r="FN104" s="623"/>
      <c r="FO104" s="623"/>
      <c r="FP104" s="623"/>
      <c r="FQ104" s="623"/>
      <c r="FR104" s="623"/>
      <c r="FS104" s="623"/>
      <c r="FT104" s="623"/>
      <c r="FU104" s="623"/>
      <c r="FV104" s="623"/>
      <c r="FW104" s="623"/>
      <c r="FX104" s="623"/>
      <c r="FY104" s="623"/>
      <c r="FZ104" s="623"/>
      <c r="GA104" s="623"/>
      <c r="GB104" s="623"/>
      <c r="GC104" s="623"/>
      <c r="GD104" s="623"/>
      <c r="GE104" s="623"/>
      <c r="GF104" s="623"/>
      <c r="GG104" s="623"/>
      <c r="GH104" s="623"/>
      <c r="GI104" s="623"/>
      <c r="GJ104" s="623"/>
      <c r="GK104" s="623"/>
      <c r="GL104" s="623"/>
      <c r="GM104" s="623"/>
      <c r="GN104" s="623"/>
      <c r="GO104" s="623"/>
      <c r="GP104" s="623"/>
      <c r="GQ104" s="623"/>
      <c r="GR104" s="623"/>
      <c r="GS104" s="623"/>
      <c r="GT104" s="623"/>
      <c r="GU104" s="623"/>
      <c r="GV104" s="623"/>
      <c r="GW104" s="623"/>
      <c r="GX104" s="623"/>
      <c r="GY104" s="623"/>
      <c r="GZ104" s="623"/>
      <c r="HA104" s="623"/>
      <c r="HB104" s="623"/>
      <c r="HC104" s="623"/>
      <c r="HD104" s="623"/>
      <c r="HE104" s="623"/>
      <c r="HF104" s="623"/>
      <c r="HG104" s="623"/>
      <c r="HH104" s="623"/>
      <c r="HI104" s="623"/>
      <c r="HJ104" s="623"/>
      <c r="HK104" s="623"/>
      <c r="HL104" s="623"/>
      <c r="HM104" s="623"/>
      <c r="HN104" s="623"/>
      <c r="HO104" s="623"/>
      <c r="HP104" s="623"/>
      <c r="HQ104" s="623"/>
      <c r="HR104" s="623"/>
      <c r="HS104" s="623"/>
      <c r="HT104" s="623"/>
      <c r="HU104" s="623"/>
      <c r="HV104" s="623"/>
      <c r="HW104" s="623"/>
      <c r="HX104" s="623"/>
      <c r="HY104" s="623"/>
      <c r="HZ104" s="623"/>
      <c r="IA104" s="623"/>
      <c r="IB104" s="623"/>
      <c r="IC104" s="623"/>
      <c r="ID104" s="623"/>
      <c r="IE104" s="623"/>
      <c r="IF104" s="623"/>
      <c r="IG104" s="623"/>
      <c r="IH104" s="623"/>
      <c r="II104" s="623"/>
      <c r="IJ104" s="623"/>
      <c r="IK104" s="623"/>
      <c r="IL104" s="623"/>
      <c r="IM104" s="623"/>
      <c r="IN104" s="623"/>
      <c r="IO104" s="623"/>
      <c r="IP104" s="623"/>
      <c r="IQ104" s="623"/>
      <c r="IR104" s="623"/>
      <c r="IS104" s="623"/>
      <c r="IT104" s="623"/>
      <c r="IU104" s="623"/>
      <c r="IV104" s="623"/>
      <c r="IW104" s="623"/>
      <c r="IX104" s="623"/>
      <c r="IY104" s="623"/>
      <c r="IZ104" s="623"/>
      <c r="JA104" s="623"/>
      <c r="JB104" s="623"/>
      <c r="JC104" s="623"/>
      <c r="JD104" s="623"/>
      <c r="JE104" s="623"/>
      <c r="JF104" s="623"/>
      <c r="JG104" s="623"/>
      <c r="JH104" s="623"/>
      <c r="JI104" s="623"/>
      <c r="JJ104" s="623"/>
      <c r="JK104" s="623"/>
      <c r="JL104" s="623"/>
      <c r="JM104" s="623"/>
      <c r="JN104" s="623"/>
      <c r="JO104" s="623"/>
      <c r="JP104" s="623"/>
      <c r="JQ104" s="623"/>
      <c r="JR104" s="623"/>
    </row>
    <row r="105" spans="1:278" ht="13.5" customHeight="1">
      <c r="A105" s="45"/>
      <c r="B105" s="36"/>
      <c r="C105" s="36"/>
      <c r="D105" s="36"/>
      <c r="E105" s="26"/>
      <c r="FE105" s="623"/>
      <c r="FF105" s="623"/>
      <c r="FG105" s="623"/>
      <c r="FH105" s="623"/>
      <c r="FI105" s="623"/>
      <c r="FJ105" s="623"/>
      <c r="FK105" s="623"/>
      <c r="FL105" s="623"/>
      <c r="FM105" s="623"/>
      <c r="FN105" s="623"/>
      <c r="FO105" s="623"/>
      <c r="FP105" s="623"/>
      <c r="FQ105" s="623"/>
      <c r="FR105" s="623"/>
      <c r="FS105" s="623"/>
      <c r="FT105" s="623"/>
      <c r="FU105" s="623"/>
      <c r="FV105" s="623"/>
      <c r="FW105" s="623"/>
      <c r="FX105" s="623"/>
      <c r="FY105" s="623"/>
      <c r="FZ105" s="623"/>
      <c r="GA105" s="623"/>
      <c r="GB105" s="623"/>
      <c r="GC105" s="623"/>
      <c r="GD105" s="623"/>
      <c r="GE105" s="623"/>
      <c r="GF105" s="623"/>
      <c r="GG105" s="623"/>
      <c r="GH105" s="623"/>
      <c r="GI105" s="623"/>
      <c r="GJ105" s="623"/>
      <c r="GK105" s="623"/>
      <c r="GL105" s="623"/>
      <c r="GM105" s="623"/>
      <c r="GN105" s="623"/>
      <c r="GO105" s="623"/>
      <c r="GP105" s="623"/>
      <c r="GQ105" s="623"/>
      <c r="GR105" s="623"/>
      <c r="GS105" s="623"/>
      <c r="GT105" s="623"/>
      <c r="GU105" s="623"/>
      <c r="GV105" s="623"/>
      <c r="GW105" s="623"/>
      <c r="GX105" s="623"/>
      <c r="GY105" s="623"/>
      <c r="GZ105" s="623"/>
      <c r="HA105" s="623"/>
      <c r="HB105" s="623"/>
      <c r="HC105" s="623"/>
      <c r="HD105" s="623"/>
      <c r="HE105" s="623"/>
      <c r="HF105" s="623"/>
      <c r="HG105" s="623"/>
      <c r="HH105" s="623"/>
      <c r="HI105" s="623"/>
      <c r="HJ105" s="623"/>
      <c r="HK105" s="623"/>
      <c r="HL105" s="623"/>
      <c r="HM105" s="623"/>
      <c r="HN105" s="623"/>
      <c r="HO105" s="623"/>
      <c r="HP105" s="623"/>
      <c r="HQ105" s="623"/>
      <c r="HR105" s="623"/>
      <c r="HS105" s="623"/>
      <c r="HT105" s="623"/>
      <c r="HU105" s="623"/>
      <c r="HV105" s="623"/>
      <c r="HW105" s="623"/>
      <c r="HX105" s="623"/>
      <c r="HY105" s="623"/>
      <c r="HZ105" s="623"/>
      <c r="IA105" s="623"/>
      <c r="IB105" s="623"/>
      <c r="IC105" s="623"/>
      <c r="ID105" s="623"/>
      <c r="IE105" s="623"/>
      <c r="IF105" s="623"/>
      <c r="IG105" s="623"/>
      <c r="IH105" s="623"/>
      <c r="II105" s="623"/>
      <c r="IJ105" s="623"/>
      <c r="IK105" s="623"/>
      <c r="IL105" s="623"/>
      <c r="IM105" s="623"/>
      <c r="IN105" s="623"/>
      <c r="IO105" s="623"/>
      <c r="IP105" s="623"/>
      <c r="IQ105" s="623"/>
      <c r="IR105" s="623"/>
      <c r="IS105" s="623"/>
      <c r="IT105" s="623"/>
      <c r="IU105" s="623"/>
      <c r="IV105" s="623"/>
      <c r="IW105" s="623"/>
      <c r="IX105" s="623"/>
      <c r="IY105" s="623"/>
      <c r="IZ105" s="623"/>
      <c r="JA105" s="623"/>
      <c r="JB105" s="623"/>
      <c r="JC105" s="623"/>
      <c r="JD105" s="623"/>
      <c r="JE105" s="623"/>
      <c r="JF105" s="623"/>
      <c r="JG105" s="623"/>
      <c r="JH105" s="623"/>
      <c r="JI105" s="623"/>
      <c r="JJ105" s="623"/>
      <c r="JK105" s="623"/>
      <c r="JL105" s="623"/>
      <c r="JM105" s="623"/>
      <c r="JN105" s="623"/>
      <c r="JO105" s="623"/>
      <c r="JP105" s="623"/>
      <c r="JQ105" s="623"/>
      <c r="JR105" s="623"/>
    </row>
    <row r="106" spans="1:278" ht="13.5">
      <c r="A106" s="766" t="s">
        <v>266</v>
      </c>
      <c r="B106" s="739"/>
      <c r="C106" s="88"/>
      <c r="D106" s="88"/>
      <c r="E106" s="739"/>
      <c r="FE106" s="635"/>
      <c r="FF106" s="635"/>
      <c r="FG106" s="635"/>
      <c r="FH106" s="635"/>
      <c r="FI106" s="635"/>
      <c r="FJ106" s="635"/>
      <c r="FK106" s="635"/>
      <c r="FL106" s="635"/>
      <c r="FM106" s="635"/>
      <c r="FN106" s="635"/>
      <c r="FO106" s="635"/>
      <c r="FP106" s="635"/>
      <c r="FQ106" s="635"/>
      <c r="FR106" s="635"/>
      <c r="FS106" s="635"/>
      <c r="FT106" s="635"/>
      <c r="FU106" s="635"/>
      <c r="FV106" s="635"/>
      <c r="FW106" s="635"/>
      <c r="FX106" s="635"/>
      <c r="FY106" s="635"/>
      <c r="FZ106" s="635"/>
      <c r="GA106" s="635"/>
      <c r="GB106" s="635"/>
      <c r="GC106" s="635"/>
      <c r="GD106" s="635"/>
      <c r="GE106" s="635"/>
      <c r="GF106" s="635"/>
      <c r="GG106" s="635"/>
      <c r="GH106" s="635"/>
      <c r="GI106" s="635"/>
      <c r="GJ106" s="635"/>
      <c r="GK106" s="635"/>
      <c r="GL106" s="635"/>
      <c r="GM106" s="635"/>
      <c r="GN106" s="635"/>
      <c r="GO106" s="635"/>
      <c r="GP106" s="635"/>
      <c r="GQ106" s="635"/>
      <c r="GR106" s="635"/>
      <c r="GS106" s="635"/>
      <c r="GT106" s="635"/>
      <c r="GU106" s="635"/>
      <c r="GV106" s="635"/>
      <c r="GW106" s="635"/>
      <c r="GX106" s="635"/>
      <c r="GY106" s="635"/>
      <c r="GZ106" s="635"/>
      <c r="HA106" s="635"/>
      <c r="HB106" s="635"/>
      <c r="HC106" s="635"/>
      <c r="HD106" s="635"/>
      <c r="HE106" s="635"/>
      <c r="HF106" s="635"/>
      <c r="HG106" s="635"/>
      <c r="HH106" s="635"/>
      <c r="HI106" s="635"/>
      <c r="HJ106" s="635"/>
      <c r="HK106" s="635"/>
      <c r="HL106" s="635"/>
      <c r="HM106" s="635"/>
      <c r="HN106" s="635"/>
      <c r="HO106" s="635"/>
      <c r="HP106" s="635"/>
      <c r="HQ106" s="635"/>
      <c r="HR106" s="635"/>
      <c r="HS106" s="635"/>
      <c r="HT106" s="635"/>
      <c r="HU106" s="635"/>
      <c r="HV106" s="635"/>
      <c r="HW106" s="635"/>
      <c r="HX106" s="635"/>
      <c r="HY106" s="635"/>
      <c r="HZ106" s="635"/>
      <c r="IA106" s="635"/>
      <c r="IB106" s="635"/>
      <c r="IC106" s="635"/>
      <c r="ID106" s="635"/>
      <c r="IE106" s="635"/>
      <c r="IF106" s="635"/>
      <c r="IG106" s="635"/>
      <c r="IH106" s="635"/>
      <c r="II106" s="635"/>
      <c r="IJ106" s="635"/>
      <c r="IK106" s="635"/>
      <c r="IL106" s="635"/>
      <c r="IM106" s="635"/>
      <c r="IN106" s="635"/>
      <c r="IO106" s="635"/>
      <c r="IP106" s="635"/>
      <c r="IQ106" s="635"/>
      <c r="IR106" s="635"/>
      <c r="IS106" s="635"/>
      <c r="IT106" s="635"/>
      <c r="IU106" s="635"/>
      <c r="IV106" s="635"/>
      <c r="IW106" s="635"/>
      <c r="IX106" s="635"/>
      <c r="IY106" s="635"/>
      <c r="IZ106" s="635"/>
      <c r="JA106" s="635"/>
      <c r="JB106" s="635"/>
      <c r="JC106" s="635"/>
      <c r="JD106" s="635"/>
      <c r="JE106" s="635"/>
      <c r="JF106" s="635"/>
      <c r="JG106" s="635"/>
      <c r="JH106" s="635"/>
      <c r="JI106" s="635"/>
      <c r="JJ106" s="635"/>
      <c r="JK106" s="635"/>
      <c r="JL106" s="635"/>
      <c r="JM106" s="635"/>
      <c r="JN106" s="635"/>
      <c r="JO106" s="635"/>
      <c r="JP106" s="635"/>
      <c r="JQ106" s="635"/>
      <c r="JR106" s="635"/>
    </row>
    <row r="107" spans="1:278" ht="13.5">
      <c r="A107" s="45"/>
      <c r="B107" s="36"/>
      <c r="C107" s="48"/>
      <c r="D107" s="48"/>
      <c r="E107" s="36"/>
      <c r="FE107" s="623"/>
      <c r="FF107" s="623"/>
      <c r="FG107" s="623"/>
      <c r="FH107" s="623"/>
      <c r="FI107" s="623"/>
      <c r="FJ107" s="623"/>
      <c r="FK107" s="623"/>
      <c r="FL107" s="623"/>
      <c r="FM107" s="623"/>
      <c r="FN107" s="623"/>
      <c r="FO107" s="623"/>
      <c r="FP107" s="623"/>
      <c r="FQ107" s="623"/>
      <c r="FR107" s="623"/>
      <c r="FS107" s="623"/>
      <c r="FT107" s="623"/>
      <c r="FU107" s="623"/>
      <c r="FV107" s="623"/>
      <c r="FW107" s="623"/>
      <c r="FX107" s="623"/>
      <c r="FY107" s="623"/>
      <c r="FZ107" s="623"/>
      <c r="GA107" s="623"/>
      <c r="GB107" s="623"/>
      <c r="GC107" s="623"/>
      <c r="GD107" s="623"/>
      <c r="GE107" s="623"/>
      <c r="GF107" s="623"/>
      <c r="GG107" s="623"/>
      <c r="GH107" s="623"/>
      <c r="GI107" s="623"/>
      <c r="GJ107" s="623"/>
      <c r="GK107" s="623"/>
      <c r="GL107" s="623"/>
      <c r="GM107" s="623"/>
      <c r="GN107" s="623"/>
      <c r="GO107" s="623"/>
      <c r="GP107" s="623"/>
      <c r="GQ107" s="623"/>
      <c r="GR107" s="623"/>
      <c r="GS107" s="623"/>
      <c r="GT107" s="623"/>
      <c r="GU107" s="623"/>
      <c r="GV107" s="623"/>
      <c r="GW107" s="623"/>
      <c r="GX107" s="623"/>
      <c r="GY107" s="623"/>
      <c r="GZ107" s="623"/>
      <c r="HA107" s="623"/>
      <c r="HB107" s="623"/>
      <c r="HC107" s="623"/>
      <c r="HD107" s="623"/>
      <c r="HE107" s="623"/>
      <c r="HF107" s="623"/>
      <c r="HG107" s="623"/>
      <c r="HH107" s="623"/>
      <c r="HI107" s="623"/>
      <c r="HJ107" s="623"/>
      <c r="HK107" s="623"/>
      <c r="HL107" s="623"/>
      <c r="HM107" s="623"/>
      <c r="HN107" s="623"/>
      <c r="HO107" s="623"/>
      <c r="HP107" s="623"/>
      <c r="HQ107" s="623"/>
      <c r="HR107" s="623"/>
      <c r="HS107" s="623"/>
      <c r="HT107" s="623"/>
      <c r="HU107" s="623"/>
      <c r="HV107" s="623"/>
      <c r="HW107" s="623"/>
      <c r="HX107" s="623"/>
      <c r="HY107" s="623"/>
      <c r="HZ107" s="623"/>
      <c r="IA107" s="623"/>
      <c r="IB107" s="623"/>
      <c r="IC107" s="623"/>
      <c r="ID107" s="623"/>
      <c r="IE107" s="623"/>
      <c r="IF107" s="623"/>
      <c r="IG107" s="623"/>
      <c r="IH107" s="623"/>
      <c r="II107" s="623"/>
      <c r="IJ107" s="623"/>
      <c r="IK107" s="623"/>
      <c r="IL107" s="623"/>
      <c r="IM107" s="623"/>
      <c r="IN107" s="623"/>
      <c r="IO107" s="623"/>
      <c r="IP107" s="623"/>
      <c r="IQ107" s="623"/>
      <c r="IR107" s="623"/>
      <c r="IS107" s="623"/>
      <c r="IT107" s="623"/>
      <c r="IU107" s="623"/>
      <c r="IV107" s="623"/>
      <c r="IW107" s="623"/>
      <c r="IX107" s="623"/>
      <c r="IY107" s="623"/>
      <c r="IZ107" s="623"/>
      <c r="JA107" s="623"/>
      <c r="JB107" s="623"/>
      <c r="JC107" s="623"/>
      <c r="JD107" s="623"/>
      <c r="JE107" s="623"/>
      <c r="JF107" s="623"/>
      <c r="JG107" s="623"/>
      <c r="JH107" s="623"/>
      <c r="JI107" s="623"/>
      <c r="JJ107" s="623"/>
      <c r="JK107" s="623"/>
      <c r="JL107" s="623"/>
      <c r="JM107" s="623"/>
      <c r="JN107" s="623"/>
      <c r="JO107" s="623"/>
      <c r="JP107" s="623"/>
      <c r="JQ107" s="623"/>
      <c r="JR107" s="623"/>
    </row>
    <row r="108" spans="1:278" ht="13.5">
      <c r="A108" s="45"/>
      <c r="B108" s="36"/>
      <c r="C108" s="48"/>
      <c r="D108" s="48"/>
      <c r="E108" s="36"/>
      <c r="FE108" s="623" t="s">
        <v>2301</v>
      </c>
      <c r="FF108" s="623" t="s">
        <v>2304</v>
      </c>
      <c r="FG108" s="623" t="s">
        <v>2304</v>
      </c>
      <c r="FH108" s="623" t="s">
        <v>2304</v>
      </c>
      <c r="FI108" s="623" t="s">
        <v>2304</v>
      </c>
      <c r="FJ108" s="623" t="s">
        <v>2304</v>
      </c>
      <c r="FK108" s="623" t="s">
        <v>2304</v>
      </c>
      <c r="FL108" s="623" t="s">
        <v>2304</v>
      </c>
      <c r="FM108" s="623" t="s">
        <v>2304</v>
      </c>
      <c r="FN108" s="623" t="s">
        <v>2304</v>
      </c>
      <c r="FO108" s="623" t="s">
        <v>2301</v>
      </c>
      <c r="FP108" s="623" t="s">
        <v>2304</v>
      </c>
      <c r="FQ108" s="623" t="s">
        <v>2304</v>
      </c>
      <c r="FR108" s="623" t="s">
        <v>2301</v>
      </c>
      <c r="FS108" s="623" t="s">
        <v>2304</v>
      </c>
      <c r="FT108" s="623" t="s">
        <v>2304</v>
      </c>
      <c r="FU108" s="623" t="s">
        <v>2304</v>
      </c>
      <c r="FV108" s="623" t="s">
        <v>2304</v>
      </c>
      <c r="FW108" s="623" t="s">
        <v>2304</v>
      </c>
      <c r="FX108" s="623" t="s">
        <v>2304</v>
      </c>
      <c r="FY108" s="623" t="s">
        <v>2304</v>
      </c>
      <c r="FZ108" s="623" t="s">
        <v>2304</v>
      </c>
      <c r="GA108" s="623" t="s">
        <v>2304</v>
      </c>
      <c r="GB108" s="623" t="s">
        <v>2304</v>
      </c>
      <c r="GC108" s="623" t="s">
        <v>2304</v>
      </c>
      <c r="GD108" s="623" t="s">
        <v>2304</v>
      </c>
      <c r="GE108" s="623" t="s">
        <v>2301</v>
      </c>
      <c r="GF108" s="623" t="s">
        <v>2304</v>
      </c>
      <c r="GG108" s="623" t="s">
        <v>2304</v>
      </c>
      <c r="GH108" s="623" t="s">
        <v>2304</v>
      </c>
      <c r="GI108" s="623" t="s">
        <v>2304</v>
      </c>
      <c r="GJ108" s="623" t="s">
        <v>2304</v>
      </c>
      <c r="GK108" s="623" t="s">
        <v>2301</v>
      </c>
      <c r="GL108" s="623" t="s">
        <v>2301</v>
      </c>
      <c r="GM108" s="623" t="s">
        <v>2301</v>
      </c>
      <c r="GN108" s="623" t="e">
        <v>#DIV/0!</v>
      </c>
      <c r="GO108" s="623" t="s">
        <v>2304</v>
      </c>
      <c r="GP108" s="623" t="s">
        <v>2304</v>
      </c>
      <c r="GQ108" s="623" t="s">
        <v>2304</v>
      </c>
      <c r="GR108" s="623" t="s">
        <v>2304</v>
      </c>
      <c r="GS108" s="623" t="s">
        <v>2304</v>
      </c>
      <c r="GT108" s="623" t="s">
        <v>2304</v>
      </c>
      <c r="GU108" s="623" t="s">
        <v>2304</v>
      </c>
      <c r="GV108" s="623" t="s">
        <v>2304</v>
      </c>
      <c r="GW108" s="623" t="s">
        <v>2304</v>
      </c>
      <c r="GX108" s="623" t="s">
        <v>2304</v>
      </c>
      <c r="GY108" s="623" t="s">
        <v>2301</v>
      </c>
      <c r="GZ108" s="623" t="s">
        <v>2301</v>
      </c>
      <c r="HA108" s="623" t="s">
        <v>2301</v>
      </c>
      <c r="HB108" s="623" t="s">
        <v>2301</v>
      </c>
      <c r="HC108" s="623" t="s">
        <v>2301</v>
      </c>
      <c r="HD108" s="623" t="s">
        <v>2301</v>
      </c>
      <c r="HE108" s="623" t="s">
        <v>2301</v>
      </c>
      <c r="HF108" s="623" t="s">
        <v>2301</v>
      </c>
      <c r="HG108" s="623" t="s">
        <v>2301</v>
      </c>
      <c r="HH108" s="623" t="s">
        <v>2304</v>
      </c>
      <c r="HI108" s="623" t="s">
        <v>2304</v>
      </c>
      <c r="HJ108" s="623" t="s">
        <v>2304</v>
      </c>
      <c r="HK108" s="623" t="s">
        <v>2304</v>
      </c>
      <c r="HL108" s="623" t="s">
        <v>2304</v>
      </c>
      <c r="HM108" s="623" t="s">
        <v>2304</v>
      </c>
      <c r="HN108" s="623" t="s">
        <v>2301</v>
      </c>
      <c r="HO108" s="623" t="s">
        <v>2304</v>
      </c>
      <c r="HP108" s="623" t="s">
        <v>2304</v>
      </c>
      <c r="HQ108" s="623" t="s">
        <v>2304</v>
      </c>
      <c r="HR108" s="623" t="s">
        <v>2304</v>
      </c>
      <c r="HS108" s="623" t="s">
        <v>2304</v>
      </c>
      <c r="HT108" s="623" t="s">
        <v>2304</v>
      </c>
      <c r="HU108" s="623" t="s">
        <v>2304</v>
      </c>
      <c r="HV108" s="623" t="s">
        <v>2304</v>
      </c>
      <c r="HW108" s="623" t="s">
        <v>2304</v>
      </c>
      <c r="HX108" s="623" t="s">
        <v>2304</v>
      </c>
      <c r="HY108" s="623" t="e">
        <v>#DIV/0!</v>
      </c>
      <c r="HZ108" s="623" t="s">
        <v>2304</v>
      </c>
      <c r="IA108" s="623" t="s">
        <v>2304</v>
      </c>
      <c r="IB108" s="623" t="s">
        <v>2301</v>
      </c>
      <c r="IC108" s="623" t="s">
        <v>2301</v>
      </c>
      <c r="ID108" s="623" t="s">
        <v>2304</v>
      </c>
      <c r="IE108" s="623" t="s">
        <v>2304</v>
      </c>
      <c r="IF108" s="623" t="s">
        <v>2304</v>
      </c>
      <c r="IG108" s="623" t="s">
        <v>2301</v>
      </c>
      <c r="IH108" s="623" t="s">
        <v>2301</v>
      </c>
      <c r="II108" s="623" t="s">
        <v>2304</v>
      </c>
      <c r="IJ108" s="623" t="s">
        <v>2304</v>
      </c>
      <c r="IK108" s="623" t="e">
        <v>#DIV/0!</v>
      </c>
      <c r="IL108" s="623" t="e">
        <v>#DIV/0!</v>
      </c>
      <c r="IM108" s="623" t="e">
        <v>#DIV/0!</v>
      </c>
      <c r="IN108" s="623" t="e">
        <v>#DIV/0!</v>
      </c>
      <c r="IO108" s="623" t="s">
        <v>2304</v>
      </c>
      <c r="IP108" s="623" t="s">
        <v>2304</v>
      </c>
      <c r="IQ108" s="623" t="s">
        <v>2301</v>
      </c>
      <c r="IR108" s="623" t="s">
        <v>2304</v>
      </c>
      <c r="IS108" s="623" t="s">
        <v>2304</v>
      </c>
      <c r="IT108" s="623" t="s">
        <v>2304</v>
      </c>
      <c r="IU108" s="623" t="s">
        <v>2304</v>
      </c>
      <c r="IV108" s="623" t="s">
        <v>2304</v>
      </c>
      <c r="IW108" s="623" t="s">
        <v>2304</v>
      </c>
      <c r="IX108" s="623" t="s">
        <v>2304</v>
      </c>
      <c r="IY108" s="623" t="s">
        <v>2304</v>
      </c>
      <c r="IZ108" s="623" t="s">
        <v>2304</v>
      </c>
      <c r="JA108" s="623" t="s">
        <v>2304</v>
      </c>
      <c r="JB108" s="623" t="s">
        <v>2304</v>
      </c>
      <c r="JC108" s="623" t="s">
        <v>2304</v>
      </c>
      <c r="JD108" s="623" t="s">
        <v>2301</v>
      </c>
      <c r="JE108" s="623" t="s">
        <v>2304</v>
      </c>
      <c r="JF108" s="623" t="s">
        <v>2304</v>
      </c>
      <c r="JG108" s="623" t="s">
        <v>2304</v>
      </c>
      <c r="JH108" s="623" t="s">
        <v>2304</v>
      </c>
      <c r="JI108" s="623" t="s">
        <v>2301</v>
      </c>
      <c r="JJ108" s="623" t="s">
        <v>2301</v>
      </c>
      <c r="JK108" s="623" t="s">
        <v>2304</v>
      </c>
      <c r="JL108" s="623" t="s">
        <v>2304</v>
      </c>
      <c r="JM108" s="623" t="s">
        <v>2304</v>
      </c>
      <c r="JN108" s="623" t="s">
        <v>2304</v>
      </c>
      <c r="JO108" s="623" t="s">
        <v>2304</v>
      </c>
      <c r="JP108" s="623" t="s">
        <v>2304</v>
      </c>
      <c r="JQ108" s="623" t="s">
        <v>2304</v>
      </c>
      <c r="JR108" s="623" t="s">
        <v>2304</v>
      </c>
    </row>
    <row r="109" spans="1:278" ht="13.5">
      <c r="A109" s="45"/>
      <c r="B109" s="36" t="str">
        <f>IF(B_Param&lt;0.1,IF((A_Param*B_Param/C_Param)&lt;0.1,"Hb, Ls, DeffT, ach",IF((A_Param*B_Param/C_Param)&gt;(10*(1+A_Param)),"Hb, Lf, DeffA, ach, eta","Alpha sentive to all parameters.")),"")</f>
        <v/>
      </c>
      <c r="C109" s="48"/>
      <c r="D109" s="48"/>
      <c r="E109" s="36"/>
      <c r="FE109" s="623" t="s">
        <v>43</v>
      </c>
      <c r="FF109" s="623" t="s">
        <v>43</v>
      </c>
      <c r="FG109" s="623" t="s">
        <v>43</v>
      </c>
      <c r="FH109" s="623" t="s">
        <v>43</v>
      </c>
      <c r="FI109" s="623" t="s">
        <v>43</v>
      </c>
      <c r="FJ109" s="623" t="s">
        <v>43</v>
      </c>
      <c r="FK109" s="623" t="s">
        <v>43</v>
      </c>
      <c r="FL109" s="623" t="s">
        <v>43</v>
      </c>
      <c r="FM109" s="623" t="s">
        <v>43</v>
      </c>
      <c r="FN109" s="623" t="s">
        <v>43</v>
      </c>
      <c r="FO109" s="623" t="s">
        <v>43</v>
      </c>
      <c r="FP109" s="623" t="s">
        <v>43</v>
      </c>
      <c r="FQ109" s="623" t="s">
        <v>43</v>
      </c>
      <c r="FR109" s="623" t="s">
        <v>43</v>
      </c>
      <c r="FS109" s="623" t="s">
        <v>43</v>
      </c>
      <c r="FT109" s="623" t="s">
        <v>43</v>
      </c>
      <c r="FU109" s="623" t="s">
        <v>43</v>
      </c>
      <c r="FV109" s="623" t="s">
        <v>43</v>
      </c>
      <c r="FW109" s="623" t="s">
        <v>43</v>
      </c>
      <c r="FX109" s="623" t="s">
        <v>43</v>
      </c>
      <c r="FY109" s="623" t="s">
        <v>43</v>
      </c>
      <c r="FZ109" s="623" t="s">
        <v>43</v>
      </c>
      <c r="GA109" s="623" t="s">
        <v>43</v>
      </c>
      <c r="GB109" s="623" t="s">
        <v>43</v>
      </c>
      <c r="GC109" s="623" t="s">
        <v>43</v>
      </c>
      <c r="GD109" s="623" t="s">
        <v>43</v>
      </c>
      <c r="GE109" s="623" t="s">
        <v>43</v>
      </c>
      <c r="GF109" s="623" t="s">
        <v>43</v>
      </c>
      <c r="GG109" s="623" t="s">
        <v>43</v>
      </c>
      <c r="GH109" s="623" t="s">
        <v>43</v>
      </c>
      <c r="GI109" s="623" t="s">
        <v>43</v>
      </c>
      <c r="GJ109" s="623" t="s">
        <v>43</v>
      </c>
      <c r="GK109" s="623" t="s">
        <v>43</v>
      </c>
      <c r="GL109" s="623" t="s">
        <v>43</v>
      </c>
      <c r="GM109" s="623" t="s">
        <v>43</v>
      </c>
      <c r="GN109" s="623" t="e">
        <v>#DIV/0!</v>
      </c>
      <c r="GO109" s="623" t="s">
        <v>43</v>
      </c>
      <c r="GP109" s="623" t="s">
        <v>43</v>
      </c>
      <c r="GQ109" s="623" t="s">
        <v>43</v>
      </c>
      <c r="GR109" s="623" t="s">
        <v>43</v>
      </c>
      <c r="GS109" s="623" t="s">
        <v>43</v>
      </c>
      <c r="GT109" s="623" t="s">
        <v>43</v>
      </c>
      <c r="GU109" s="623" t="s">
        <v>43</v>
      </c>
      <c r="GV109" s="623" t="s">
        <v>43</v>
      </c>
      <c r="GW109" s="623" t="s">
        <v>43</v>
      </c>
      <c r="GX109" s="623" t="s">
        <v>43</v>
      </c>
      <c r="GY109" s="623" t="s">
        <v>43</v>
      </c>
      <c r="GZ109" s="623" t="s">
        <v>43</v>
      </c>
      <c r="HA109" s="623" t="s">
        <v>43</v>
      </c>
      <c r="HB109" s="623" t="s">
        <v>43</v>
      </c>
      <c r="HC109" s="623" t="s">
        <v>43</v>
      </c>
      <c r="HD109" s="623" t="s">
        <v>43</v>
      </c>
      <c r="HE109" s="623" t="s">
        <v>43</v>
      </c>
      <c r="HF109" s="623" t="s">
        <v>43</v>
      </c>
      <c r="HG109" s="623" t="s">
        <v>43</v>
      </c>
      <c r="HH109" s="623" t="s">
        <v>43</v>
      </c>
      <c r="HI109" s="623" t="s">
        <v>43</v>
      </c>
      <c r="HJ109" s="623" t="s">
        <v>43</v>
      </c>
      <c r="HK109" s="623" t="s">
        <v>43</v>
      </c>
      <c r="HL109" s="623" t="s">
        <v>43</v>
      </c>
      <c r="HM109" s="623" t="s">
        <v>43</v>
      </c>
      <c r="HN109" s="623" t="s">
        <v>43</v>
      </c>
      <c r="HO109" s="623" t="s">
        <v>43</v>
      </c>
      <c r="HP109" s="623" t="s">
        <v>43</v>
      </c>
      <c r="HQ109" s="623" t="s">
        <v>43</v>
      </c>
      <c r="HR109" s="623" t="s">
        <v>43</v>
      </c>
      <c r="HS109" s="623" t="s">
        <v>43</v>
      </c>
      <c r="HT109" s="623" t="s">
        <v>43</v>
      </c>
      <c r="HU109" s="623" t="s">
        <v>43</v>
      </c>
      <c r="HV109" s="623" t="s">
        <v>43</v>
      </c>
      <c r="HW109" s="623" t="s">
        <v>43</v>
      </c>
      <c r="HX109" s="623" t="s">
        <v>43</v>
      </c>
      <c r="HY109" s="623" t="e">
        <v>#DIV/0!</v>
      </c>
      <c r="HZ109" s="623" t="s">
        <v>43</v>
      </c>
      <c r="IA109" s="623" t="s">
        <v>43</v>
      </c>
      <c r="IB109" s="623" t="s">
        <v>43</v>
      </c>
      <c r="IC109" s="623" t="s">
        <v>43</v>
      </c>
      <c r="ID109" s="623" t="s">
        <v>43</v>
      </c>
      <c r="IE109" s="623" t="s">
        <v>43</v>
      </c>
      <c r="IF109" s="623" t="s">
        <v>43</v>
      </c>
      <c r="IG109" s="623" t="s">
        <v>43</v>
      </c>
      <c r="IH109" s="623" t="s">
        <v>43</v>
      </c>
      <c r="II109" s="623" t="s">
        <v>43</v>
      </c>
      <c r="IJ109" s="623" t="s">
        <v>43</v>
      </c>
      <c r="IK109" s="623" t="e">
        <v>#DIV/0!</v>
      </c>
      <c r="IL109" s="623" t="e">
        <v>#DIV/0!</v>
      </c>
      <c r="IM109" s="623" t="e">
        <v>#DIV/0!</v>
      </c>
      <c r="IN109" s="623" t="e">
        <v>#DIV/0!</v>
      </c>
      <c r="IO109" s="623" t="s">
        <v>43</v>
      </c>
      <c r="IP109" s="623" t="s">
        <v>43</v>
      </c>
      <c r="IQ109" s="623" t="s">
        <v>43</v>
      </c>
      <c r="IR109" s="623" t="s">
        <v>43</v>
      </c>
      <c r="IS109" s="623" t="s">
        <v>43</v>
      </c>
      <c r="IT109" s="623" t="s">
        <v>43</v>
      </c>
      <c r="IU109" s="623" t="s">
        <v>43</v>
      </c>
      <c r="IV109" s="623" t="s">
        <v>43</v>
      </c>
      <c r="IW109" s="623" t="s">
        <v>43</v>
      </c>
      <c r="IX109" s="623" t="s">
        <v>43</v>
      </c>
      <c r="IY109" s="623" t="s">
        <v>43</v>
      </c>
      <c r="IZ109" s="623" t="s">
        <v>43</v>
      </c>
      <c r="JA109" s="623" t="s">
        <v>43</v>
      </c>
      <c r="JB109" s="623" t="s">
        <v>43</v>
      </c>
      <c r="JC109" s="623" t="s">
        <v>43</v>
      </c>
      <c r="JD109" s="623" t="s">
        <v>43</v>
      </c>
      <c r="JE109" s="623" t="s">
        <v>43</v>
      </c>
      <c r="JF109" s="623" t="s">
        <v>43</v>
      </c>
      <c r="JG109" s="623" t="s">
        <v>43</v>
      </c>
      <c r="JH109" s="623" t="s">
        <v>43</v>
      </c>
      <c r="JI109" s="623" t="s">
        <v>43</v>
      </c>
      <c r="JJ109" s="623" t="s">
        <v>43</v>
      </c>
      <c r="JK109" s="623" t="s">
        <v>43</v>
      </c>
      <c r="JL109" s="623" t="s">
        <v>43</v>
      </c>
      <c r="JM109" s="623" t="s">
        <v>43</v>
      </c>
      <c r="JN109" s="623" t="s">
        <v>43</v>
      </c>
      <c r="JO109" s="623" t="s">
        <v>43</v>
      </c>
      <c r="JP109" s="623" t="s">
        <v>43</v>
      </c>
      <c r="JQ109" s="623" t="s">
        <v>43</v>
      </c>
      <c r="JR109" s="623" t="s">
        <v>43</v>
      </c>
    </row>
    <row r="110" spans="1:278" ht="13.5">
      <c r="A110" s="45"/>
      <c r="B110" s="36"/>
      <c r="C110" s="36"/>
      <c r="D110" s="36"/>
      <c r="E110" s="36"/>
      <c r="FE110" s="623"/>
      <c r="FF110" s="623"/>
      <c r="FG110" s="623"/>
      <c r="FH110" s="623"/>
      <c r="FI110" s="623"/>
      <c r="FJ110" s="623"/>
      <c r="FK110" s="623"/>
      <c r="FL110" s="623"/>
      <c r="FM110" s="623"/>
      <c r="FN110" s="623"/>
      <c r="FO110" s="623"/>
      <c r="FP110" s="623"/>
      <c r="FQ110" s="623"/>
      <c r="FR110" s="623"/>
      <c r="FS110" s="623"/>
      <c r="FT110" s="623"/>
      <c r="FU110" s="623"/>
      <c r="FV110" s="623"/>
      <c r="FW110" s="623"/>
      <c r="FX110" s="623"/>
      <c r="FY110" s="623"/>
      <c r="FZ110" s="623"/>
      <c r="GA110" s="623"/>
      <c r="GB110" s="623"/>
      <c r="GC110" s="623"/>
      <c r="GD110" s="623"/>
      <c r="GE110" s="623"/>
      <c r="GF110" s="623"/>
      <c r="GG110" s="623"/>
      <c r="GH110" s="623"/>
      <c r="GI110" s="623"/>
      <c r="GJ110" s="623"/>
      <c r="GK110" s="623"/>
      <c r="GL110" s="623"/>
      <c r="GM110" s="623"/>
      <c r="GN110" s="623"/>
      <c r="GO110" s="623"/>
      <c r="GP110" s="623"/>
      <c r="GQ110" s="623"/>
      <c r="GR110" s="623"/>
      <c r="GS110" s="623"/>
      <c r="GT110" s="623"/>
      <c r="GU110" s="623"/>
      <c r="GV110" s="623"/>
      <c r="GW110" s="623"/>
      <c r="GX110" s="623"/>
      <c r="GY110" s="623"/>
      <c r="GZ110" s="623"/>
      <c r="HA110" s="623"/>
      <c r="HB110" s="623"/>
      <c r="HC110" s="623"/>
      <c r="HD110" s="623"/>
      <c r="HE110" s="623"/>
      <c r="HF110" s="623"/>
      <c r="HG110" s="623"/>
      <c r="HH110" s="623"/>
      <c r="HI110" s="623"/>
      <c r="HJ110" s="623"/>
      <c r="HK110" s="623"/>
      <c r="HL110" s="623"/>
      <c r="HM110" s="623"/>
      <c r="HN110" s="623"/>
      <c r="HO110" s="623"/>
      <c r="HP110" s="623"/>
      <c r="HQ110" s="623"/>
      <c r="HR110" s="623"/>
      <c r="HS110" s="623"/>
      <c r="HT110" s="623"/>
      <c r="HU110" s="623"/>
      <c r="HV110" s="623"/>
      <c r="HW110" s="623"/>
      <c r="HX110" s="623"/>
      <c r="HY110" s="623"/>
      <c r="HZ110" s="623"/>
      <c r="IA110" s="623"/>
      <c r="IB110" s="623"/>
      <c r="IC110" s="623"/>
      <c r="ID110" s="623"/>
      <c r="IE110" s="623"/>
      <c r="IF110" s="623"/>
      <c r="IG110" s="623"/>
      <c r="IH110" s="623"/>
      <c r="II110" s="623"/>
      <c r="IJ110" s="623"/>
      <c r="IK110" s="623"/>
      <c r="IL110" s="623"/>
      <c r="IM110" s="623"/>
      <c r="IN110" s="623"/>
      <c r="IO110" s="623"/>
      <c r="IP110" s="623"/>
      <c r="IQ110" s="623"/>
      <c r="IR110" s="623"/>
      <c r="IS110" s="623"/>
      <c r="IT110" s="623"/>
      <c r="IU110" s="623"/>
      <c r="IV110" s="623"/>
      <c r="IW110" s="623"/>
      <c r="IX110" s="623"/>
      <c r="IY110" s="623"/>
      <c r="IZ110" s="623"/>
      <c r="JA110" s="623"/>
      <c r="JB110" s="623"/>
      <c r="JC110" s="623"/>
      <c r="JD110" s="623"/>
      <c r="JE110" s="623"/>
      <c r="JF110" s="623"/>
      <c r="JG110" s="623"/>
      <c r="JH110" s="623"/>
      <c r="JI110" s="623"/>
      <c r="JJ110" s="623"/>
      <c r="JK110" s="623"/>
      <c r="JL110" s="623"/>
      <c r="JM110" s="623"/>
      <c r="JN110" s="623"/>
      <c r="JO110" s="623"/>
      <c r="JP110" s="623"/>
      <c r="JQ110" s="623"/>
      <c r="JR110" s="623"/>
    </row>
    <row r="111" spans="1:278" ht="13.5">
      <c r="A111" s="45"/>
      <c r="B111" s="36"/>
      <c r="C111" s="36"/>
      <c r="D111" s="36"/>
      <c r="E111" s="36"/>
      <c r="FE111" s="623"/>
      <c r="FF111" s="623"/>
      <c r="FG111" s="623"/>
      <c r="FH111" s="623"/>
      <c r="FI111" s="623"/>
      <c r="FJ111" s="623"/>
      <c r="FK111" s="623"/>
      <c r="FL111" s="623"/>
      <c r="FM111" s="623"/>
      <c r="FN111" s="623"/>
      <c r="FO111" s="623"/>
      <c r="FP111" s="623"/>
      <c r="FQ111" s="623"/>
      <c r="FR111" s="623"/>
      <c r="FS111" s="623"/>
      <c r="FT111" s="623"/>
      <c r="FU111" s="623"/>
      <c r="FV111" s="623"/>
      <c r="FW111" s="623"/>
      <c r="FX111" s="623"/>
      <c r="FY111" s="623"/>
      <c r="FZ111" s="623"/>
      <c r="GA111" s="623"/>
      <c r="GB111" s="623"/>
      <c r="GC111" s="623"/>
      <c r="GD111" s="623"/>
      <c r="GE111" s="623"/>
      <c r="GF111" s="623"/>
      <c r="GG111" s="623"/>
      <c r="GH111" s="623"/>
      <c r="GI111" s="623"/>
      <c r="GJ111" s="623"/>
      <c r="GK111" s="623"/>
      <c r="GL111" s="623"/>
      <c r="GM111" s="623"/>
      <c r="GN111" s="623"/>
      <c r="GO111" s="623"/>
      <c r="GP111" s="623"/>
      <c r="GQ111" s="623"/>
      <c r="GR111" s="623"/>
      <c r="GS111" s="623"/>
      <c r="GT111" s="623"/>
      <c r="GU111" s="623"/>
      <c r="GV111" s="623"/>
      <c r="GW111" s="623"/>
      <c r="GX111" s="623"/>
      <c r="GY111" s="623"/>
      <c r="GZ111" s="623"/>
      <c r="HA111" s="623"/>
      <c r="HB111" s="623"/>
      <c r="HC111" s="623"/>
      <c r="HD111" s="623"/>
      <c r="HE111" s="623"/>
      <c r="HF111" s="623"/>
      <c r="HG111" s="623"/>
      <c r="HH111" s="623"/>
      <c r="HI111" s="623"/>
      <c r="HJ111" s="623"/>
      <c r="HK111" s="623"/>
      <c r="HL111" s="623"/>
      <c r="HM111" s="623"/>
      <c r="HN111" s="623"/>
      <c r="HO111" s="623"/>
      <c r="HP111" s="623"/>
      <c r="HQ111" s="623"/>
      <c r="HR111" s="623"/>
      <c r="HS111" s="623"/>
      <c r="HT111" s="623"/>
      <c r="HU111" s="623"/>
      <c r="HV111" s="623"/>
      <c r="HW111" s="623"/>
      <c r="HX111" s="623"/>
      <c r="HY111" s="623"/>
      <c r="HZ111" s="623"/>
      <c r="IA111" s="623"/>
      <c r="IB111" s="623"/>
      <c r="IC111" s="623"/>
      <c r="ID111" s="623"/>
      <c r="IE111" s="623"/>
      <c r="IF111" s="623"/>
      <c r="IG111" s="623"/>
      <c r="IH111" s="623"/>
      <c r="II111" s="623"/>
      <c r="IJ111" s="623"/>
      <c r="IK111" s="623"/>
      <c r="IL111" s="623"/>
      <c r="IM111" s="623"/>
      <c r="IN111" s="623"/>
      <c r="IO111" s="623"/>
      <c r="IP111" s="623"/>
      <c r="IQ111" s="623"/>
      <c r="IR111" s="623"/>
      <c r="IS111" s="623"/>
      <c r="IT111" s="623"/>
      <c r="IU111" s="623"/>
      <c r="IV111" s="623"/>
      <c r="IW111" s="623"/>
      <c r="IX111" s="623"/>
      <c r="IY111" s="623"/>
      <c r="IZ111" s="623"/>
      <c r="JA111" s="623"/>
      <c r="JB111" s="623"/>
      <c r="JC111" s="623"/>
      <c r="JD111" s="623"/>
      <c r="JE111" s="623"/>
      <c r="JF111" s="623"/>
      <c r="JG111" s="623"/>
      <c r="JH111" s="623"/>
      <c r="JI111" s="623"/>
      <c r="JJ111" s="623"/>
      <c r="JK111" s="623"/>
      <c r="JL111" s="623"/>
      <c r="JM111" s="623"/>
      <c r="JN111" s="623"/>
      <c r="JO111" s="623"/>
      <c r="JP111" s="623"/>
      <c r="JQ111" s="623"/>
      <c r="JR111" s="623"/>
    </row>
    <row r="112" spans="1:278" ht="13.5">
      <c r="A112" s="766" t="s">
        <v>307</v>
      </c>
      <c r="B112" s="739"/>
      <c r="C112" s="88"/>
      <c r="D112" s="88"/>
      <c r="E112" s="88"/>
      <c r="FE112" s="635"/>
      <c r="FF112" s="635"/>
      <c r="FG112" s="635"/>
      <c r="FH112" s="635"/>
      <c r="FI112" s="635"/>
      <c r="FJ112" s="635"/>
      <c r="FK112" s="635"/>
      <c r="FL112" s="635"/>
      <c r="FM112" s="635"/>
      <c r="FN112" s="635"/>
      <c r="FO112" s="635"/>
      <c r="FP112" s="635"/>
      <c r="FQ112" s="635"/>
      <c r="FR112" s="635"/>
      <c r="FS112" s="635"/>
      <c r="FT112" s="635"/>
      <c r="FU112" s="635"/>
      <c r="FV112" s="635"/>
      <c r="FW112" s="635"/>
      <c r="FX112" s="635"/>
      <c r="FY112" s="635"/>
      <c r="FZ112" s="635"/>
      <c r="GA112" s="635"/>
      <c r="GB112" s="635"/>
      <c r="GC112" s="635"/>
      <c r="GD112" s="635"/>
      <c r="GE112" s="635"/>
      <c r="GF112" s="635"/>
      <c r="GG112" s="635"/>
      <c r="GH112" s="635"/>
      <c r="GI112" s="635"/>
      <c r="GJ112" s="635"/>
      <c r="GK112" s="635"/>
      <c r="GL112" s="635"/>
      <c r="GM112" s="635"/>
      <c r="GN112" s="635"/>
      <c r="GO112" s="635"/>
      <c r="GP112" s="635"/>
      <c r="GQ112" s="635"/>
      <c r="GR112" s="635"/>
      <c r="GS112" s="635"/>
      <c r="GT112" s="635"/>
      <c r="GU112" s="635"/>
      <c r="GV112" s="635"/>
      <c r="GW112" s="635"/>
      <c r="GX112" s="635"/>
      <c r="GY112" s="635"/>
      <c r="GZ112" s="635"/>
      <c r="HA112" s="635"/>
      <c r="HB112" s="635"/>
      <c r="HC112" s="635"/>
      <c r="HD112" s="635"/>
      <c r="HE112" s="635"/>
      <c r="HF112" s="635"/>
      <c r="HG112" s="635"/>
      <c r="HH112" s="635"/>
      <c r="HI112" s="635"/>
      <c r="HJ112" s="635"/>
      <c r="HK112" s="635"/>
      <c r="HL112" s="635"/>
      <c r="HM112" s="635"/>
      <c r="HN112" s="635"/>
      <c r="HO112" s="635"/>
      <c r="HP112" s="635"/>
      <c r="HQ112" s="635"/>
      <c r="HR112" s="635"/>
      <c r="HS112" s="635"/>
      <c r="HT112" s="635"/>
      <c r="HU112" s="635"/>
      <c r="HV112" s="635"/>
      <c r="HW112" s="635"/>
      <c r="HX112" s="635"/>
      <c r="HY112" s="635"/>
      <c r="HZ112" s="635"/>
      <c r="IA112" s="635"/>
      <c r="IB112" s="635"/>
      <c r="IC112" s="635"/>
      <c r="ID112" s="635"/>
      <c r="IE112" s="635"/>
      <c r="IF112" s="635"/>
      <c r="IG112" s="635"/>
      <c r="IH112" s="635"/>
      <c r="II112" s="635"/>
      <c r="IJ112" s="635"/>
      <c r="IK112" s="635"/>
      <c r="IL112" s="635"/>
      <c r="IM112" s="635"/>
      <c r="IN112" s="635"/>
      <c r="IO112" s="635"/>
      <c r="IP112" s="635"/>
      <c r="IQ112" s="635"/>
      <c r="IR112" s="635"/>
      <c r="IS112" s="635"/>
      <c r="IT112" s="635"/>
      <c r="IU112" s="635"/>
      <c r="IV112" s="635"/>
      <c r="IW112" s="635"/>
      <c r="IX112" s="635"/>
      <c r="IY112" s="635"/>
      <c r="IZ112" s="635"/>
      <c r="JA112" s="635"/>
      <c r="JB112" s="635"/>
      <c r="JC112" s="635"/>
      <c r="JD112" s="635"/>
      <c r="JE112" s="635"/>
      <c r="JF112" s="635"/>
      <c r="JG112" s="635"/>
      <c r="JH112" s="635"/>
      <c r="JI112" s="635"/>
      <c r="JJ112" s="635"/>
      <c r="JK112" s="635"/>
      <c r="JL112" s="635"/>
      <c r="JM112" s="635"/>
      <c r="JN112" s="635"/>
      <c r="JO112" s="635"/>
      <c r="JP112" s="635"/>
      <c r="JQ112" s="635"/>
      <c r="JR112" s="635"/>
    </row>
    <row r="113" spans="1:278" ht="13.5">
      <c r="A113" s="45"/>
      <c r="B113" s="36"/>
      <c r="C113" s="36"/>
      <c r="D113" s="36"/>
      <c r="E113" s="36"/>
      <c r="FE113" s="623"/>
      <c r="FF113" s="623"/>
      <c r="FG113" s="623"/>
      <c r="FH113" s="623"/>
      <c r="FI113" s="623"/>
      <c r="FJ113" s="623"/>
      <c r="FK113" s="623"/>
      <c r="FL113" s="623"/>
      <c r="FM113" s="623"/>
      <c r="FN113" s="623"/>
      <c r="FO113" s="623"/>
      <c r="FP113" s="623"/>
      <c r="FQ113" s="623"/>
      <c r="FR113" s="623"/>
      <c r="FS113" s="623"/>
      <c r="FT113" s="623"/>
      <c r="FU113" s="623"/>
      <c r="FV113" s="623"/>
      <c r="FW113" s="623"/>
      <c r="FX113" s="623"/>
      <c r="FY113" s="623"/>
      <c r="FZ113" s="623"/>
      <c r="GA113" s="623"/>
      <c r="GB113" s="623"/>
      <c r="GC113" s="623"/>
      <c r="GD113" s="623"/>
      <c r="GE113" s="623"/>
      <c r="GF113" s="623"/>
      <c r="GG113" s="623"/>
      <c r="GH113" s="623"/>
      <c r="GI113" s="623"/>
      <c r="GJ113" s="623"/>
      <c r="GK113" s="623"/>
      <c r="GL113" s="623"/>
      <c r="GM113" s="623"/>
      <c r="GN113" s="623"/>
      <c r="GO113" s="623"/>
      <c r="GP113" s="623"/>
      <c r="GQ113" s="623"/>
      <c r="GR113" s="623"/>
      <c r="GS113" s="623"/>
      <c r="GT113" s="623"/>
      <c r="GU113" s="623"/>
      <c r="GV113" s="623"/>
      <c r="GW113" s="623"/>
      <c r="GX113" s="623"/>
      <c r="GY113" s="623"/>
      <c r="GZ113" s="623"/>
      <c r="HA113" s="623"/>
      <c r="HB113" s="623"/>
      <c r="HC113" s="623"/>
      <c r="HD113" s="623"/>
      <c r="HE113" s="623"/>
      <c r="HF113" s="623"/>
      <c r="HG113" s="623"/>
      <c r="HH113" s="623"/>
      <c r="HI113" s="623"/>
      <c r="HJ113" s="623"/>
      <c r="HK113" s="623"/>
      <c r="HL113" s="623"/>
      <c r="HM113" s="623"/>
      <c r="HN113" s="623"/>
      <c r="HO113" s="623"/>
      <c r="HP113" s="623"/>
      <c r="HQ113" s="623"/>
      <c r="HR113" s="623"/>
      <c r="HS113" s="623"/>
      <c r="HT113" s="623"/>
      <c r="HU113" s="623"/>
      <c r="HV113" s="623"/>
      <c r="HW113" s="623"/>
      <c r="HX113" s="623"/>
      <c r="HY113" s="623"/>
      <c r="HZ113" s="623"/>
      <c r="IA113" s="623"/>
      <c r="IB113" s="623"/>
      <c r="IC113" s="623"/>
      <c r="ID113" s="623"/>
      <c r="IE113" s="623"/>
      <c r="IF113" s="623"/>
      <c r="IG113" s="623"/>
      <c r="IH113" s="623"/>
      <c r="II113" s="623"/>
      <c r="IJ113" s="623"/>
      <c r="IK113" s="623"/>
      <c r="IL113" s="623"/>
      <c r="IM113" s="623"/>
      <c r="IN113" s="623"/>
      <c r="IO113" s="623"/>
      <c r="IP113" s="623"/>
      <c r="IQ113" s="623"/>
      <c r="IR113" s="623"/>
      <c r="IS113" s="623"/>
      <c r="IT113" s="623"/>
      <c r="IU113" s="623"/>
      <c r="IV113" s="623"/>
      <c r="IW113" s="623"/>
      <c r="IX113" s="623"/>
      <c r="IY113" s="623"/>
      <c r="IZ113" s="623"/>
      <c r="JA113" s="623"/>
      <c r="JB113" s="623"/>
      <c r="JC113" s="623"/>
      <c r="JD113" s="623"/>
      <c r="JE113" s="623"/>
      <c r="JF113" s="623"/>
      <c r="JG113" s="623"/>
      <c r="JH113" s="623"/>
      <c r="JI113" s="623"/>
      <c r="JJ113" s="623"/>
      <c r="JK113" s="623"/>
      <c r="JL113" s="623"/>
      <c r="JM113" s="623"/>
      <c r="JN113" s="623"/>
      <c r="JO113" s="623"/>
      <c r="JP113" s="623"/>
      <c r="JQ113" s="623"/>
      <c r="JR113" s="623"/>
    </row>
    <row r="114" spans="1:278" ht="13.5">
      <c r="A114" s="45"/>
      <c r="B114" s="36"/>
      <c r="C114" s="48"/>
      <c r="D114" s="48"/>
      <c r="E114" s="36"/>
      <c r="FE114" s="623" t="s">
        <v>2302</v>
      </c>
      <c r="FF114" s="623" t="s">
        <v>2305</v>
      </c>
      <c r="FG114" s="623" t="s">
        <v>2305</v>
      </c>
      <c r="FH114" s="623" t="s">
        <v>2305</v>
      </c>
      <c r="FI114" s="623" t="s">
        <v>2305</v>
      </c>
      <c r="FJ114" s="623" t="s">
        <v>2305</v>
      </c>
      <c r="FK114" s="623" t="s">
        <v>2305</v>
      </c>
      <c r="FL114" s="623" t="s">
        <v>2305</v>
      </c>
      <c r="FM114" s="623" t="s">
        <v>2305</v>
      </c>
      <c r="FN114" s="623" t="s">
        <v>2305</v>
      </c>
      <c r="FO114" s="623" t="s">
        <v>2302</v>
      </c>
      <c r="FP114" s="623" t="s">
        <v>2305</v>
      </c>
      <c r="FQ114" s="623" t="s">
        <v>2305</v>
      </c>
      <c r="FR114" s="623" t="s">
        <v>2302</v>
      </c>
      <c r="FS114" s="623" t="s">
        <v>2305</v>
      </c>
      <c r="FT114" s="623" t="s">
        <v>2305</v>
      </c>
      <c r="FU114" s="623" t="s">
        <v>2305</v>
      </c>
      <c r="FV114" s="623" t="s">
        <v>2305</v>
      </c>
      <c r="FW114" s="623" t="s">
        <v>2305</v>
      </c>
      <c r="FX114" s="623" t="s">
        <v>2305</v>
      </c>
      <c r="FY114" s="623" t="s">
        <v>2305</v>
      </c>
      <c r="FZ114" s="623" t="s">
        <v>2305</v>
      </c>
      <c r="GA114" s="623" t="s">
        <v>2305</v>
      </c>
      <c r="GB114" s="623" t="s">
        <v>2305</v>
      </c>
      <c r="GC114" s="623" t="s">
        <v>2305</v>
      </c>
      <c r="GD114" s="623" t="s">
        <v>2305</v>
      </c>
      <c r="GE114" s="623" t="s">
        <v>2302</v>
      </c>
      <c r="GF114" s="623" t="s">
        <v>2305</v>
      </c>
      <c r="GG114" s="623" t="s">
        <v>2305</v>
      </c>
      <c r="GH114" s="623" t="s">
        <v>2305</v>
      </c>
      <c r="GI114" s="623" t="s">
        <v>2305</v>
      </c>
      <c r="GJ114" s="623" t="s">
        <v>2305</v>
      </c>
      <c r="GK114" s="623" t="s">
        <v>2302</v>
      </c>
      <c r="GL114" s="623" t="s">
        <v>2302</v>
      </c>
      <c r="GM114" s="623" t="s">
        <v>2302</v>
      </c>
      <c r="GN114" s="623" t="e">
        <v>#DIV/0!</v>
      </c>
      <c r="GO114" s="623" t="s">
        <v>2305</v>
      </c>
      <c r="GP114" s="623" t="s">
        <v>2305</v>
      </c>
      <c r="GQ114" s="623" t="s">
        <v>2305</v>
      </c>
      <c r="GR114" s="623" t="s">
        <v>2305</v>
      </c>
      <c r="GS114" s="623" t="s">
        <v>2305</v>
      </c>
      <c r="GT114" s="623" t="s">
        <v>2305</v>
      </c>
      <c r="GU114" s="623" t="s">
        <v>2305</v>
      </c>
      <c r="GV114" s="623" t="s">
        <v>2305</v>
      </c>
      <c r="GW114" s="623" t="s">
        <v>2305</v>
      </c>
      <c r="GX114" s="623" t="s">
        <v>2305</v>
      </c>
      <c r="GY114" s="623" t="s">
        <v>2302</v>
      </c>
      <c r="GZ114" s="623" t="s">
        <v>2302</v>
      </c>
      <c r="HA114" s="623" t="s">
        <v>2302</v>
      </c>
      <c r="HB114" s="623" t="s">
        <v>2302</v>
      </c>
      <c r="HC114" s="623" t="s">
        <v>2302</v>
      </c>
      <c r="HD114" s="623" t="s">
        <v>2302</v>
      </c>
      <c r="HE114" s="623" t="s">
        <v>2302</v>
      </c>
      <c r="HF114" s="623" t="s">
        <v>2302</v>
      </c>
      <c r="HG114" s="623" t="s">
        <v>2302</v>
      </c>
      <c r="HH114" s="623" t="s">
        <v>2305</v>
      </c>
      <c r="HI114" s="623" t="s">
        <v>2305</v>
      </c>
      <c r="HJ114" s="623" t="s">
        <v>2305</v>
      </c>
      <c r="HK114" s="623" t="s">
        <v>2305</v>
      </c>
      <c r="HL114" s="623" t="s">
        <v>2305</v>
      </c>
      <c r="HM114" s="623" t="s">
        <v>2305</v>
      </c>
      <c r="HN114" s="623" t="s">
        <v>2302</v>
      </c>
      <c r="HO114" s="623" t="s">
        <v>2305</v>
      </c>
      <c r="HP114" s="623" t="s">
        <v>2305</v>
      </c>
      <c r="HQ114" s="623" t="s">
        <v>2305</v>
      </c>
      <c r="HR114" s="623" t="s">
        <v>2305</v>
      </c>
      <c r="HS114" s="623" t="s">
        <v>2305</v>
      </c>
      <c r="HT114" s="623" t="s">
        <v>2305</v>
      </c>
      <c r="HU114" s="623" t="s">
        <v>2305</v>
      </c>
      <c r="HV114" s="623" t="s">
        <v>2305</v>
      </c>
      <c r="HW114" s="623" t="s">
        <v>2305</v>
      </c>
      <c r="HX114" s="623" t="s">
        <v>2305</v>
      </c>
      <c r="HY114" s="623" t="e">
        <v>#DIV/0!</v>
      </c>
      <c r="HZ114" s="623" t="s">
        <v>2305</v>
      </c>
      <c r="IA114" s="623" t="s">
        <v>2305</v>
      </c>
      <c r="IB114" s="623" t="s">
        <v>2302</v>
      </c>
      <c r="IC114" s="623" t="s">
        <v>2302</v>
      </c>
      <c r="ID114" s="623" t="s">
        <v>2305</v>
      </c>
      <c r="IE114" s="623" t="s">
        <v>2305</v>
      </c>
      <c r="IF114" s="623" t="s">
        <v>2305</v>
      </c>
      <c r="IG114" s="623" t="s">
        <v>2302</v>
      </c>
      <c r="IH114" s="623" t="s">
        <v>2302</v>
      </c>
      <c r="II114" s="623" t="s">
        <v>2305</v>
      </c>
      <c r="IJ114" s="623" t="s">
        <v>2305</v>
      </c>
      <c r="IK114" s="623" t="e">
        <v>#DIV/0!</v>
      </c>
      <c r="IL114" s="623" t="e">
        <v>#DIV/0!</v>
      </c>
      <c r="IM114" s="623" t="e">
        <v>#DIV/0!</v>
      </c>
      <c r="IN114" s="623" t="e">
        <v>#DIV/0!</v>
      </c>
      <c r="IO114" s="623" t="s">
        <v>2305</v>
      </c>
      <c r="IP114" s="623" t="s">
        <v>2305</v>
      </c>
      <c r="IQ114" s="623" t="s">
        <v>2302</v>
      </c>
      <c r="IR114" s="623" t="s">
        <v>2305</v>
      </c>
      <c r="IS114" s="623" t="s">
        <v>2305</v>
      </c>
      <c r="IT114" s="623" t="s">
        <v>2305</v>
      </c>
      <c r="IU114" s="623" t="s">
        <v>2305</v>
      </c>
      <c r="IV114" s="623" t="s">
        <v>2305</v>
      </c>
      <c r="IW114" s="623" t="s">
        <v>2305</v>
      </c>
      <c r="IX114" s="623" t="s">
        <v>2305</v>
      </c>
      <c r="IY114" s="623" t="s">
        <v>2305</v>
      </c>
      <c r="IZ114" s="623" t="s">
        <v>2305</v>
      </c>
      <c r="JA114" s="623" t="s">
        <v>2305</v>
      </c>
      <c r="JB114" s="623" t="s">
        <v>2305</v>
      </c>
      <c r="JC114" s="623" t="s">
        <v>2305</v>
      </c>
      <c r="JD114" s="623" t="s">
        <v>2302</v>
      </c>
      <c r="JE114" s="623" t="s">
        <v>2305</v>
      </c>
      <c r="JF114" s="623" t="s">
        <v>2305</v>
      </c>
      <c r="JG114" s="623" t="s">
        <v>2305</v>
      </c>
      <c r="JH114" s="623" t="s">
        <v>2305</v>
      </c>
      <c r="JI114" s="623" t="s">
        <v>2302</v>
      </c>
      <c r="JJ114" s="623" t="s">
        <v>2302</v>
      </c>
      <c r="JK114" s="623" t="s">
        <v>2305</v>
      </c>
      <c r="JL114" s="623" t="s">
        <v>2305</v>
      </c>
      <c r="JM114" s="623" t="s">
        <v>2305</v>
      </c>
      <c r="JN114" s="623" t="s">
        <v>2305</v>
      </c>
      <c r="JO114" s="623" t="s">
        <v>2305</v>
      </c>
      <c r="JP114" s="623" t="s">
        <v>2305</v>
      </c>
      <c r="JQ114" s="623" t="s">
        <v>2305</v>
      </c>
      <c r="JR114" s="623" t="s">
        <v>2305</v>
      </c>
    </row>
    <row r="115" spans="1:278" ht="13.5">
      <c r="A115" s="45"/>
      <c r="B115" s="36" t="str">
        <f>IF(B_Param&lt;0.1,IF((A_Param*B_Param/C_Param)&lt;0.1,"Qsoil_Qb, Lf, DeffA, eta",IF((A_Param*B_Param/C_Param)&gt;(10*(1+A_Param)),"Qsoil_Qb, Ls, DeffT","Alpha sentive to all parameters.")),"")</f>
        <v/>
      </c>
      <c r="C115" s="48"/>
      <c r="D115" s="48"/>
      <c r="E115" s="36"/>
      <c r="FE115" s="623" t="s">
        <v>43</v>
      </c>
      <c r="FF115" s="623" t="s">
        <v>43</v>
      </c>
      <c r="FG115" s="623" t="s">
        <v>43</v>
      </c>
      <c r="FH115" s="623" t="s">
        <v>43</v>
      </c>
      <c r="FI115" s="623" t="s">
        <v>43</v>
      </c>
      <c r="FJ115" s="623" t="s">
        <v>43</v>
      </c>
      <c r="FK115" s="623" t="s">
        <v>43</v>
      </c>
      <c r="FL115" s="623" t="s">
        <v>43</v>
      </c>
      <c r="FM115" s="623" t="s">
        <v>43</v>
      </c>
      <c r="FN115" s="623" t="s">
        <v>43</v>
      </c>
      <c r="FO115" s="623" t="s">
        <v>43</v>
      </c>
      <c r="FP115" s="623" t="s">
        <v>43</v>
      </c>
      <c r="FQ115" s="623" t="s">
        <v>43</v>
      </c>
      <c r="FR115" s="623" t="s">
        <v>43</v>
      </c>
      <c r="FS115" s="623" t="s">
        <v>43</v>
      </c>
      <c r="FT115" s="623" t="s">
        <v>43</v>
      </c>
      <c r="FU115" s="623" t="s">
        <v>43</v>
      </c>
      <c r="FV115" s="623" t="s">
        <v>43</v>
      </c>
      <c r="FW115" s="623" t="s">
        <v>43</v>
      </c>
      <c r="FX115" s="623" t="s">
        <v>43</v>
      </c>
      <c r="FY115" s="623" t="s">
        <v>43</v>
      </c>
      <c r="FZ115" s="623" t="s">
        <v>43</v>
      </c>
      <c r="GA115" s="623" t="s">
        <v>43</v>
      </c>
      <c r="GB115" s="623" t="s">
        <v>43</v>
      </c>
      <c r="GC115" s="623" t="s">
        <v>43</v>
      </c>
      <c r="GD115" s="623" t="s">
        <v>43</v>
      </c>
      <c r="GE115" s="623" t="s">
        <v>43</v>
      </c>
      <c r="GF115" s="623" t="s">
        <v>43</v>
      </c>
      <c r="GG115" s="623" t="s">
        <v>43</v>
      </c>
      <c r="GH115" s="623" t="s">
        <v>43</v>
      </c>
      <c r="GI115" s="623" t="s">
        <v>43</v>
      </c>
      <c r="GJ115" s="623" t="s">
        <v>43</v>
      </c>
      <c r="GK115" s="623" t="s">
        <v>43</v>
      </c>
      <c r="GL115" s="623" t="s">
        <v>43</v>
      </c>
      <c r="GM115" s="623" t="s">
        <v>43</v>
      </c>
      <c r="GN115" s="623" t="e">
        <v>#DIV/0!</v>
      </c>
      <c r="GO115" s="623" t="s">
        <v>43</v>
      </c>
      <c r="GP115" s="623" t="s">
        <v>43</v>
      </c>
      <c r="GQ115" s="623" t="s">
        <v>43</v>
      </c>
      <c r="GR115" s="623" t="s">
        <v>43</v>
      </c>
      <c r="GS115" s="623" t="s">
        <v>43</v>
      </c>
      <c r="GT115" s="623" t="s">
        <v>43</v>
      </c>
      <c r="GU115" s="623" t="s">
        <v>43</v>
      </c>
      <c r="GV115" s="623" t="s">
        <v>43</v>
      </c>
      <c r="GW115" s="623" t="s">
        <v>43</v>
      </c>
      <c r="GX115" s="623" t="s">
        <v>43</v>
      </c>
      <c r="GY115" s="623" t="s">
        <v>43</v>
      </c>
      <c r="GZ115" s="623" t="s">
        <v>43</v>
      </c>
      <c r="HA115" s="623" t="s">
        <v>43</v>
      </c>
      <c r="HB115" s="623" t="s">
        <v>43</v>
      </c>
      <c r="HC115" s="623" t="s">
        <v>43</v>
      </c>
      <c r="HD115" s="623" t="s">
        <v>43</v>
      </c>
      <c r="HE115" s="623" t="s">
        <v>43</v>
      </c>
      <c r="HF115" s="623" t="s">
        <v>43</v>
      </c>
      <c r="HG115" s="623" t="s">
        <v>43</v>
      </c>
      <c r="HH115" s="623" t="s">
        <v>43</v>
      </c>
      <c r="HI115" s="623" t="s">
        <v>43</v>
      </c>
      <c r="HJ115" s="623" t="s">
        <v>43</v>
      </c>
      <c r="HK115" s="623" t="s">
        <v>43</v>
      </c>
      <c r="HL115" s="623" t="s">
        <v>43</v>
      </c>
      <c r="HM115" s="623" t="s">
        <v>43</v>
      </c>
      <c r="HN115" s="623" t="s">
        <v>43</v>
      </c>
      <c r="HO115" s="623" t="s">
        <v>43</v>
      </c>
      <c r="HP115" s="623" t="s">
        <v>43</v>
      </c>
      <c r="HQ115" s="623" t="s">
        <v>43</v>
      </c>
      <c r="HR115" s="623" t="s">
        <v>43</v>
      </c>
      <c r="HS115" s="623" t="s">
        <v>43</v>
      </c>
      <c r="HT115" s="623" t="s">
        <v>43</v>
      </c>
      <c r="HU115" s="623" t="s">
        <v>43</v>
      </c>
      <c r="HV115" s="623" t="s">
        <v>43</v>
      </c>
      <c r="HW115" s="623" t="s">
        <v>43</v>
      </c>
      <c r="HX115" s="623" t="s">
        <v>43</v>
      </c>
      <c r="HY115" s="623" t="e">
        <v>#DIV/0!</v>
      </c>
      <c r="HZ115" s="623" t="s">
        <v>43</v>
      </c>
      <c r="IA115" s="623" t="s">
        <v>43</v>
      </c>
      <c r="IB115" s="623" t="s">
        <v>43</v>
      </c>
      <c r="IC115" s="623" t="s">
        <v>43</v>
      </c>
      <c r="ID115" s="623" t="s">
        <v>43</v>
      </c>
      <c r="IE115" s="623" t="s">
        <v>43</v>
      </c>
      <c r="IF115" s="623" t="s">
        <v>43</v>
      </c>
      <c r="IG115" s="623" t="s">
        <v>43</v>
      </c>
      <c r="IH115" s="623" t="s">
        <v>43</v>
      </c>
      <c r="II115" s="623" t="s">
        <v>43</v>
      </c>
      <c r="IJ115" s="623" t="s">
        <v>43</v>
      </c>
      <c r="IK115" s="623" t="e">
        <v>#DIV/0!</v>
      </c>
      <c r="IL115" s="623" t="e">
        <v>#DIV/0!</v>
      </c>
      <c r="IM115" s="623" t="e">
        <v>#DIV/0!</v>
      </c>
      <c r="IN115" s="623" t="e">
        <v>#DIV/0!</v>
      </c>
      <c r="IO115" s="623" t="s">
        <v>43</v>
      </c>
      <c r="IP115" s="623" t="s">
        <v>43</v>
      </c>
      <c r="IQ115" s="623" t="s">
        <v>43</v>
      </c>
      <c r="IR115" s="623" t="s">
        <v>43</v>
      </c>
      <c r="IS115" s="623" t="s">
        <v>43</v>
      </c>
      <c r="IT115" s="623" t="s">
        <v>43</v>
      </c>
      <c r="IU115" s="623" t="s">
        <v>43</v>
      </c>
      <c r="IV115" s="623" t="s">
        <v>43</v>
      </c>
      <c r="IW115" s="623" t="s">
        <v>43</v>
      </c>
      <c r="IX115" s="623" t="s">
        <v>43</v>
      </c>
      <c r="IY115" s="623" t="s">
        <v>43</v>
      </c>
      <c r="IZ115" s="623" t="s">
        <v>43</v>
      </c>
      <c r="JA115" s="623" t="s">
        <v>43</v>
      </c>
      <c r="JB115" s="623" t="s">
        <v>43</v>
      </c>
      <c r="JC115" s="623" t="s">
        <v>43</v>
      </c>
      <c r="JD115" s="623" t="s">
        <v>43</v>
      </c>
      <c r="JE115" s="623" t="s">
        <v>43</v>
      </c>
      <c r="JF115" s="623" t="s">
        <v>43</v>
      </c>
      <c r="JG115" s="623" t="s">
        <v>43</v>
      </c>
      <c r="JH115" s="623" t="s">
        <v>43</v>
      </c>
      <c r="JI115" s="623" t="s">
        <v>43</v>
      </c>
      <c r="JJ115" s="623" t="s">
        <v>43</v>
      </c>
      <c r="JK115" s="623" t="s">
        <v>43</v>
      </c>
      <c r="JL115" s="623" t="s">
        <v>43</v>
      </c>
      <c r="JM115" s="623" t="s">
        <v>43</v>
      </c>
      <c r="JN115" s="623" t="s">
        <v>43</v>
      </c>
      <c r="JO115" s="623" t="s">
        <v>43</v>
      </c>
      <c r="JP115" s="623" t="s">
        <v>43</v>
      </c>
      <c r="JQ115" s="623" t="s">
        <v>43</v>
      </c>
      <c r="JR115" s="623" t="s">
        <v>43</v>
      </c>
    </row>
    <row r="116" spans="1:278" ht="13.5">
      <c r="A116" s="45"/>
      <c r="B116" s="36"/>
      <c r="C116" s="48"/>
      <c r="D116" s="48"/>
      <c r="E116" s="36"/>
      <c r="FE116" s="623"/>
      <c r="FF116" s="623"/>
      <c r="FG116" s="623"/>
      <c r="FH116" s="623"/>
      <c r="FI116" s="623"/>
      <c r="FJ116" s="623"/>
      <c r="FK116" s="623"/>
      <c r="FL116" s="623"/>
      <c r="FM116" s="623"/>
      <c r="FN116" s="623"/>
      <c r="FO116" s="623"/>
      <c r="FP116" s="623"/>
      <c r="FQ116" s="623"/>
      <c r="FR116" s="623"/>
      <c r="FS116" s="623"/>
      <c r="FT116" s="623"/>
      <c r="FU116" s="623"/>
      <c r="FV116" s="623"/>
      <c r="FW116" s="623"/>
      <c r="FX116" s="623"/>
      <c r="FY116" s="623"/>
      <c r="FZ116" s="623"/>
      <c r="GA116" s="623"/>
      <c r="GB116" s="623"/>
      <c r="GC116" s="623"/>
      <c r="GD116" s="623"/>
      <c r="GE116" s="623"/>
      <c r="GF116" s="623"/>
      <c r="GG116" s="623"/>
      <c r="GH116" s="623"/>
      <c r="GI116" s="623"/>
      <c r="GJ116" s="623"/>
      <c r="GK116" s="623"/>
      <c r="GL116" s="623"/>
      <c r="GM116" s="623"/>
      <c r="GN116" s="623"/>
      <c r="GO116" s="623"/>
      <c r="GP116" s="623"/>
      <c r="GQ116" s="623"/>
      <c r="GR116" s="623"/>
      <c r="GS116" s="623"/>
      <c r="GT116" s="623"/>
      <c r="GU116" s="623"/>
      <c r="GV116" s="623"/>
      <c r="GW116" s="623"/>
      <c r="GX116" s="623"/>
      <c r="GY116" s="623"/>
      <c r="GZ116" s="623"/>
      <c r="HA116" s="623"/>
      <c r="HB116" s="623"/>
      <c r="HC116" s="623"/>
      <c r="HD116" s="623"/>
      <c r="HE116" s="623"/>
      <c r="HF116" s="623"/>
      <c r="HG116" s="623"/>
      <c r="HH116" s="623"/>
      <c r="HI116" s="623"/>
      <c r="HJ116" s="623"/>
      <c r="HK116" s="623"/>
      <c r="HL116" s="623"/>
      <c r="HM116" s="623"/>
      <c r="HN116" s="623"/>
      <c r="HO116" s="623"/>
      <c r="HP116" s="623"/>
      <c r="HQ116" s="623"/>
      <c r="HR116" s="623"/>
      <c r="HS116" s="623"/>
      <c r="HT116" s="623"/>
      <c r="HU116" s="623"/>
      <c r="HV116" s="623"/>
      <c r="HW116" s="623"/>
      <c r="HX116" s="623"/>
      <c r="HY116" s="623"/>
      <c r="HZ116" s="623"/>
      <c r="IA116" s="623"/>
      <c r="IB116" s="623"/>
      <c r="IC116" s="623"/>
      <c r="ID116" s="623"/>
      <c r="IE116" s="623"/>
      <c r="IF116" s="623"/>
      <c r="IG116" s="623"/>
      <c r="IH116" s="623"/>
      <c r="II116" s="623"/>
      <c r="IJ116" s="623"/>
      <c r="IK116" s="623"/>
      <c r="IL116" s="623"/>
      <c r="IM116" s="623"/>
      <c r="IN116" s="623"/>
      <c r="IO116" s="623"/>
      <c r="IP116" s="623"/>
      <c r="IQ116" s="623"/>
      <c r="IR116" s="623"/>
      <c r="IS116" s="623"/>
      <c r="IT116" s="623"/>
      <c r="IU116" s="623"/>
      <c r="IV116" s="623"/>
      <c r="IW116" s="623"/>
      <c r="IX116" s="623"/>
      <c r="IY116" s="623"/>
      <c r="IZ116" s="623"/>
      <c r="JA116" s="623"/>
      <c r="JB116" s="623"/>
      <c r="JC116" s="623"/>
      <c r="JD116" s="623"/>
      <c r="JE116" s="623"/>
      <c r="JF116" s="623"/>
      <c r="JG116" s="623"/>
      <c r="JH116" s="623"/>
      <c r="JI116" s="623"/>
      <c r="JJ116" s="623"/>
      <c r="JK116" s="623"/>
      <c r="JL116" s="623"/>
      <c r="JM116" s="623"/>
      <c r="JN116" s="623"/>
      <c r="JO116" s="623"/>
      <c r="JP116" s="623"/>
      <c r="JQ116" s="623"/>
      <c r="JR116" s="623"/>
    </row>
    <row r="117" spans="1:278" ht="13.5">
      <c r="A117" s="73"/>
      <c r="B117" s="74"/>
      <c r="C117" s="74"/>
      <c r="D117" s="74"/>
      <c r="E117" s="74"/>
      <c r="FE117" s="631"/>
      <c r="FF117" s="631"/>
      <c r="FG117" s="631"/>
      <c r="FH117" s="631"/>
      <c r="FI117" s="631"/>
      <c r="FJ117" s="631"/>
      <c r="FK117" s="631"/>
      <c r="FL117" s="631"/>
      <c r="FM117" s="631"/>
      <c r="FN117" s="631"/>
      <c r="FO117" s="631"/>
      <c r="FP117" s="631"/>
      <c r="FQ117" s="631"/>
      <c r="FR117" s="631"/>
      <c r="FS117" s="631"/>
      <c r="FT117" s="631"/>
      <c r="FU117" s="631"/>
      <c r="FV117" s="631"/>
      <c r="FW117" s="631"/>
      <c r="FX117" s="631"/>
      <c r="FY117" s="631"/>
      <c r="FZ117" s="631"/>
      <c r="GA117" s="631"/>
      <c r="GB117" s="631"/>
      <c r="GC117" s="631"/>
      <c r="GD117" s="631"/>
      <c r="GE117" s="631"/>
      <c r="GF117" s="631"/>
      <c r="GG117" s="631"/>
      <c r="GH117" s="631"/>
      <c r="GI117" s="631"/>
      <c r="GJ117" s="631"/>
      <c r="GK117" s="631"/>
      <c r="GL117" s="631"/>
      <c r="GM117" s="631"/>
      <c r="GN117" s="631"/>
      <c r="GO117" s="631"/>
      <c r="GP117" s="631"/>
      <c r="GQ117" s="631"/>
      <c r="GR117" s="631"/>
      <c r="GS117" s="631"/>
      <c r="GT117" s="631"/>
      <c r="GU117" s="631"/>
      <c r="GV117" s="631"/>
      <c r="GW117" s="631"/>
      <c r="GX117" s="631"/>
      <c r="GY117" s="631"/>
      <c r="GZ117" s="631"/>
      <c r="HA117" s="631"/>
      <c r="HB117" s="631"/>
      <c r="HC117" s="631"/>
      <c r="HD117" s="631"/>
      <c r="HE117" s="631"/>
      <c r="HF117" s="631"/>
      <c r="HG117" s="631"/>
      <c r="HH117" s="631"/>
      <c r="HI117" s="631"/>
      <c r="HJ117" s="631"/>
      <c r="HK117" s="631"/>
      <c r="HL117" s="631"/>
      <c r="HM117" s="631"/>
      <c r="HN117" s="631"/>
      <c r="HO117" s="631"/>
      <c r="HP117" s="631"/>
      <c r="HQ117" s="631"/>
      <c r="HR117" s="631"/>
      <c r="HS117" s="631"/>
      <c r="HT117" s="631"/>
      <c r="HU117" s="631"/>
      <c r="HV117" s="631"/>
      <c r="HW117" s="631"/>
      <c r="HX117" s="631"/>
      <c r="HY117" s="631"/>
      <c r="HZ117" s="631"/>
      <c r="IA117" s="631"/>
      <c r="IB117" s="631"/>
      <c r="IC117" s="631"/>
      <c r="ID117" s="631"/>
      <c r="IE117" s="631"/>
      <c r="IF117" s="631"/>
      <c r="IG117" s="631"/>
      <c r="IH117" s="631"/>
      <c r="II117" s="631"/>
      <c r="IJ117" s="631"/>
      <c r="IK117" s="631"/>
      <c r="IL117" s="631"/>
      <c r="IM117" s="631"/>
      <c r="IN117" s="631"/>
      <c r="IO117" s="631"/>
      <c r="IP117" s="631"/>
      <c r="IQ117" s="631"/>
      <c r="IR117" s="631"/>
      <c r="IS117" s="631"/>
      <c r="IT117" s="631"/>
      <c r="IU117" s="631"/>
      <c r="IV117" s="631"/>
      <c r="IW117" s="631"/>
      <c r="IX117" s="631"/>
      <c r="IY117" s="631"/>
      <c r="IZ117" s="631"/>
      <c r="JA117" s="631"/>
      <c r="JB117" s="631"/>
      <c r="JC117" s="631"/>
      <c r="JD117" s="631"/>
      <c r="JE117" s="631"/>
      <c r="JF117" s="631"/>
      <c r="JG117" s="631"/>
      <c r="JH117" s="631"/>
      <c r="JI117" s="631"/>
      <c r="JJ117" s="631"/>
      <c r="JK117" s="631"/>
      <c r="JL117" s="631"/>
      <c r="JM117" s="631"/>
      <c r="JN117" s="631"/>
      <c r="JO117" s="631"/>
      <c r="JP117" s="631"/>
      <c r="JQ117" s="631"/>
      <c r="JR117" s="631"/>
    </row>
    <row r="119" spans="1:278" ht="18">
      <c r="A119" s="87" t="s">
        <v>306</v>
      </c>
      <c r="B119" s="88"/>
      <c r="C119" s="88"/>
      <c r="D119" s="324" t="s">
        <v>136</v>
      </c>
      <c r="E119" s="324" t="s">
        <v>137</v>
      </c>
      <c r="FE119" s="637" t="s">
        <v>267</v>
      </c>
      <c r="FF119" s="637" t="s">
        <v>267</v>
      </c>
      <c r="FG119" s="637" t="s">
        <v>267</v>
      </c>
      <c r="FH119" s="637" t="s">
        <v>267</v>
      </c>
      <c r="FI119" s="637" t="s">
        <v>267</v>
      </c>
      <c r="FJ119" s="637" t="s">
        <v>267</v>
      </c>
      <c r="FK119" s="637" t="s">
        <v>267</v>
      </c>
      <c r="FL119" s="637" t="s">
        <v>267</v>
      </c>
      <c r="FM119" s="637" t="s">
        <v>267</v>
      </c>
      <c r="FN119" s="637" t="s">
        <v>267</v>
      </c>
      <c r="FO119" s="637" t="s">
        <v>267</v>
      </c>
      <c r="FP119" s="637" t="s">
        <v>267</v>
      </c>
      <c r="FQ119" s="637" t="s">
        <v>267</v>
      </c>
      <c r="FR119" s="637" t="s">
        <v>267</v>
      </c>
      <c r="FS119" s="637" t="s">
        <v>267</v>
      </c>
      <c r="FT119" s="637" t="s">
        <v>267</v>
      </c>
      <c r="FU119" s="637" t="s">
        <v>267</v>
      </c>
      <c r="FV119" s="637" t="s">
        <v>267</v>
      </c>
      <c r="FW119" s="637" t="s">
        <v>267</v>
      </c>
      <c r="FX119" s="637" t="s">
        <v>267</v>
      </c>
      <c r="FY119" s="637" t="s">
        <v>267</v>
      </c>
      <c r="FZ119" s="637" t="s">
        <v>267</v>
      </c>
      <c r="GA119" s="637" t="s">
        <v>267</v>
      </c>
      <c r="GB119" s="637" t="s">
        <v>267</v>
      </c>
      <c r="GC119" s="637" t="s">
        <v>267</v>
      </c>
      <c r="GD119" s="637" t="s">
        <v>267</v>
      </c>
      <c r="GE119" s="637" t="s">
        <v>267</v>
      </c>
      <c r="GF119" s="637" t="s">
        <v>267</v>
      </c>
      <c r="GG119" s="637" t="s">
        <v>267</v>
      </c>
      <c r="GH119" s="637" t="s">
        <v>267</v>
      </c>
      <c r="GI119" s="637" t="s">
        <v>267</v>
      </c>
      <c r="GJ119" s="637" t="s">
        <v>267</v>
      </c>
      <c r="GK119" s="637" t="s">
        <v>267</v>
      </c>
      <c r="GL119" s="637" t="s">
        <v>267</v>
      </c>
      <c r="GM119" s="637" t="s">
        <v>267</v>
      </c>
      <c r="GN119" s="637" t="s">
        <v>267</v>
      </c>
      <c r="GO119" s="637" t="s">
        <v>267</v>
      </c>
      <c r="GP119" s="637" t="s">
        <v>267</v>
      </c>
      <c r="GQ119" s="637" t="s">
        <v>267</v>
      </c>
      <c r="GR119" s="637" t="s">
        <v>267</v>
      </c>
      <c r="GS119" s="637" t="s">
        <v>267</v>
      </c>
      <c r="GT119" s="637" t="s">
        <v>267</v>
      </c>
      <c r="GU119" s="637" t="s">
        <v>267</v>
      </c>
      <c r="GV119" s="637" t="s">
        <v>267</v>
      </c>
      <c r="GW119" s="637" t="s">
        <v>267</v>
      </c>
      <c r="GX119" s="637" t="s">
        <v>267</v>
      </c>
      <c r="GY119" s="637" t="s">
        <v>267</v>
      </c>
      <c r="GZ119" s="637" t="s">
        <v>267</v>
      </c>
      <c r="HA119" s="637" t="s">
        <v>267</v>
      </c>
      <c r="HB119" s="637" t="s">
        <v>267</v>
      </c>
      <c r="HC119" s="637" t="s">
        <v>267</v>
      </c>
      <c r="HD119" s="637" t="s">
        <v>267</v>
      </c>
      <c r="HE119" s="637" t="s">
        <v>267</v>
      </c>
      <c r="HF119" s="637" t="s">
        <v>267</v>
      </c>
      <c r="HG119" s="637" t="s">
        <v>267</v>
      </c>
      <c r="HH119" s="637" t="s">
        <v>267</v>
      </c>
      <c r="HI119" s="637" t="s">
        <v>267</v>
      </c>
      <c r="HJ119" s="637" t="s">
        <v>267</v>
      </c>
      <c r="HK119" s="637" t="s">
        <v>267</v>
      </c>
      <c r="HL119" s="637" t="s">
        <v>267</v>
      </c>
      <c r="HM119" s="637" t="s">
        <v>267</v>
      </c>
      <c r="HN119" s="637" t="s">
        <v>267</v>
      </c>
      <c r="HO119" s="637" t="s">
        <v>267</v>
      </c>
      <c r="HP119" s="637" t="s">
        <v>267</v>
      </c>
      <c r="HQ119" s="637" t="s">
        <v>267</v>
      </c>
      <c r="HR119" s="637" t="s">
        <v>267</v>
      </c>
      <c r="HS119" s="637" t="s">
        <v>267</v>
      </c>
      <c r="HT119" s="637" t="s">
        <v>267</v>
      </c>
      <c r="HU119" s="637" t="s">
        <v>267</v>
      </c>
      <c r="HV119" s="637" t="s">
        <v>267</v>
      </c>
      <c r="HW119" s="637" t="s">
        <v>267</v>
      </c>
      <c r="HX119" s="637" t="s">
        <v>267</v>
      </c>
      <c r="HY119" s="637" t="s">
        <v>267</v>
      </c>
      <c r="HZ119" s="637" t="s">
        <v>267</v>
      </c>
      <c r="IA119" s="637" t="s">
        <v>267</v>
      </c>
      <c r="IB119" s="637" t="s">
        <v>267</v>
      </c>
      <c r="IC119" s="637" t="s">
        <v>267</v>
      </c>
      <c r="ID119" s="637" t="s">
        <v>267</v>
      </c>
      <c r="IE119" s="637" t="s">
        <v>267</v>
      </c>
      <c r="IF119" s="637" t="s">
        <v>267</v>
      </c>
      <c r="IG119" s="637" t="s">
        <v>267</v>
      </c>
      <c r="IH119" s="637" t="s">
        <v>267</v>
      </c>
      <c r="II119" s="637" t="s">
        <v>267</v>
      </c>
      <c r="IJ119" s="637" t="s">
        <v>267</v>
      </c>
      <c r="IK119" s="637" t="s">
        <v>267</v>
      </c>
      <c r="IL119" s="637" t="s">
        <v>267</v>
      </c>
      <c r="IM119" s="637" t="s">
        <v>267</v>
      </c>
      <c r="IN119" s="637" t="s">
        <v>267</v>
      </c>
      <c r="IO119" s="637" t="s">
        <v>267</v>
      </c>
      <c r="IP119" s="637" t="s">
        <v>267</v>
      </c>
      <c r="IQ119" s="637" t="s">
        <v>267</v>
      </c>
      <c r="IR119" s="637" t="s">
        <v>267</v>
      </c>
      <c r="IS119" s="637" t="s">
        <v>267</v>
      </c>
      <c r="IT119" s="637" t="s">
        <v>267</v>
      </c>
      <c r="IU119" s="637" t="s">
        <v>267</v>
      </c>
      <c r="IV119" s="637" t="s">
        <v>267</v>
      </c>
      <c r="IW119" s="637" t="s">
        <v>267</v>
      </c>
      <c r="IX119" s="637" t="s">
        <v>267</v>
      </c>
      <c r="IY119" s="637" t="s">
        <v>267</v>
      </c>
      <c r="IZ119" s="637" t="s">
        <v>267</v>
      </c>
      <c r="JA119" s="637" t="s">
        <v>267</v>
      </c>
      <c r="JB119" s="637" t="s">
        <v>267</v>
      </c>
      <c r="JC119" s="637" t="s">
        <v>267</v>
      </c>
      <c r="JD119" s="637" t="s">
        <v>267</v>
      </c>
      <c r="JE119" s="637" t="s">
        <v>267</v>
      </c>
      <c r="JF119" s="637" t="s">
        <v>267</v>
      </c>
      <c r="JG119" s="637" t="s">
        <v>267</v>
      </c>
      <c r="JH119" s="637" t="s">
        <v>267</v>
      </c>
      <c r="JI119" s="637" t="s">
        <v>267</v>
      </c>
      <c r="JJ119" s="637" t="s">
        <v>267</v>
      </c>
      <c r="JK119" s="637" t="s">
        <v>267</v>
      </c>
      <c r="JL119" s="637" t="s">
        <v>267</v>
      </c>
      <c r="JM119" s="637" t="s">
        <v>267</v>
      </c>
      <c r="JN119" s="637" t="s">
        <v>267</v>
      </c>
      <c r="JO119" s="637" t="s">
        <v>267</v>
      </c>
      <c r="JP119" s="637" t="s">
        <v>267</v>
      </c>
      <c r="JQ119" s="637" t="s">
        <v>267</v>
      </c>
      <c r="JR119" s="637" t="s">
        <v>267</v>
      </c>
    </row>
    <row r="120" spans="1:278" ht="13.5">
      <c r="A120" s="45"/>
      <c r="B120" s="36"/>
      <c r="C120" s="36"/>
      <c r="D120" s="36"/>
      <c r="E120" s="36"/>
      <c r="FE120" s="623"/>
      <c r="FF120" s="623"/>
      <c r="FG120" s="623"/>
      <c r="FH120" s="623"/>
      <c r="FI120" s="623"/>
      <c r="FJ120" s="623"/>
      <c r="FK120" s="623"/>
      <c r="FL120" s="623"/>
      <c r="FM120" s="623"/>
      <c r="FN120" s="623"/>
      <c r="FO120" s="623"/>
      <c r="FP120" s="623"/>
      <c r="FQ120" s="623"/>
      <c r="FR120" s="623"/>
      <c r="FS120" s="623"/>
      <c r="FT120" s="623"/>
      <c r="FU120" s="623"/>
      <c r="FV120" s="623"/>
      <c r="FW120" s="623"/>
      <c r="FX120" s="623"/>
      <c r="FY120" s="623"/>
      <c r="FZ120" s="623"/>
      <c r="GA120" s="623"/>
      <c r="GB120" s="623"/>
      <c r="GC120" s="623"/>
      <c r="GD120" s="623"/>
      <c r="GE120" s="623"/>
      <c r="GF120" s="623"/>
      <c r="GG120" s="623"/>
      <c r="GH120" s="623"/>
      <c r="GI120" s="623"/>
      <c r="GJ120" s="623"/>
      <c r="GK120" s="623"/>
      <c r="GL120" s="623"/>
      <c r="GM120" s="623"/>
      <c r="GN120" s="623"/>
      <c r="GO120" s="623"/>
      <c r="GP120" s="623"/>
      <c r="GQ120" s="623"/>
      <c r="GR120" s="623"/>
      <c r="GS120" s="623"/>
      <c r="GT120" s="623"/>
      <c r="GU120" s="623"/>
      <c r="GV120" s="623"/>
      <c r="GW120" s="623"/>
      <c r="GX120" s="623"/>
      <c r="GY120" s="623"/>
      <c r="GZ120" s="623"/>
      <c r="HA120" s="623"/>
      <c r="HB120" s="623"/>
      <c r="HC120" s="623"/>
      <c r="HD120" s="623"/>
      <c r="HE120" s="623"/>
      <c r="HF120" s="623"/>
      <c r="HG120" s="623"/>
      <c r="HH120" s="623"/>
      <c r="HI120" s="623"/>
      <c r="HJ120" s="623"/>
      <c r="HK120" s="623"/>
      <c r="HL120" s="623"/>
      <c r="HM120" s="623"/>
      <c r="HN120" s="623"/>
      <c r="HO120" s="623"/>
      <c r="HP120" s="623"/>
      <c r="HQ120" s="623"/>
      <c r="HR120" s="623"/>
      <c r="HS120" s="623"/>
      <c r="HT120" s="623"/>
      <c r="HU120" s="623"/>
      <c r="HV120" s="623"/>
      <c r="HW120" s="623"/>
      <c r="HX120" s="623"/>
      <c r="HY120" s="623"/>
      <c r="HZ120" s="623"/>
      <c r="IA120" s="623"/>
      <c r="IB120" s="623"/>
      <c r="IC120" s="623"/>
      <c r="ID120" s="623"/>
      <c r="IE120" s="623"/>
      <c r="IF120" s="623"/>
      <c r="IG120" s="623"/>
      <c r="IH120" s="623"/>
      <c r="II120" s="623"/>
      <c r="IJ120" s="623"/>
      <c r="IK120" s="623"/>
      <c r="IL120" s="623"/>
      <c r="IM120" s="623"/>
      <c r="IN120" s="623"/>
      <c r="IO120" s="623"/>
      <c r="IP120" s="623"/>
      <c r="IQ120" s="623"/>
      <c r="IR120" s="623"/>
      <c r="IS120" s="623"/>
      <c r="IT120" s="623"/>
      <c r="IU120" s="623"/>
      <c r="IV120" s="623"/>
      <c r="IW120" s="623"/>
      <c r="IX120" s="623"/>
      <c r="IY120" s="623"/>
      <c r="IZ120" s="623"/>
      <c r="JA120" s="623"/>
      <c r="JB120" s="623"/>
      <c r="JC120" s="623"/>
      <c r="JD120" s="623"/>
      <c r="JE120" s="623"/>
      <c r="JF120" s="623"/>
      <c r="JG120" s="623"/>
      <c r="JH120" s="623"/>
      <c r="JI120" s="623"/>
      <c r="JJ120" s="623"/>
      <c r="JK120" s="623"/>
      <c r="JL120" s="623"/>
      <c r="JM120" s="623"/>
      <c r="JN120" s="623"/>
      <c r="JO120" s="623"/>
      <c r="JP120" s="623"/>
      <c r="JQ120" s="623"/>
      <c r="JR120" s="623"/>
    </row>
    <row r="121" spans="1:278" ht="18">
      <c r="A121" s="708" t="s">
        <v>300</v>
      </c>
      <c r="B121" s="702"/>
      <c r="C121" s="702"/>
      <c r="D121" s="764"/>
      <c r="E121" s="764"/>
      <c r="FE121" s="638"/>
      <c r="FF121" s="638"/>
      <c r="FG121" s="638"/>
      <c r="FH121" s="638"/>
      <c r="FI121" s="638"/>
      <c r="FJ121" s="638"/>
      <c r="FK121" s="638"/>
      <c r="FL121" s="638"/>
      <c r="FM121" s="638"/>
      <c r="FN121" s="638"/>
      <c r="FO121" s="638"/>
      <c r="FP121" s="638"/>
      <c r="FQ121" s="638"/>
      <c r="FR121" s="638"/>
      <c r="FS121" s="638"/>
      <c r="FT121" s="638"/>
      <c r="FU121" s="638"/>
      <c r="FV121" s="638"/>
      <c r="FW121" s="638"/>
      <c r="FX121" s="638"/>
      <c r="FY121" s="638"/>
      <c r="FZ121" s="638"/>
      <c r="GA121" s="638"/>
      <c r="GB121" s="638"/>
      <c r="GC121" s="638"/>
      <c r="GD121" s="638"/>
      <c r="GE121" s="638"/>
      <c r="GF121" s="638"/>
      <c r="GG121" s="638"/>
      <c r="GH121" s="638"/>
      <c r="GI121" s="638"/>
      <c r="GJ121" s="638"/>
      <c r="GK121" s="638"/>
      <c r="GL121" s="638"/>
      <c r="GM121" s="638"/>
      <c r="GN121" s="638"/>
      <c r="GO121" s="638"/>
      <c r="GP121" s="638"/>
      <c r="GQ121" s="638"/>
      <c r="GR121" s="638"/>
      <c r="GS121" s="638"/>
      <c r="GT121" s="638"/>
      <c r="GU121" s="638"/>
      <c r="GV121" s="638"/>
      <c r="GW121" s="638"/>
      <c r="GX121" s="638"/>
      <c r="GY121" s="638"/>
      <c r="GZ121" s="638"/>
      <c r="HA121" s="638"/>
      <c r="HB121" s="638"/>
      <c r="HC121" s="638"/>
      <c r="HD121" s="638"/>
      <c r="HE121" s="638"/>
      <c r="HF121" s="638"/>
      <c r="HG121" s="638"/>
      <c r="HH121" s="638"/>
      <c r="HI121" s="638"/>
      <c r="HJ121" s="638"/>
      <c r="HK121" s="638"/>
      <c r="HL121" s="638"/>
      <c r="HM121" s="638"/>
      <c r="HN121" s="638"/>
      <c r="HO121" s="638"/>
      <c r="HP121" s="638"/>
      <c r="HQ121" s="638"/>
      <c r="HR121" s="638"/>
      <c r="HS121" s="638"/>
      <c r="HT121" s="638"/>
      <c r="HU121" s="638"/>
      <c r="HV121" s="638"/>
      <c r="HW121" s="638"/>
      <c r="HX121" s="638"/>
      <c r="HY121" s="638"/>
      <c r="HZ121" s="638"/>
      <c r="IA121" s="638"/>
      <c r="IB121" s="638"/>
      <c r="IC121" s="638"/>
      <c r="ID121" s="638"/>
      <c r="IE121" s="638"/>
      <c r="IF121" s="638"/>
      <c r="IG121" s="638"/>
      <c r="IH121" s="638"/>
      <c r="II121" s="638"/>
      <c r="IJ121" s="638"/>
      <c r="IK121" s="638"/>
      <c r="IL121" s="638"/>
      <c r="IM121" s="638"/>
      <c r="IN121" s="638"/>
      <c r="IO121" s="638"/>
      <c r="IP121" s="638"/>
      <c r="IQ121" s="638"/>
      <c r="IR121" s="638"/>
      <c r="IS121" s="638"/>
      <c r="IT121" s="638"/>
      <c r="IU121" s="638"/>
      <c r="IV121" s="638"/>
      <c r="IW121" s="638"/>
      <c r="IX121" s="638"/>
      <c r="IY121" s="638"/>
      <c r="IZ121" s="638"/>
      <c r="JA121" s="638"/>
      <c r="JB121" s="638"/>
      <c r="JC121" s="638"/>
      <c r="JD121" s="638"/>
      <c r="JE121" s="638"/>
      <c r="JF121" s="638"/>
      <c r="JG121" s="638"/>
      <c r="JH121" s="638"/>
      <c r="JI121" s="638"/>
      <c r="JJ121" s="638"/>
      <c r="JK121" s="638"/>
      <c r="JL121" s="638"/>
      <c r="JM121" s="638"/>
      <c r="JN121" s="638"/>
      <c r="JO121" s="638"/>
      <c r="JP121" s="638"/>
      <c r="JQ121" s="638"/>
      <c r="JR121" s="638"/>
    </row>
    <row r="122" spans="1:278" ht="13.5">
      <c r="A122" s="36" t="s">
        <v>148</v>
      </c>
      <c r="B122" s="36"/>
      <c r="C122" s="36"/>
      <c r="D122" s="26" t="s">
        <v>128</v>
      </c>
      <c r="E122" s="36" t="s">
        <v>275</v>
      </c>
      <c r="FE122" s="639">
        <v>9.9999999999999995E-7</v>
      </c>
      <c r="FF122" s="639">
        <v>9.9999999999999995E-7</v>
      </c>
      <c r="FG122" s="639">
        <v>9.9999999999999995E-7</v>
      </c>
      <c r="FH122" s="639">
        <v>9.9999999999999995E-7</v>
      </c>
      <c r="FI122" s="639">
        <v>9.9999999999999995E-7</v>
      </c>
      <c r="FJ122" s="639">
        <v>9.9999999999999995E-7</v>
      </c>
      <c r="FK122" s="639">
        <v>9.9999999999999995E-7</v>
      </c>
      <c r="FL122" s="639">
        <v>9.9999999999999995E-7</v>
      </c>
      <c r="FM122" s="639">
        <v>9.9999999999999995E-7</v>
      </c>
      <c r="FN122" s="639">
        <v>9.9999999999999995E-7</v>
      </c>
      <c r="FO122" s="639">
        <v>9.9999999999999995E-7</v>
      </c>
      <c r="FP122" s="639">
        <v>9.9999999999999995E-7</v>
      </c>
      <c r="FQ122" s="639">
        <v>9.9999999999999995E-7</v>
      </c>
      <c r="FR122" s="639">
        <v>9.9999999999999995E-7</v>
      </c>
      <c r="FS122" s="639">
        <v>9.9999999999999995E-7</v>
      </c>
      <c r="FT122" s="639">
        <v>9.9999999999999995E-7</v>
      </c>
      <c r="FU122" s="639">
        <v>9.9999999999999995E-7</v>
      </c>
      <c r="FV122" s="639">
        <v>9.9999999999999995E-7</v>
      </c>
      <c r="FW122" s="639">
        <v>9.9999999999999995E-7</v>
      </c>
      <c r="FX122" s="639">
        <v>9.9999999999999995E-7</v>
      </c>
      <c r="FY122" s="639">
        <v>9.9999999999999995E-7</v>
      </c>
      <c r="FZ122" s="639">
        <v>9.9999999999999995E-7</v>
      </c>
      <c r="GA122" s="639">
        <v>9.9999999999999995E-7</v>
      </c>
      <c r="GB122" s="639">
        <v>9.9999999999999995E-7</v>
      </c>
      <c r="GC122" s="639">
        <v>9.9999999999999995E-7</v>
      </c>
      <c r="GD122" s="639">
        <v>9.9999999999999995E-7</v>
      </c>
      <c r="GE122" s="639">
        <v>9.9999999999999995E-7</v>
      </c>
      <c r="GF122" s="639">
        <v>9.9999999999999995E-7</v>
      </c>
      <c r="GG122" s="639">
        <v>9.9999999999999995E-7</v>
      </c>
      <c r="GH122" s="639">
        <v>9.9999999999999995E-7</v>
      </c>
      <c r="GI122" s="639">
        <v>9.9999999999999995E-7</v>
      </c>
      <c r="GJ122" s="639">
        <v>9.9999999999999995E-7</v>
      </c>
      <c r="GK122" s="639">
        <v>9.9999999999999995E-7</v>
      </c>
      <c r="GL122" s="639">
        <v>9.9999999999999995E-7</v>
      </c>
      <c r="GM122" s="639">
        <v>9.9999999999999995E-7</v>
      </c>
      <c r="GN122" s="639">
        <v>9.9999999999999995E-7</v>
      </c>
      <c r="GO122" s="639">
        <v>9.9999999999999995E-7</v>
      </c>
      <c r="GP122" s="639">
        <v>9.9999999999999995E-7</v>
      </c>
      <c r="GQ122" s="639">
        <v>9.9999999999999995E-7</v>
      </c>
      <c r="GR122" s="639">
        <v>9.9999999999999995E-7</v>
      </c>
      <c r="GS122" s="639">
        <v>9.9999999999999995E-7</v>
      </c>
      <c r="GT122" s="639">
        <v>9.9999999999999995E-7</v>
      </c>
      <c r="GU122" s="639">
        <v>9.9999999999999995E-7</v>
      </c>
      <c r="GV122" s="639">
        <v>9.9999999999999995E-7</v>
      </c>
      <c r="GW122" s="639">
        <v>9.9999999999999995E-7</v>
      </c>
      <c r="GX122" s="639">
        <v>9.9999999999999995E-7</v>
      </c>
      <c r="GY122" s="639">
        <v>9.9999999999999995E-7</v>
      </c>
      <c r="GZ122" s="639">
        <v>9.9999999999999995E-7</v>
      </c>
      <c r="HA122" s="639">
        <v>9.9999999999999995E-7</v>
      </c>
      <c r="HB122" s="639">
        <v>9.9999999999999995E-7</v>
      </c>
      <c r="HC122" s="639">
        <v>9.9999999999999995E-7</v>
      </c>
      <c r="HD122" s="639">
        <v>9.9999999999999995E-7</v>
      </c>
      <c r="HE122" s="639">
        <v>9.9999999999999995E-7</v>
      </c>
      <c r="HF122" s="639">
        <v>9.9999999999999995E-7</v>
      </c>
      <c r="HG122" s="639">
        <v>9.9999999999999995E-7</v>
      </c>
      <c r="HH122" s="639">
        <v>9.9999999999999995E-7</v>
      </c>
      <c r="HI122" s="639">
        <v>9.9999999999999995E-7</v>
      </c>
      <c r="HJ122" s="639">
        <v>9.9999999999999995E-7</v>
      </c>
      <c r="HK122" s="639">
        <v>9.9999999999999995E-7</v>
      </c>
      <c r="HL122" s="639">
        <v>9.9999999999999995E-7</v>
      </c>
      <c r="HM122" s="639">
        <v>9.9999999999999995E-7</v>
      </c>
      <c r="HN122" s="639">
        <v>9.9999999999999995E-7</v>
      </c>
      <c r="HO122" s="639">
        <v>9.9999999999999995E-7</v>
      </c>
      <c r="HP122" s="639">
        <v>9.9999999999999995E-7</v>
      </c>
      <c r="HQ122" s="639">
        <v>9.9999999999999995E-7</v>
      </c>
      <c r="HR122" s="639">
        <v>9.9999999999999995E-7</v>
      </c>
      <c r="HS122" s="639">
        <v>9.9999999999999995E-7</v>
      </c>
      <c r="HT122" s="639">
        <v>9.9999999999999995E-7</v>
      </c>
      <c r="HU122" s="639">
        <v>9.9999999999999995E-7</v>
      </c>
      <c r="HV122" s="639">
        <v>9.9999999999999995E-7</v>
      </c>
      <c r="HW122" s="639">
        <v>9.9999999999999995E-7</v>
      </c>
      <c r="HX122" s="639">
        <v>9.9999999999999995E-7</v>
      </c>
      <c r="HY122" s="639">
        <v>9.9999999999999995E-7</v>
      </c>
      <c r="HZ122" s="639">
        <v>9.9999999999999995E-7</v>
      </c>
      <c r="IA122" s="639">
        <v>9.9999999999999995E-7</v>
      </c>
      <c r="IB122" s="639">
        <v>9.9999999999999995E-7</v>
      </c>
      <c r="IC122" s="639">
        <v>9.9999999999999995E-7</v>
      </c>
      <c r="ID122" s="639">
        <v>9.9999999999999995E-7</v>
      </c>
      <c r="IE122" s="639">
        <v>9.9999999999999995E-7</v>
      </c>
      <c r="IF122" s="639">
        <v>9.9999999999999995E-7</v>
      </c>
      <c r="IG122" s="639">
        <v>9.9999999999999995E-7</v>
      </c>
      <c r="IH122" s="639">
        <v>9.9999999999999995E-7</v>
      </c>
      <c r="II122" s="639">
        <v>9.9999999999999995E-7</v>
      </c>
      <c r="IJ122" s="639">
        <v>9.9999999999999995E-7</v>
      </c>
      <c r="IK122" s="639">
        <v>9.9999999999999995E-7</v>
      </c>
      <c r="IL122" s="639">
        <v>9.9999999999999995E-7</v>
      </c>
      <c r="IM122" s="639">
        <v>9.9999999999999995E-7</v>
      </c>
      <c r="IN122" s="639">
        <v>9.9999999999999995E-7</v>
      </c>
      <c r="IO122" s="639">
        <v>9.9999999999999995E-7</v>
      </c>
      <c r="IP122" s="639">
        <v>9.9999999999999995E-7</v>
      </c>
      <c r="IQ122" s="639">
        <v>9.9999999999999995E-7</v>
      </c>
      <c r="IR122" s="639">
        <v>9.9999999999999995E-7</v>
      </c>
      <c r="IS122" s="639">
        <v>9.9999999999999995E-7</v>
      </c>
      <c r="IT122" s="639">
        <v>9.9999999999999995E-7</v>
      </c>
      <c r="IU122" s="639">
        <v>9.9999999999999995E-7</v>
      </c>
      <c r="IV122" s="639">
        <v>9.9999999999999995E-7</v>
      </c>
      <c r="IW122" s="639">
        <v>9.9999999999999995E-7</v>
      </c>
      <c r="IX122" s="639">
        <v>9.9999999999999995E-7</v>
      </c>
      <c r="IY122" s="639">
        <v>9.9999999999999995E-7</v>
      </c>
      <c r="IZ122" s="639">
        <v>9.9999999999999995E-7</v>
      </c>
      <c r="JA122" s="639">
        <v>9.9999999999999995E-7</v>
      </c>
      <c r="JB122" s="639">
        <v>9.9999999999999995E-7</v>
      </c>
      <c r="JC122" s="639">
        <v>9.9999999999999995E-7</v>
      </c>
      <c r="JD122" s="639">
        <v>9.9999999999999995E-7</v>
      </c>
      <c r="JE122" s="639">
        <v>9.9999999999999995E-7</v>
      </c>
      <c r="JF122" s="639">
        <v>9.9999999999999995E-7</v>
      </c>
      <c r="JG122" s="639">
        <v>9.9999999999999995E-7</v>
      </c>
      <c r="JH122" s="639">
        <v>9.9999999999999995E-7</v>
      </c>
      <c r="JI122" s="639">
        <v>9.9999999999999995E-7</v>
      </c>
      <c r="JJ122" s="639">
        <v>9.9999999999999995E-7</v>
      </c>
      <c r="JK122" s="639">
        <v>9.9999999999999995E-7</v>
      </c>
      <c r="JL122" s="639">
        <v>9.9999999999999995E-7</v>
      </c>
      <c r="JM122" s="639">
        <v>9.9999999999999995E-7</v>
      </c>
      <c r="JN122" s="639">
        <v>9.9999999999999995E-7</v>
      </c>
      <c r="JO122" s="639">
        <v>9.9999999999999995E-7</v>
      </c>
      <c r="JP122" s="639">
        <v>9.9999999999999995E-7</v>
      </c>
      <c r="JQ122" s="639">
        <v>9.9999999999999995E-7</v>
      </c>
      <c r="JR122" s="639">
        <v>9.9999999999999995E-7</v>
      </c>
    </row>
    <row r="123" spans="1:278" ht="13.5">
      <c r="A123" s="36" t="s">
        <v>282</v>
      </c>
      <c r="B123" s="36"/>
      <c r="C123" s="36"/>
      <c r="D123" s="26" t="s">
        <v>128</v>
      </c>
      <c r="E123" s="36" t="s">
        <v>276</v>
      </c>
      <c r="FE123" s="606">
        <v>1</v>
      </c>
      <c r="FF123" s="606">
        <v>1</v>
      </c>
      <c r="FG123" s="606">
        <v>1</v>
      </c>
      <c r="FH123" s="606">
        <v>1</v>
      </c>
      <c r="FI123" s="606">
        <v>1</v>
      </c>
      <c r="FJ123" s="606">
        <v>1</v>
      </c>
      <c r="FK123" s="606">
        <v>1</v>
      </c>
      <c r="FL123" s="606">
        <v>1</v>
      </c>
      <c r="FM123" s="606">
        <v>1</v>
      </c>
      <c r="FN123" s="606">
        <v>1</v>
      </c>
      <c r="FO123" s="606">
        <v>1</v>
      </c>
      <c r="FP123" s="606">
        <v>1</v>
      </c>
      <c r="FQ123" s="606">
        <v>1</v>
      </c>
      <c r="FR123" s="606">
        <v>1</v>
      </c>
      <c r="FS123" s="606">
        <v>1</v>
      </c>
      <c r="FT123" s="606">
        <v>1</v>
      </c>
      <c r="FU123" s="606">
        <v>1</v>
      </c>
      <c r="FV123" s="606">
        <v>1</v>
      </c>
      <c r="FW123" s="606">
        <v>1</v>
      </c>
      <c r="FX123" s="606">
        <v>1</v>
      </c>
      <c r="FY123" s="606">
        <v>1</v>
      </c>
      <c r="FZ123" s="606">
        <v>1</v>
      </c>
      <c r="GA123" s="606">
        <v>1</v>
      </c>
      <c r="GB123" s="606">
        <v>1</v>
      </c>
      <c r="GC123" s="606">
        <v>1</v>
      </c>
      <c r="GD123" s="606">
        <v>1</v>
      </c>
      <c r="GE123" s="606">
        <v>1</v>
      </c>
      <c r="GF123" s="606">
        <v>1</v>
      </c>
      <c r="GG123" s="606">
        <v>1</v>
      </c>
      <c r="GH123" s="606">
        <v>1</v>
      </c>
      <c r="GI123" s="606">
        <v>1</v>
      </c>
      <c r="GJ123" s="606">
        <v>1</v>
      </c>
      <c r="GK123" s="606">
        <v>1</v>
      </c>
      <c r="GL123" s="606">
        <v>1</v>
      </c>
      <c r="GM123" s="606">
        <v>1</v>
      </c>
      <c r="GN123" s="606">
        <v>1</v>
      </c>
      <c r="GO123" s="606">
        <v>1</v>
      </c>
      <c r="GP123" s="606">
        <v>1</v>
      </c>
      <c r="GQ123" s="606">
        <v>1</v>
      </c>
      <c r="GR123" s="606">
        <v>1</v>
      </c>
      <c r="GS123" s="606">
        <v>1</v>
      </c>
      <c r="GT123" s="606">
        <v>1</v>
      </c>
      <c r="GU123" s="606">
        <v>1</v>
      </c>
      <c r="GV123" s="606">
        <v>1</v>
      </c>
      <c r="GW123" s="606">
        <v>1</v>
      </c>
      <c r="GX123" s="606">
        <v>1</v>
      </c>
      <c r="GY123" s="606">
        <v>1</v>
      </c>
      <c r="GZ123" s="606">
        <v>1</v>
      </c>
      <c r="HA123" s="606">
        <v>1</v>
      </c>
      <c r="HB123" s="606">
        <v>1</v>
      </c>
      <c r="HC123" s="606">
        <v>1</v>
      </c>
      <c r="HD123" s="606">
        <v>1</v>
      </c>
      <c r="HE123" s="606">
        <v>1</v>
      </c>
      <c r="HF123" s="606">
        <v>1</v>
      </c>
      <c r="HG123" s="606">
        <v>1</v>
      </c>
      <c r="HH123" s="606">
        <v>1</v>
      </c>
      <c r="HI123" s="606">
        <v>1</v>
      </c>
      <c r="HJ123" s="606">
        <v>1</v>
      </c>
      <c r="HK123" s="606">
        <v>1</v>
      </c>
      <c r="HL123" s="606">
        <v>1</v>
      </c>
      <c r="HM123" s="606">
        <v>1</v>
      </c>
      <c r="HN123" s="606">
        <v>1</v>
      </c>
      <c r="HO123" s="606">
        <v>1</v>
      </c>
      <c r="HP123" s="606">
        <v>1</v>
      </c>
      <c r="HQ123" s="606">
        <v>1</v>
      </c>
      <c r="HR123" s="606">
        <v>1</v>
      </c>
      <c r="HS123" s="606">
        <v>1</v>
      </c>
      <c r="HT123" s="606">
        <v>1</v>
      </c>
      <c r="HU123" s="606">
        <v>1</v>
      </c>
      <c r="HV123" s="606">
        <v>1</v>
      </c>
      <c r="HW123" s="606">
        <v>1</v>
      </c>
      <c r="HX123" s="606">
        <v>1</v>
      </c>
      <c r="HY123" s="606">
        <v>1</v>
      </c>
      <c r="HZ123" s="606">
        <v>1</v>
      </c>
      <c r="IA123" s="606">
        <v>1</v>
      </c>
      <c r="IB123" s="606">
        <v>1</v>
      </c>
      <c r="IC123" s="606">
        <v>1</v>
      </c>
      <c r="ID123" s="606">
        <v>1</v>
      </c>
      <c r="IE123" s="606">
        <v>1</v>
      </c>
      <c r="IF123" s="606">
        <v>1</v>
      </c>
      <c r="IG123" s="606">
        <v>1</v>
      </c>
      <c r="IH123" s="606">
        <v>1</v>
      </c>
      <c r="II123" s="606">
        <v>1</v>
      </c>
      <c r="IJ123" s="606">
        <v>1</v>
      </c>
      <c r="IK123" s="606">
        <v>1</v>
      </c>
      <c r="IL123" s="606">
        <v>1</v>
      </c>
      <c r="IM123" s="606">
        <v>1</v>
      </c>
      <c r="IN123" s="606">
        <v>1</v>
      </c>
      <c r="IO123" s="606">
        <v>1</v>
      </c>
      <c r="IP123" s="606">
        <v>1</v>
      </c>
      <c r="IQ123" s="606">
        <v>1</v>
      </c>
      <c r="IR123" s="606">
        <v>1</v>
      </c>
      <c r="IS123" s="606">
        <v>1</v>
      </c>
      <c r="IT123" s="606">
        <v>1</v>
      </c>
      <c r="IU123" s="606">
        <v>1</v>
      </c>
      <c r="IV123" s="606">
        <v>1</v>
      </c>
      <c r="IW123" s="606">
        <v>1</v>
      </c>
      <c r="IX123" s="606">
        <v>1</v>
      </c>
      <c r="IY123" s="606">
        <v>1</v>
      </c>
      <c r="IZ123" s="606">
        <v>1</v>
      </c>
      <c r="JA123" s="606">
        <v>1</v>
      </c>
      <c r="JB123" s="606">
        <v>1</v>
      </c>
      <c r="JC123" s="606">
        <v>1</v>
      </c>
      <c r="JD123" s="606">
        <v>1</v>
      </c>
      <c r="JE123" s="606">
        <v>1</v>
      </c>
      <c r="JF123" s="606">
        <v>1</v>
      </c>
      <c r="JG123" s="606">
        <v>1</v>
      </c>
      <c r="JH123" s="606">
        <v>1</v>
      </c>
      <c r="JI123" s="606">
        <v>1</v>
      </c>
      <c r="JJ123" s="606">
        <v>1</v>
      </c>
      <c r="JK123" s="606">
        <v>1</v>
      </c>
      <c r="JL123" s="606">
        <v>1</v>
      </c>
      <c r="JM123" s="606">
        <v>1</v>
      </c>
      <c r="JN123" s="606">
        <v>1</v>
      </c>
      <c r="JO123" s="606">
        <v>1</v>
      </c>
      <c r="JP123" s="606">
        <v>1</v>
      </c>
      <c r="JQ123" s="606">
        <v>1</v>
      </c>
      <c r="JR123" s="606">
        <v>1</v>
      </c>
    </row>
    <row r="124" spans="1:278" ht="13.5">
      <c r="A124" s="51" t="s">
        <v>283</v>
      </c>
      <c r="B124" s="51"/>
      <c r="C124" s="108"/>
      <c r="D124" s="104" t="s">
        <v>251</v>
      </c>
      <c r="E124" s="51" t="s">
        <v>287</v>
      </c>
      <c r="FE124" s="640">
        <v>3.1285714285714285E-2</v>
      </c>
      <c r="FF124" s="640">
        <v>1.042857142857143E-5</v>
      </c>
      <c r="FG124" s="640">
        <v>0.73</v>
      </c>
      <c r="FH124" s="640">
        <v>3.1285714285714285E-2</v>
      </c>
      <c r="FI124" s="640">
        <v>3.1285714285714285E-5</v>
      </c>
      <c r="FJ124" s="640">
        <v>2.0857142857142859E-2</v>
      </c>
      <c r="FK124" s="640">
        <v>8.3428571428571438E-4</v>
      </c>
      <c r="FL124" s="640">
        <v>1.4599999999999998E-2</v>
      </c>
      <c r="FM124" s="640">
        <v>2.0857142857142858E-3</v>
      </c>
      <c r="FN124" s="640" t="s">
        <v>2307</v>
      </c>
      <c r="FO124" s="640" t="s">
        <v>2307</v>
      </c>
      <c r="FP124" s="640">
        <v>0.20857142857142857</v>
      </c>
      <c r="FQ124" s="640" t="s">
        <v>2307</v>
      </c>
      <c r="FR124" s="640">
        <v>3.1285714285714288E-4</v>
      </c>
      <c r="FS124" s="640" t="s">
        <v>2307</v>
      </c>
      <c r="FT124" s="640">
        <v>3.1285714285714285E-2</v>
      </c>
      <c r="FU124" s="640">
        <v>20.857142857142858</v>
      </c>
      <c r="FV124" s="640">
        <v>1.0428571428571429E-3</v>
      </c>
      <c r="FW124" s="640">
        <v>2.0857142857142859E-2</v>
      </c>
      <c r="FX124" s="640" t="s">
        <v>2307</v>
      </c>
      <c r="FY124" s="640">
        <v>2.0857142857142859E-2</v>
      </c>
      <c r="FZ124" s="640">
        <v>5.2142857142857144</v>
      </c>
      <c r="GA124" s="640">
        <v>2.085714285714286E-5</v>
      </c>
      <c r="GB124" s="640">
        <v>3.1285714285714286</v>
      </c>
      <c r="GC124" s="640">
        <v>1.0428571428571429E-3</v>
      </c>
      <c r="GD124" s="640">
        <v>0.73</v>
      </c>
      <c r="GE124" s="640">
        <v>4.1714285714285718E-2</v>
      </c>
      <c r="GF124" s="640">
        <v>3.1285714285714286</v>
      </c>
      <c r="GG124" s="640">
        <v>0.62571428571428567</v>
      </c>
      <c r="GH124" s="640" t="s">
        <v>2307</v>
      </c>
      <c r="GI124" s="640" t="s">
        <v>2307</v>
      </c>
      <c r="GJ124" s="640" t="s">
        <v>2307</v>
      </c>
      <c r="GK124" s="640" t="s">
        <v>2307</v>
      </c>
      <c r="GL124" s="640">
        <v>5.5052790346907991E-4</v>
      </c>
      <c r="GM124" s="640" t="s">
        <v>2307</v>
      </c>
      <c r="GN124" s="640">
        <v>0.10428571428571429</v>
      </c>
      <c r="GO124" s="640">
        <v>3.1285714285714285E-3</v>
      </c>
      <c r="GP124" s="640">
        <v>1.4600000000000001E-5</v>
      </c>
      <c r="GQ124" s="640">
        <v>9.3857142857142854E-3</v>
      </c>
      <c r="GR124" s="640">
        <v>5.2142857142857147E-3</v>
      </c>
      <c r="GS124" s="640">
        <v>1.0398860398860396E-3</v>
      </c>
      <c r="GT124" s="640">
        <v>4.1714285714285721E-5</v>
      </c>
      <c r="GU124" s="640">
        <v>1.7548076923076918E-3</v>
      </c>
      <c r="GV124" s="640">
        <v>4.4566544566544556E-4</v>
      </c>
      <c r="GW124" s="640" t="s">
        <v>2307</v>
      </c>
      <c r="GX124" s="640">
        <v>2.0857142857142859E-2</v>
      </c>
      <c r="GY124" s="640" t="s">
        <v>2307</v>
      </c>
      <c r="GZ124" s="640" t="s">
        <v>2307</v>
      </c>
      <c r="HA124" s="640" t="s">
        <v>2307</v>
      </c>
      <c r="HB124" s="640">
        <v>1.3557142857142854E-3</v>
      </c>
      <c r="HC124" s="640">
        <v>1.3557142857142854E-3</v>
      </c>
      <c r="HD124" s="640">
        <v>1.3557142857142854E-3</v>
      </c>
      <c r="HE124" s="640">
        <v>1.3557142857142854E-3</v>
      </c>
      <c r="HF124" s="640">
        <v>4.1714285714285706E-7</v>
      </c>
      <c r="HG124" s="640" t="s">
        <v>2307</v>
      </c>
      <c r="HH124" s="640" t="s">
        <v>2307</v>
      </c>
      <c r="HI124" s="640">
        <v>1.0428571428571429</v>
      </c>
      <c r="HJ124" s="640" t="s">
        <v>2307</v>
      </c>
      <c r="HK124" s="640">
        <v>3.1285714285714288E-4</v>
      </c>
      <c r="HL124" s="640">
        <v>3.1285714285714288E-4</v>
      </c>
      <c r="HM124" s="640" t="s">
        <v>2307</v>
      </c>
      <c r="HN124" s="640" t="s">
        <v>2307</v>
      </c>
      <c r="HO124" s="640" t="s">
        <v>2307</v>
      </c>
      <c r="HP124" s="640">
        <v>8.3428571428571432E-3</v>
      </c>
      <c r="HQ124" s="640">
        <v>1.0428571428571429</v>
      </c>
      <c r="HR124" s="640">
        <v>3.1285714285714286</v>
      </c>
      <c r="HS124" s="640">
        <v>2.0857142857142859</v>
      </c>
      <c r="HT124" s="640">
        <v>3.1285714285714285E-2</v>
      </c>
      <c r="HU124" s="640" t="s">
        <v>2307</v>
      </c>
      <c r="HV124" s="640" t="s">
        <v>2307</v>
      </c>
      <c r="HW124" s="640" t="s">
        <v>2307</v>
      </c>
      <c r="HX124" s="640">
        <v>1.0428571428571429</v>
      </c>
      <c r="HY124" s="640">
        <v>1.0428571428571429E-3</v>
      </c>
      <c r="HZ124" s="640">
        <v>4.1714285714285713E-8</v>
      </c>
      <c r="IA124" s="640" t="s">
        <v>2307</v>
      </c>
      <c r="IB124" s="640" t="s">
        <v>2307</v>
      </c>
      <c r="IC124" s="640">
        <v>1.3557142857142858E-4</v>
      </c>
      <c r="ID124" s="640">
        <v>0.3794178794178793</v>
      </c>
      <c r="IE124" s="640">
        <v>4.8408488063660465E-2</v>
      </c>
      <c r="IF124" s="640">
        <v>4.1714285714285718E-2</v>
      </c>
      <c r="IG124" s="640" t="s">
        <v>2307</v>
      </c>
      <c r="IH124" s="640" t="s">
        <v>2307</v>
      </c>
      <c r="II124" s="640">
        <v>83.428571428571431</v>
      </c>
      <c r="IJ124" s="640">
        <v>2.0857142857142859</v>
      </c>
      <c r="IK124" s="640" t="s">
        <v>2307</v>
      </c>
      <c r="IL124" s="640" t="s">
        <v>2307</v>
      </c>
      <c r="IM124" s="640" t="s">
        <v>2307</v>
      </c>
      <c r="IN124" s="640">
        <v>1.042857142857143E-4</v>
      </c>
      <c r="IO124" s="640">
        <v>5.2142857142857144</v>
      </c>
      <c r="IP124" s="640" t="s">
        <v>2307</v>
      </c>
      <c r="IQ124" s="640" t="s">
        <v>2307</v>
      </c>
      <c r="IR124" s="640">
        <v>31.285714285714285</v>
      </c>
      <c r="IS124" s="640" t="s">
        <v>2307</v>
      </c>
      <c r="IT124" s="640">
        <v>2.0857142857142858E-3</v>
      </c>
      <c r="IU124" s="640">
        <v>5.2142857142857144</v>
      </c>
      <c r="IV124" s="640">
        <v>2.085714285714286E-4</v>
      </c>
      <c r="IW124" s="640">
        <v>2.079381085038141E-3</v>
      </c>
      <c r="IX124" s="640" t="s">
        <v>2307</v>
      </c>
      <c r="IY124" s="640" t="s">
        <v>2307</v>
      </c>
      <c r="IZ124" s="640">
        <v>3.1285714285714288E-4</v>
      </c>
      <c r="JA124" s="640">
        <v>3.1285714285714288E-4</v>
      </c>
      <c r="JB124" s="640">
        <v>7.2999999999999992E-3</v>
      </c>
      <c r="JC124" s="640">
        <v>20.857142857142858</v>
      </c>
      <c r="JD124" s="640" t="s">
        <v>2307</v>
      </c>
      <c r="JE124" s="640">
        <v>5.2142857142857147E-3</v>
      </c>
      <c r="JF124" s="640">
        <v>7.2999999999999992E-3</v>
      </c>
      <c r="JG124" s="640" t="s">
        <v>2307</v>
      </c>
      <c r="JH124" s="640" t="s">
        <v>2307</v>
      </c>
      <c r="JI124" s="640" t="s">
        <v>2307</v>
      </c>
      <c r="JJ124" s="640">
        <v>4.2540792540792533E-3</v>
      </c>
      <c r="JK124" s="640" t="s">
        <v>2307</v>
      </c>
      <c r="JL124" s="640">
        <v>0.20857142857142857</v>
      </c>
      <c r="JM124" s="640">
        <v>3.1285714285714285E-3</v>
      </c>
      <c r="JN124" s="640">
        <v>0.10428571428571429</v>
      </c>
      <c r="JO124" s="640">
        <v>0.10428571428571429</v>
      </c>
      <c r="JP124" s="640">
        <v>0.10428571428571429</v>
      </c>
      <c r="JQ124" s="640">
        <v>0.10428571428571429</v>
      </c>
      <c r="JR124" s="640">
        <v>0.10428571428571429</v>
      </c>
    </row>
    <row r="125" spans="1:278" ht="13.5">
      <c r="A125" s="51"/>
      <c r="B125" s="51"/>
      <c r="C125" s="108"/>
      <c r="D125" s="104" t="s">
        <v>1638</v>
      </c>
      <c r="E125" s="51" t="s">
        <v>287</v>
      </c>
      <c r="FE125" s="640">
        <v>3.2324430659312806E-3</v>
      </c>
      <c r="FF125" s="640">
        <v>1.5165449295056908E-6</v>
      </c>
      <c r="FG125" s="640">
        <v>0.20719673234468192</v>
      </c>
      <c r="FH125" s="640">
        <v>7.6402612962117753E-3</v>
      </c>
      <c r="FI125" s="640">
        <v>2.3880435994026257E-5</v>
      </c>
      <c r="FJ125" s="640">
        <v>1.4391134394519445E-2</v>
      </c>
      <c r="FK125" s="640">
        <v>7.5507394995295548E-4</v>
      </c>
      <c r="FL125" s="640">
        <v>1.7850444866540038E-2</v>
      </c>
      <c r="FM125" s="640">
        <v>1.4969651240778004E-3</v>
      </c>
      <c r="FN125" s="640" t="s">
        <v>2307</v>
      </c>
      <c r="FO125" s="640" t="s">
        <v>2307</v>
      </c>
      <c r="FP125" s="640">
        <v>8.4890379600598087E-2</v>
      </c>
      <c r="FQ125" s="640" t="s">
        <v>2307</v>
      </c>
      <c r="FR125" s="640">
        <v>3.8149886406529316E-5</v>
      </c>
      <c r="FS125" s="640" t="s">
        <v>2307</v>
      </c>
      <c r="FT125" s="640">
        <v>1.1406128563124287E-2</v>
      </c>
      <c r="FU125" s="640">
        <v>15.921781233559525</v>
      </c>
      <c r="FV125" s="640">
        <v>2.1593401942170251E-4</v>
      </c>
      <c r="FW125" s="640">
        <v>6.7042382554367416E-3</v>
      </c>
      <c r="FX125" s="640" t="s">
        <v>2307</v>
      </c>
      <c r="FY125" s="640">
        <v>5.9258890509543902E-3</v>
      </c>
      <c r="FZ125" s="640">
        <v>1.7687555967635848</v>
      </c>
      <c r="GA125" s="640">
        <v>1.10732269987349E-5</v>
      </c>
      <c r="GB125" s="640">
        <v>0.76402612962117755</v>
      </c>
      <c r="GC125" s="640">
        <v>4.4710589837842173E-4</v>
      </c>
      <c r="GD125" s="640">
        <v>0.17834398721534156</v>
      </c>
      <c r="GE125" s="640">
        <v>2.8779021508755815E-3</v>
      </c>
      <c r="GF125" s="640">
        <v>0.86811104970853592</v>
      </c>
      <c r="GG125" s="640">
        <v>0.18020052781099721</v>
      </c>
      <c r="GH125" s="640" t="s">
        <v>2307</v>
      </c>
      <c r="GI125" s="640" t="s">
        <v>2307</v>
      </c>
      <c r="GJ125" s="640" t="s">
        <v>2307</v>
      </c>
      <c r="GK125" s="640" t="s">
        <v>2307</v>
      </c>
      <c r="GL125" s="640">
        <v>2.4683186726887903E-5</v>
      </c>
      <c r="GM125" s="640" t="s">
        <v>2307</v>
      </c>
      <c r="GN125" s="640" t="e">
        <v>#DIV/0!</v>
      </c>
      <c r="GO125" s="640">
        <v>5.9701089985065648E-4</v>
      </c>
      <c r="GP125" s="640">
        <v>2.0916513406819965E-6</v>
      </c>
      <c r="GQ125" s="640">
        <v>1.8647922299453452E-3</v>
      </c>
      <c r="GR125" s="640">
        <v>2.0894387144940055E-3</v>
      </c>
      <c r="GS125" s="640">
        <v>2.8548866418556069E-4</v>
      </c>
      <c r="GT125" s="640">
        <v>1.3772814661547571E-5</v>
      </c>
      <c r="GU125" s="640">
        <v>2.7123283509539425E-4</v>
      </c>
      <c r="GV125" s="640">
        <v>1.2372008626690271E-4</v>
      </c>
      <c r="GW125" s="640" t="s">
        <v>2307</v>
      </c>
      <c r="GX125" s="640">
        <v>3.9775901628388774E-3</v>
      </c>
      <c r="GY125" s="640" t="s">
        <v>2307</v>
      </c>
      <c r="GZ125" s="640" t="s">
        <v>2307</v>
      </c>
      <c r="HA125" s="640" t="s">
        <v>2307</v>
      </c>
      <c r="HB125" s="640">
        <v>1.0158305179687361E-4</v>
      </c>
      <c r="HC125" s="640">
        <v>1.0158305179687361E-4</v>
      </c>
      <c r="HD125" s="640">
        <v>1.0158305179687361E-4</v>
      </c>
      <c r="HE125" s="640">
        <v>1.0158305179687361E-4</v>
      </c>
      <c r="HF125" s="640">
        <v>3.1256323629807264E-8</v>
      </c>
      <c r="HG125" s="640" t="s">
        <v>2307</v>
      </c>
      <c r="HH125" s="640" t="s">
        <v>2307</v>
      </c>
      <c r="HI125" s="640">
        <v>0.35354029347182597</v>
      </c>
      <c r="HJ125" s="640" t="s">
        <v>2307</v>
      </c>
      <c r="HK125" s="640">
        <v>7.7362695131127256E-5</v>
      </c>
      <c r="HL125" s="640">
        <v>2.2508634961720443E-4</v>
      </c>
      <c r="HM125" s="640" t="s">
        <v>2307</v>
      </c>
      <c r="HN125" s="640" t="s">
        <v>2307</v>
      </c>
      <c r="HO125" s="640" t="s">
        <v>2307</v>
      </c>
      <c r="HP125" s="640">
        <v>3.5134774834160174E-3</v>
      </c>
      <c r="HQ125" s="640">
        <v>0.2122153553601141</v>
      </c>
      <c r="HR125" s="640">
        <v>1.8185132754178166</v>
      </c>
      <c r="HS125" s="640">
        <v>0.5660771548724679</v>
      </c>
      <c r="HT125" s="640">
        <v>1.3175540562810064E-2</v>
      </c>
      <c r="HU125" s="640" t="s">
        <v>2307</v>
      </c>
      <c r="HV125" s="640" t="s">
        <v>2307</v>
      </c>
      <c r="HW125" s="640" t="s">
        <v>2307</v>
      </c>
      <c r="HX125" s="640">
        <v>0.24491872985391949</v>
      </c>
      <c r="HY125" s="640">
        <v>3.1860665127383421E-4</v>
      </c>
      <c r="HZ125" s="640">
        <v>3.168927972456142E-9</v>
      </c>
      <c r="IA125" s="640" t="s">
        <v>2307</v>
      </c>
      <c r="IB125" s="640" t="s">
        <v>2307</v>
      </c>
      <c r="IC125" s="640">
        <v>1.1356817503534859E-5</v>
      </c>
      <c r="ID125" s="640">
        <v>5.5290803280079404E-2</v>
      </c>
      <c r="IE125" s="640">
        <v>7.0543438667687525E-3</v>
      </c>
      <c r="IF125" s="640">
        <v>6.1528760089937197E-3</v>
      </c>
      <c r="IG125" s="640" t="s">
        <v>2307</v>
      </c>
      <c r="IH125" s="640" t="s">
        <v>2307</v>
      </c>
      <c r="II125" s="640">
        <v>20.000616065302925</v>
      </c>
      <c r="IJ125" s="640">
        <v>0.70750223870543394</v>
      </c>
      <c r="IK125" s="640" t="s">
        <v>2307</v>
      </c>
      <c r="IL125" s="640" t="s">
        <v>2307</v>
      </c>
      <c r="IM125" s="640" t="s">
        <v>2307</v>
      </c>
      <c r="IN125" s="640">
        <v>1.3448133801994801E-5</v>
      </c>
      <c r="IO125" s="640">
        <v>1.3841834187604847</v>
      </c>
      <c r="IP125" s="640" t="s">
        <v>2307</v>
      </c>
      <c r="IQ125" s="640" t="s">
        <v>2307</v>
      </c>
      <c r="IR125" s="640">
        <v>4.0839394355244494</v>
      </c>
      <c r="IS125" s="640" t="s">
        <v>2307</v>
      </c>
      <c r="IT125" s="640">
        <v>2.8116049285517461E-4</v>
      </c>
      <c r="IU125" s="640">
        <v>0.95601100795613958</v>
      </c>
      <c r="IV125" s="640">
        <v>3.8240440318245589E-5</v>
      </c>
      <c r="IW125" s="640">
        <v>3.8710450825810893E-4</v>
      </c>
      <c r="IX125" s="640" t="s">
        <v>2307</v>
      </c>
      <c r="IY125" s="640" t="s">
        <v>2307</v>
      </c>
      <c r="IZ125" s="640">
        <v>5.1905892384763719E-5</v>
      </c>
      <c r="JA125" s="640">
        <v>5.2623337328329773E-5</v>
      </c>
      <c r="JB125" s="640">
        <v>1.7645814803834371E-3</v>
      </c>
      <c r="JC125" s="640">
        <v>6.0704384084638967</v>
      </c>
      <c r="JD125" s="640" t="s">
        <v>2307</v>
      </c>
      <c r="JE125" s="640">
        <v>1.0610767768005705E-3</v>
      </c>
      <c r="JF125" s="640">
        <v>1.4855074875207985E-3</v>
      </c>
      <c r="JG125" s="640" t="s">
        <v>2307</v>
      </c>
      <c r="JH125" s="640" t="s">
        <v>2307</v>
      </c>
      <c r="JI125" s="640" t="s">
        <v>2307</v>
      </c>
      <c r="JJ125" s="640">
        <v>1.4915681682689508E-4</v>
      </c>
      <c r="JK125" s="640" t="s">
        <v>2307</v>
      </c>
      <c r="JL125" s="640">
        <v>5.9258890509543895E-2</v>
      </c>
      <c r="JM125" s="640">
        <v>7.1551993588459223E-4</v>
      </c>
      <c r="JN125" s="640">
        <v>4.0813910165419791E-2</v>
      </c>
      <c r="JO125" s="640">
        <v>2.4025888400005385E-2</v>
      </c>
      <c r="JP125" s="640">
        <v>2.4025888400005385E-2</v>
      </c>
      <c r="JQ125" s="640">
        <v>2.4025888400005385E-2</v>
      </c>
      <c r="JR125" s="640">
        <v>2.4025888400005385E-2</v>
      </c>
    </row>
    <row r="126" spans="1:278" ht="13.5">
      <c r="A126" s="51" t="str">
        <f>IF(Source="Groundwater","Target groundwater concentration","Target soil gas concentration")</f>
        <v>Target groundwater concentration</v>
      </c>
      <c r="B126" s="51"/>
      <c r="C126" s="108"/>
      <c r="D126" s="104" t="str">
        <f>IF(Source="Groundwater","(ug/L)","(ug/m3)")</f>
        <v>(ug/L)</v>
      </c>
      <c r="E126" s="51" t="str">
        <f>IF(Source="Groundwater","Target_GW","Target_SV")</f>
        <v>Target_GW</v>
      </c>
      <c r="FE126" s="640">
        <v>0.80490465747758455</v>
      </c>
      <c r="FF126" s="640">
        <v>1.2869409367694021E-2</v>
      </c>
      <c r="FG126" s="640">
        <v>1.9867800083995201E-2</v>
      </c>
      <c r="FH126" s="640">
        <v>14.70186678246616</v>
      </c>
      <c r="FI126" s="640">
        <v>0.77492614959878958</v>
      </c>
      <c r="FJ126" s="640">
        <v>2.4571217017126632E-10</v>
      </c>
      <c r="FK126" s="640">
        <v>0.15100292649139974</v>
      </c>
      <c r="FL126" s="640">
        <v>2.8087533829712572</v>
      </c>
      <c r="FM126" s="640">
        <v>5.8451713868968016E-3</v>
      </c>
      <c r="FN126" s="640" t="s">
        <v>2307</v>
      </c>
      <c r="FO126" s="640" t="s">
        <v>2307</v>
      </c>
      <c r="FP126" s="640">
        <v>599.57391168367622</v>
      </c>
      <c r="FQ126" s="640" t="s">
        <v>2307</v>
      </c>
      <c r="FR126" s="640">
        <v>3.8105060283058663E-3</v>
      </c>
      <c r="FS126" s="640" t="s">
        <v>2307</v>
      </c>
      <c r="FT126" s="640">
        <v>4.6916262517305087</v>
      </c>
      <c r="FU126" s="640">
        <v>78645.202547650872</v>
      </c>
      <c r="FV126" s="640">
        <v>86.810593145854511</v>
      </c>
      <c r="FW126" s="640">
        <v>1296.5323843903309</v>
      </c>
      <c r="FX126" s="640" t="s">
        <v>2307</v>
      </c>
      <c r="FY126" s="640">
        <v>4.1787125226352453</v>
      </c>
      <c r="FZ126" s="640">
        <v>3098.5931466512866</v>
      </c>
      <c r="GA126" s="640">
        <v>0.12778615769582349</v>
      </c>
      <c r="GB126" s="640">
        <v>1040.360289175708</v>
      </c>
      <c r="GC126" s="640">
        <v>3.7456238162421461E-2</v>
      </c>
      <c r="GD126" s="640">
        <v>104.34833701808581</v>
      </c>
      <c r="GE126" s="640">
        <v>2.8208516174096783</v>
      </c>
      <c r="GF126" s="640">
        <v>248.26430170794251</v>
      </c>
      <c r="GG126" s="640">
        <v>7.2840454758427207</v>
      </c>
      <c r="GH126" s="640" t="s">
        <v>2307</v>
      </c>
      <c r="GI126" s="640" t="s">
        <v>2307</v>
      </c>
      <c r="GJ126" s="640" t="s">
        <v>2307</v>
      </c>
      <c r="GK126" s="640" t="s">
        <v>2307</v>
      </c>
      <c r="GL126" s="640">
        <v>9.3596075304417298E-2</v>
      </c>
      <c r="GM126" s="640" t="s">
        <v>2307</v>
      </c>
      <c r="GN126" s="640" t="e">
        <v>#DIV/0!</v>
      </c>
      <c r="GO126" s="640">
        <v>0.39168690203209716</v>
      </c>
      <c r="GP126" s="640">
        <v>2.2511861975177035E-6</v>
      </c>
      <c r="GQ126" s="640">
        <v>13.93914075315857</v>
      </c>
      <c r="GR126" s="640">
        <v>4.5810493474690128</v>
      </c>
      <c r="GS126" s="640">
        <v>0.33819772701927947</v>
      </c>
      <c r="GT126" s="640">
        <v>0.48262544462434898</v>
      </c>
      <c r="GU126" s="640">
        <v>6.0937484415324956</v>
      </c>
      <c r="GV126" s="640">
        <v>7.1354669571898723</v>
      </c>
      <c r="GW126" s="640" t="s">
        <v>2307</v>
      </c>
      <c r="GX126" s="640">
        <v>4.0610311650740409E-4</v>
      </c>
      <c r="GY126" s="640" t="s">
        <v>2307</v>
      </c>
      <c r="GZ126" s="640" t="s">
        <v>2307</v>
      </c>
      <c r="HA126" s="640" t="s">
        <v>2307</v>
      </c>
      <c r="HB126" s="640">
        <v>0.57115906530333493</v>
      </c>
      <c r="HC126" s="640">
        <v>1.4857941922911391</v>
      </c>
      <c r="HD126" s="640">
        <v>0.56225594372695853</v>
      </c>
      <c r="HE126" s="640">
        <v>0.81148933453044547</v>
      </c>
      <c r="HF126" s="640">
        <v>2.4968902600936782E-4</v>
      </c>
      <c r="HG126" s="640" t="s">
        <v>2307</v>
      </c>
      <c r="HH126" s="640" t="s">
        <v>2307</v>
      </c>
      <c r="HI126" s="640">
        <v>3.7128288941607683E-2</v>
      </c>
      <c r="HJ126" s="640" t="s">
        <v>2307</v>
      </c>
      <c r="HK126" s="640">
        <v>7.7801646135973717E-4</v>
      </c>
      <c r="HL126" s="640">
        <v>3.0775261411327749E-4</v>
      </c>
      <c r="HM126" s="640" t="s">
        <v>2307</v>
      </c>
      <c r="HN126" s="640" t="s">
        <v>2307</v>
      </c>
      <c r="HO126" s="640" t="s">
        <v>2307</v>
      </c>
      <c r="HP126" s="640">
        <v>3.4502742779319719</v>
      </c>
      <c r="HQ126" s="640">
        <v>5.7286276578517974</v>
      </c>
      <c r="HR126" s="640">
        <v>0.56451087540492595</v>
      </c>
      <c r="HS126" s="640">
        <v>51814.740040879893</v>
      </c>
      <c r="HT126" s="640">
        <v>13.745362404576568</v>
      </c>
      <c r="HU126" s="640" t="s">
        <v>2307</v>
      </c>
      <c r="HV126" s="640" t="s">
        <v>2307</v>
      </c>
      <c r="HW126" s="640" t="s">
        <v>2307</v>
      </c>
      <c r="HX126" s="640">
        <v>18.892590600494515</v>
      </c>
      <c r="HY126" s="640" t="e">
        <v>#DIV/0!</v>
      </c>
      <c r="HZ126" s="640">
        <v>4.5505859014103527E-5</v>
      </c>
      <c r="IA126" s="640" t="s">
        <v>2307</v>
      </c>
      <c r="IB126" s="640" t="s">
        <v>2307</v>
      </c>
      <c r="IC126" s="640">
        <v>6.8503481690566081E-2</v>
      </c>
      <c r="ID126" s="640">
        <v>10.524829603659187</v>
      </c>
      <c r="IE126" s="640">
        <v>8.509833360595433</v>
      </c>
      <c r="IF126" s="640">
        <v>0.15838663915971388</v>
      </c>
      <c r="IG126" s="640" t="s">
        <v>2307</v>
      </c>
      <c r="IH126" s="640" t="s">
        <v>2307</v>
      </c>
      <c r="II126" s="640">
        <v>74.100442287710806</v>
      </c>
      <c r="IJ126" s="640">
        <v>993.48615590075644</v>
      </c>
      <c r="IK126" s="640" t="s">
        <v>2307</v>
      </c>
      <c r="IL126" s="640" t="s">
        <v>2307</v>
      </c>
      <c r="IM126" s="640" t="s">
        <v>2307</v>
      </c>
      <c r="IN126" s="640" t="e">
        <v>#DIV/0!</v>
      </c>
      <c r="IO126" s="640">
        <v>36.444650957135607</v>
      </c>
      <c r="IP126" s="640" t="s">
        <v>2307</v>
      </c>
      <c r="IQ126" s="640" t="s">
        <v>2307</v>
      </c>
      <c r="IR126" s="640">
        <v>5.2116347165502219</v>
      </c>
      <c r="IS126" s="640" t="s">
        <v>2307</v>
      </c>
      <c r="IT126" s="640">
        <v>0.12002786228189773</v>
      </c>
      <c r="IU126" s="640">
        <v>16.414695978205579</v>
      </c>
      <c r="IV126" s="640">
        <v>1.3031144000234897E-2</v>
      </c>
      <c r="IW126" s="640">
        <v>1.0876840943479724E-2</v>
      </c>
      <c r="IX126" s="640" t="s">
        <v>2307</v>
      </c>
      <c r="IY126" s="640" t="s">
        <v>2307</v>
      </c>
      <c r="IZ126" s="640">
        <v>5.1501752081941847E-2</v>
      </c>
      <c r="JA126" s="640">
        <v>1.0420860016742484E-3</v>
      </c>
      <c r="JB126" s="640">
        <v>2.3612041669691237</v>
      </c>
      <c r="JC126" s="640">
        <v>1.0374215238367439</v>
      </c>
      <c r="JD126" s="640" t="s">
        <v>2307</v>
      </c>
      <c r="JE126" s="640">
        <v>6.7746705307086652E-2</v>
      </c>
      <c r="JF126" s="640">
        <v>6.7764382228525294E-2</v>
      </c>
      <c r="JG126" s="640" t="s">
        <v>2307</v>
      </c>
      <c r="JH126" s="640" t="s">
        <v>2307</v>
      </c>
      <c r="JI126" s="640" t="s">
        <v>2307</v>
      </c>
      <c r="JJ126" s="640">
        <v>17.770952172857463</v>
      </c>
      <c r="JK126" s="640" t="s">
        <v>2307</v>
      </c>
      <c r="JL126" s="640">
        <v>17.154592082430202</v>
      </c>
      <c r="JM126" s="640">
        <v>1.086426317680817E-2</v>
      </c>
      <c r="JN126" s="640">
        <v>0.1350599542919261</v>
      </c>
      <c r="JO126" s="640">
        <v>0.75085302959112343</v>
      </c>
      <c r="JP126" s="640">
        <v>1.0327305311301849</v>
      </c>
      <c r="JQ126" s="640">
        <v>0.78237844430228765</v>
      </c>
      <c r="JR126" s="640">
        <v>0.8114871528760127</v>
      </c>
    </row>
    <row r="127" spans="1:278" ht="18">
      <c r="A127" s="63" t="s">
        <v>301</v>
      </c>
      <c r="B127" s="64"/>
      <c r="C127" s="64"/>
      <c r="D127" s="65"/>
      <c r="E127" s="64"/>
      <c r="FE127" s="628"/>
      <c r="FF127" s="628"/>
      <c r="FG127" s="628"/>
      <c r="FH127" s="628"/>
      <c r="FI127" s="628"/>
      <c r="FJ127" s="628"/>
      <c r="FK127" s="628"/>
      <c r="FL127" s="628"/>
      <c r="FM127" s="628"/>
      <c r="FN127" s="628"/>
      <c r="FO127" s="628"/>
      <c r="FP127" s="628"/>
      <c r="FQ127" s="628"/>
      <c r="FR127" s="628"/>
      <c r="FS127" s="628"/>
      <c r="FT127" s="628"/>
      <c r="FU127" s="628"/>
      <c r="FV127" s="628"/>
      <c r="FW127" s="628"/>
      <c r="FX127" s="628"/>
      <c r="FY127" s="628"/>
      <c r="FZ127" s="628"/>
      <c r="GA127" s="628"/>
      <c r="GB127" s="628"/>
      <c r="GC127" s="628"/>
      <c r="GD127" s="628"/>
      <c r="GE127" s="628"/>
      <c r="GF127" s="628"/>
      <c r="GG127" s="628"/>
      <c r="GH127" s="628"/>
      <c r="GI127" s="628"/>
      <c r="GJ127" s="628"/>
      <c r="GK127" s="628"/>
      <c r="GL127" s="628"/>
      <c r="GM127" s="628"/>
      <c r="GN127" s="628"/>
      <c r="GO127" s="628"/>
      <c r="GP127" s="628"/>
      <c r="GQ127" s="628"/>
      <c r="GR127" s="628"/>
      <c r="GS127" s="628"/>
      <c r="GT127" s="628"/>
      <c r="GU127" s="628"/>
      <c r="GV127" s="628"/>
      <c r="GW127" s="628"/>
      <c r="GX127" s="628"/>
      <c r="GY127" s="628"/>
      <c r="GZ127" s="628"/>
      <c r="HA127" s="628"/>
      <c r="HB127" s="628"/>
      <c r="HC127" s="628"/>
      <c r="HD127" s="628"/>
      <c r="HE127" s="628"/>
      <c r="HF127" s="628"/>
      <c r="HG127" s="628"/>
      <c r="HH127" s="628"/>
      <c r="HI127" s="628"/>
      <c r="HJ127" s="628"/>
      <c r="HK127" s="628"/>
      <c r="HL127" s="628"/>
      <c r="HM127" s="628"/>
      <c r="HN127" s="628"/>
      <c r="HO127" s="628"/>
      <c r="HP127" s="628"/>
      <c r="HQ127" s="628"/>
      <c r="HR127" s="628"/>
      <c r="HS127" s="628"/>
      <c r="HT127" s="628"/>
      <c r="HU127" s="628"/>
      <c r="HV127" s="628"/>
      <c r="HW127" s="628"/>
      <c r="HX127" s="628"/>
      <c r="HY127" s="628"/>
      <c r="HZ127" s="628"/>
      <c r="IA127" s="628"/>
      <c r="IB127" s="628"/>
      <c r="IC127" s="628"/>
      <c r="ID127" s="628"/>
      <c r="IE127" s="628"/>
      <c r="IF127" s="628"/>
      <c r="IG127" s="628"/>
      <c r="IH127" s="628"/>
      <c r="II127" s="628"/>
      <c r="IJ127" s="628"/>
      <c r="IK127" s="628"/>
      <c r="IL127" s="628"/>
      <c r="IM127" s="628"/>
      <c r="IN127" s="628"/>
      <c r="IO127" s="628"/>
      <c r="IP127" s="628"/>
      <c r="IQ127" s="628"/>
      <c r="IR127" s="628"/>
      <c r="IS127" s="628"/>
      <c r="IT127" s="628"/>
      <c r="IU127" s="628"/>
      <c r="IV127" s="628"/>
      <c r="IW127" s="628"/>
      <c r="IX127" s="628"/>
      <c r="IY127" s="628"/>
      <c r="IZ127" s="628"/>
      <c r="JA127" s="628"/>
      <c r="JB127" s="628"/>
      <c r="JC127" s="628"/>
      <c r="JD127" s="628"/>
      <c r="JE127" s="628"/>
      <c r="JF127" s="628"/>
      <c r="JG127" s="628"/>
      <c r="JH127" s="628"/>
      <c r="JI127" s="628"/>
      <c r="JJ127" s="628"/>
      <c r="JK127" s="628"/>
      <c r="JL127" s="628"/>
      <c r="JM127" s="628"/>
      <c r="JN127" s="628"/>
      <c r="JO127" s="628"/>
      <c r="JP127" s="628"/>
      <c r="JQ127" s="628"/>
      <c r="JR127" s="628"/>
    </row>
    <row r="128" spans="1:278">
      <c r="A128" s="51" t="s">
        <v>285</v>
      </c>
      <c r="B128" s="51"/>
      <c r="C128" s="51"/>
      <c r="D128" s="104" t="s">
        <v>128</v>
      </c>
      <c r="E128" s="51" t="s">
        <v>2366</v>
      </c>
      <c r="FE128" s="640">
        <v>0</v>
      </c>
      <c r="FF128" s="640">
        <v>0</v>
      </c>
      <c r="FG128" s="640">
        <v>0</v>
      </c>
      <c r="FH128" s="640">
        <v>0</v>
      </c>
      <c r="FI128" s="640">
        <v>0</v>
      </c>
      <c r="FJ128" s="640">
        <v>0</v>
      </c>
      <c r="FK128" s="640">
        <v>0</v>
      </c>
      <c r="FL128" s="640">
        <v>0</v>
      </c>
      <c r="FM128" s="640">
        <v>0</v>
      </c>
      <c r="FN128" s="640" t="s">
        <v>707</v>
      </c>
      <c r="FO128" s="640" t="s">
        <v>707</v>
      </c>
      <c r="FP128" s="640">
        <v>0</v>
      </c>
      <c r="FQ128" s="640" t="s">
        <v>707</v>
      </c>
      <c r="FR128" s="640">
        <v>0</v>
      </c>
      <c r="FS128" s="640" t="s">
        <v>707</v>
      </c>
      <c r="FT128" s="640">
        <v>0</v>
      </c>
      <c r="FU128" s="640">
        <v>0</v>
      </c>
      <c r="FV128" s="640">
        <v>0</v>
      </c>
      <c r="FW128" s="640">
        <v>0</v>
      </c>
      <c r="FX128" s="640" t="s">
        <v>707</v>
      </c>
      <c r="FY128" s="640">
        <v>0</v>
      </c>
      <c r="FZ128" s="640">
        <v>0</v>
      </c>
      <c r="GA128" s="640">
        <v>0</v>
      </c>
      <c r="GB128" s="640">
        <v>0</v>
      </c>
      <c r="GC128" s="640">
        <v>0</v>
      </c>
      <c r="GD128" s="640">
        <v>0</v>
      </c>
      <c r="GE128" s="640">
        <v>0</v>
      </c>
      <c r="GF128" s="640">
        <v>0</v>
      </c>
      <c r="GG128" s="640">
        <v>0</v>
      </c>
      <c r="GH128" s="640" t="s">
        <v>707</v>
      </c>
      <c r="GI128" s="640" t="s">
        <v>707</v>
      </c>
      <c r="GJ128" s="640" t="s">
        <v>707</v>
      </c>
      <c r="GK128" s="640" t="s">
        <v>707</v>
      </c>
      <c r="GL128" s="640">
        <v>0</v>
      </c>
      <c r="GM128" s="640" t="s">
        <v>707</v>
      </c>
      <c r="GN128" s="640">
        <v>0</v>
      </c>
      <c r="GO128" s="640">
        <v>0</v>
      </c>
      <c r="GP128" s="640">
        <v>0</v>
      </c>
      <c r="GQ128" s="640">
        <v>0</v>
      </c>
      <c r="GR128" s="640">
        <v>0</v>
      </c>
      <c r="GS128" s="640">
        <v>0</v>
      </c>
      <c r="GT128" s="640">
        <v>0</v>
      </c>
      <c r="GU128" s="640">
        <v>0</v>
      </c>
      <c r="GV128" s="640">
        <v>0</v>
      </c>
      <c r="GW128" s="640" t="s">
        <v>707</v>
      </c>
      <c r="GX128" s="640">
        <v>0</v>
      </c>
      <c r="GY128" s="640" t="s">
        <v>707</v>
      </c>
      <c r="GZ128" s="640" t="s">
        <v>707</v>
      </c>
      <c r="HA128" s="640" t="s">
        <v>707</v>
      </c>
      <c r="HB128" s="640">
        <v>0</v>
      </c>
      <c r="HC128" s="640">
        <v>0</v>
      </c>
      <c r="HD128" s="640">
        <v>0</v>
      </c>
      <c r="HE128" s="640">
        <v>0</v>
      </c>
      <c r="HF128" s="640">
        <v>0</v>
      </c>
      <c r="HG128" s="640" t="s">
        <v>707</v>
      </c>
      <c r="HH128" s="640" t="s">
        <v>707</v>
      </c>
      <c r="HI128" s="640">
        <v>0</v>
      </c>
      <c r="HJ128" s="640" t="s">
        <v>707</v>
      </c>
      <c r="HK128" s="640">
        <v>0</v>
      </c>
      <c r="HL128" s="640">
        <v>0</v>
      </c>
      <c r="HM128" s="640" t="s">
        <v>707</v>
      </c>
      <c r="HN128" s="640" t="s">
        <v>707</v>
      </c>
      <c r="HO128" s="640" t="s">
        <v>707</v>
      </c>
      <c r="HP128" s="640">
        <v>0</v>
      </c>
      <c r="HQ128" s="640">
        <v>0</v>
      </c>
      <c r="HR128" s="640">
        <v>0</v>
      </c>
      <c r="HS128" s="640">
        <v>0</v>
      </c>
      <c r="HT128" s="640">
        <v>0</v>
      </c>
      <c r="HU128" s="640" t="s">
        <v>707</v>
      </c>
      <c r="HV128" s="640" t="s">
        <v>707</v>
      </c>
      <c r="HW128" s="640" t="s">
        <v>707</v>
      </c>
      <c r="HX128" s="640">
        <v>0</v>
      </c>
      <c r="HY128" s="640">
        <v>0</v>
      </c>
      <c r="HZ128" s="640">
        <v>0</v>
      </c>
      <c r="IA128" s="640" t="s">
        <v>707</v>
      </c>
      <c r="IB128" s="640" t="s">
        <v>707</v>
      </c>
      <c r="IC128" s="640">
        <v>0</v>
      </c>
      <c r="ID128" s="640">
        <v>0</v>
      </c>
      <c r="IE128" s="640">
        <v>0</v>
      </c>
      <c r="IF128" s="640">
        <v>0</v>
      </c>
      <c r="IG128" s="640" t="s">
        <v>707</v>
      </c>
      <c r="IH128" s="640" t="s">
        <v>707</v>
      </c>
      <c r="II128" s="640">
        <v>0</v>
      </c>
      <c r="IJ128" s="640">
        <v>0</v>
      </c>
      <c r="IK128" s="640" t="s">
        <v>707</v>
      </c>
      <c r="IL128" s="640" t="s">
        <v>707</v>
      </c>
      <c r="IM128" s="640" t="s">
        <v>707</v>
      </c>
      <c r="IN128" s="640">
        <v>0</v>
      </c>
      <c r="IO128" s="640">
        <v>0</v>
      </c>
      <c r="IP128" s="640" t="s">
        <v>707</v>
      </c>
      <c r="IQ128" s="640" t="s">
        <v>707</v>
      </c>
      <c r="IR128" s="640">
        <v>0</v>
      </c>
      <c r="IS128" s="640" t="s">
        <v>707</v>
      </c>
      <c r="IT128" s="640">
        <v>0</v>
      </c>
      <c r="IU128" s="640">
        <v>0</v>
      </c>
      <c r="IV128" s="640">
        <v>0</v>
      </c>
      <c r="IW128" s="640">
        <v>0</v>
      </c>
      <c r="IX128" s="640" t="s">
        <v>707</v>
      </c>
      <c r="IY128" s="640" t="s">
        <v>707</v>
      </c>
      <c r="IZ128" s="640">
        <v>0</v>
      </c>
      <c r="JA128" s="640">
        <v>0</v>
      </c>
      <c r="JB128" s="640">
        <v>0</v>
      </c>
      <c r="JC128" s="640">
        <v>0</v>
      </c>
      <c r="JD128" s="640" t="s">
        <v>707</v>
      </c>
      <c r="JE128" s="640">
        <v>0</v>
      </c>
      <c r="JF128" s="640">
        <v>0</v>
      </c>
      <c r="JG128" s="640" t="s">
        <v>707</v>
      </c>
      <c r="JH128" s="640" t="s">
        <v>707</v>
      </c>
      <c r="JI128" s="640" t="s">
        <v>707</v>
      </c>
      <c r="JJ128" s="640">
        <v>0</v>
      </c>
      <c r="JK128" s="640" t="s">
        <v>707</v>
      </c>
      <c r="JL128" s="640">
        <v>0</v>
      </c>
      <c r="JM128" s="640">
        <v>0</v>
      </c>
      <c r="JN128" s="640">
        <v>0</v>
      </c>
      <c r="JO128" s="640">
        <v>0</v>
      </c>
      <c r="JP128" s="640">
        <v>0</v>
      </c>
      <c r="JQ128" s="640">
        <v>0</v>
      </c>
      <c r="JR128" s="640">
        <v>0</v>
      </c>
    </row>
    <row r="129" spans="1:278" ht="13.5">
      <c r="A129" s="51"/>
      <c r="B129" s="51"/>
      <c r="C129" s="51"/>
      <c r="D129" s="104"/>
      <c r="E129" s="170" t="s">
        <v>337</v>
      </c>
      <c r="FE129" s="640"/>
      <c r="FF129" s="640"/>
      <c r="FG129" s="640"/>
      <c r="FH129" s="640"/>
      <c r="FI129" s="640"/>
      <c r="FJ129" s="640"/>
      <c r="FK129" s="640"/>
      <c r="FL129" s="640"/>
      <c r="FM129" s="640"/>
      <c r="FN129" s="640"/>
      <c r="FO129" s="640"/>
      <c r="FP129" s="640"/>
      <c r="FQ129" s="640"/>
      <c r="FR129" s="640"/>
      <c r="FS129" s="640"/>
      <c r="FT129" s="640"/>
      <c r="FU129" s="640"/>
      <c r="FV129" s="640"/>
      <c r="FW129" s="640"/>
      <c r="FX129" s="640"/>
      <c r="FY129" s="640"/>
      <c r="FZ129" s="640"/>
      <c r="GA129" s="640"/>
      <c r="GB129" s="640"/>
      <c r="GC129" s="640"/>
      <c r="GD129" s="640"/>
      <c r="GE129" s="640"/>
      <c r="GF129" s="640"/>
      <c r="GG129" s="640"/>
      <c r="GH129" s="640"/>
      <c r="GI129" s="640"/>
      <c r="GJ129" s="640"/>
      <c r="GK129" s="640"/>
      <c r="GL129" s="640"/>
      <c r="GM129" s="640"/>
      <c r="GN129" s="640"/>
      <c r="GO129" s="640"/>
      <c r="GP129" s="640"/>
      <c r="GQ129" s="640"/>
      <c r="GR129" s="640"/>
      <c r="GS129" s="640"/>
      <c r="GT129" s="640"/>
      <c r="GU129" s="640"/>
      <c r="GV129" s="640"/>
      <c r="GW129" s="640"/>
      <c r="GX129" s="640"/>
      <c r="GY129" s="640"/>
      <c r="GZ129" s="640"/>
      <c r="HA129" s="640"/>
      <c r="HB129" s="640"/>
      <c r="HC129" s="640"/>
      <c r="HD129" s="640"/>
      <c r="HE129" s="640"/>
      <c r="HF129" s="640"/>
      <c r="HG129" s="640"/>
      <c r="HH129" s="640"/>
      <c r="HI129" s="640"/>
      <c r="HJ129" s="640"/>
      <c r="HK129" s="640"/>
      <c r="HL129" s="640"/>
      <c r="HM129" s="640"/>
      <c r="HN129" s="640"/>
      <c r="HO129" s="640"/>
      <c r="HP129" s="640"/>
      <c r="HQ129" s="640"/>
      <c r="HR129" s="640"/>
      <c r="HS129" s="640"/>
      <c r="HT129" s="640"/>
      <c r="HU129" s="640"/>
      <c r="HV129" s="640"/>
      <c r="HW129" s="640"/>
      <c r="HX129" s="640"/>
      <c r="HY129" s="640"/>
      <c r="HZ129" s="640"/>
      <c r="IA129" s="640"/>
      <c r="IB129" s="640"/>
      <c r="IC129" s="640"/>
      <c r="ID129" s="640"/>
      <c r="IE129" s="640"/>
      <c r="IF129" s="640"/>
      <c r="IG129" s="640"/>
      <c r="IH129" s="640"/>
      <c r="II129" s="640"/>
      <c r="IJ129" s="640"/>
      <c r="IK129" s="640"/>
      <c r="IL129" s="640"/>
      <c r="IM129" s="640"/>
      <c r="IN129" s="640"/>
      <c r="IO129" s="640"/>
      <c r="IP129" s="640"/>
      <c r="IQ129" s="640"/>
      <c r="IR129" s="640"/>
      <c r="IS129" s="640"/>
      <c r="IT129" s="640"/>
      <c r="IU129" s="640"/>
      <c r="IV129" s="640"/>
      <c r="IW129" s="640"/>
      <c r="IX129" s="640"/>
      <c r="IY129" s="640"/>
      <c r="IZ129" s="640"/>
      <c r="JA129" s="640"/>
      <c r="JB129" s="640"/>
      <c r="JC129" s="640"/>
      <c r="JD129" s="640"/>
      <c r="JE129" s="640"/>
      <c r="JF129" s="640"/>
      <c r="JG129" s="640"/>
      <c r="JH129" s="640"/>
      <c r="JI129" s="640"/>
      <c r="JJ129" s="640"/>
      <c r="JK129" s="640"/>
      <c r="JL129" s="640"/>
      <c r="JM129" s="640"/>
      <c r="JN129" s="640"/>
      <c r="JO129" s="640"/>
      <c r="JP129" s="640"/>
      <c r="JQ129" s="640"/>
      <c r="JR129" s="640"/>
    </row>
    <row r="130" spans="1:278">
      <c r="A130" s="51" t="s">
        <v>286</v>
      </c>
      <c r="B130" s="51"/>
      <c r="C130" s="51"/>
      <c r="D130" s="104" t="s">
        <v>128</v>
      </c>
      <c r="E130" s="762" t="s">
        <v>2365</v>
      </c>
      <c r="FE130" s="641">
        <v>0</v>
      </c>
      <c r="FF130" s="641">
        <v>0</v>
      </c>
      <c r="FG130" s="641">
        <v>0</v>
      </c>
      <c r="FH130" s="641">
        <v>0</v>
      </c>
      <c r="FI130" s="641">
        <v>0</v>
      </c>
      <c r="FJ130" s="641">
        <v>0</v>
      </c>
      <c r="FK130" s="641">
        <v>0</v>
      </c>
      <c r="FL130" s="641">
        <v>0</v>
      </c>
      <c r="FM130" s="641">
        <v>0</v>
      </c>
      <c r="FN130" s="641" t="s">
        <v>707</v>
      </c>
      <c r="FO130" s="641" t="s">
        <v>707</v>
      </c>
      <c r="FP130" s="641">
        <v>0</v>
      </c>
      <c r="FQ130" s="641" t="s">
        <v>707</v>
      </c>
      <c r="FR130" s="641">
        <v>0</v>
      </c>
      <c r="FS130" s="641" t="s">
        <v>707</v>
      </c>
      <c r="FT130" s="641">
        <v>0</v>
      </c>
      <c r="FU130" s="641">
        <v>0</v>
      </c>
      <c r="FV130" s="641">
        <v>0</v>
      </c>
      <c r="FW130" s="641">
        <v>0</v>
      </c>
      <c r="FX130" s="641" t="s">
        <v>707</v>
      </c>
      <c r="FY130" s="641">
        <v>0</v>
      </c>
      <c r="FZ130" s="641">
        <v>0</v>
      </c>
      <c r="GA130" s="641">
        <v>0</v>
      </c>
      <c r="GB130" s="641">
        <v>0</v>
      </c>
      <c r="GC130" s="641">
        <v>0</v>
      </c>
      <c r="GD130" s="641">
        <v>0</v>
      </c>
      <c r="GE130" s="641">
        <v>0</v>
      </c>
      <c r="GF130" s="641">
        <v>0</v>
      </c>
      <c r="GG130" s="641">
        <v>0</v>
      </c>
      <c r="GH130" s="641" t="s">
        <v>707</v>
      </c>
      <c r="GI130" s="641" t="s">
        <v>707</v>
      </c>
      <c r="GJ130" s="641" t="s">
        <v>707</v>
      </c>
      <c r="GK130" s="641" t="s">
        <v>707</v>
      </c>
      <c r="GL130" s="641" t="e">
        <v>#DIV/0!</v>
      </c>
      <c r="GM130" s="641" t="s">
        <v>707</v>
      </c>
      <c r="GN130" s="641" t="e">
        <v>#DIV/0!</v>
      </c>
      <c r="GO130" s="641">
        <v>0</v>
      </c>
      <c r="GP130" s="641">
        <v>0</v>
      </c>
      <c r="GQ130" s="641">
        <v>0</v>
      </c>
      <c r="GR130" s="641">
        <v>0</v>
      </c>
      <c r="GS130" s="641">
        <v>0</v>
      </c>
      <c r="GT130" s="641">
        <v>0</v>
      </c>
      <c r="GU130" s="641" t="e">
        <v>#DIV/0!</v>
      </c>
      <c r="GV130" s="641" t="e">
        <v>#DIV/0!</v>
      </c>
      <c r="GW130" s="641" t="s">
        <v>707</v>
      </c>
      <c r="GX130" s="641">
        <v>0</v>
      </c>
      <c r="GY130" s="641" t="s">
        <v>707</v>
      </c>
      <c r="GZ130" s="641" t="s">
        <v>707</v>
      </c>
      <c r="HA130" s="641" t="s">
        <v>707</v>
      </c>
      <c r="HB130" s="641">
        <v>0</v>
      </c>
      <c r="HC130" s="641">
        <v>0</v>
      </c>
      <c r="HD130" s="641">
        <v>0</v>
      </c>
      <c r="HE130" s="641">
        <v>0</v>
      </c>
      <c r="HF130" s="641">
        <v>0</v>
      </c>
      <c r="HG130" s="641" t="s">
        <v>707</v>
      </c>
      <c r="HH130" s="641" t="s">
        <v>707</v>
      </c>
      <c r="HI130" s="641">
        <v>0</v>
      </c>
      <c r="HJ130" s="641" t="s">
        <v>707</v>
      </c>
      <c r="HK130" s="641">
        <v>0</v>
      </c>
      <c r="HL130" s="641">
        <v>0</v>
      </c>
      <c r="HM130" s="641" t="s">
        <v>707</v>
      </c>
      <c r="HN130" s="641" t="s">
        <v>707</v>
      </c>
      <c r="HO130" s="641" t="s">
        <v>707</v>
      </c>
      <c r="HP130" s="641">
        <v>0</v>
      </c>
      <c r="HQ130" s="641">
        <v>0</v>
      </c>
      <c r="HR130" s="641">
        <v>0</v>
      </c>
      <c r="HS130" s="641">
        <v>0</v>
      </c>
      <c r="HT130" s="641">
        <v>0</v>
      </c>
      <c r="HU130" s="641" t="s">
        <v>707</v>
      </c>
      <c r="HV130" s="641" t="s">
        <v>707</v>
      </c>
      <c r="HW130" s="641" t="s">
        <v>707</v>
      </c>
      <c r="HX130" s="641">
        <v>0</v>
      </c>
      <c r="HY130" s="641" t="e">
        <v>#DIV/0!</v>
      </c>
      <c r="HZ130" s="641">
        <v>0</v>
      </c>
      <c r="IA130" s="641" t="s">
        <v>707</v>
      </c>
      <c r="IB130" s="641" t="s">
        <v>707</v>
      </c>
      <c r="IC130" s="641">
        <v>0</v>
      </c>
      <c r="ID130" s="641" t="e">
        <v>#DIV/0!</v>
      </c>
      <c r="IE130" s="641" t="e">
        <v>#DIV/0!</v>
      </c>
      <c r="IF130" s="641">
        <v>0</v>
      </c>
      <c r="IG130" s="641" t="s">
        <v>707</v>
      </c>
      <c r="IH130" s="641" t="s">
        <v>707</v>
      </c>
      <c r="II130" s="641">
        <v>0</v>
      </c>
      <c r="IJ130" s="641">
        <v>0</v>
      </c>
      <c r="IK130" s="641" t="s">
        <v>707</v>
      </c>
      <c r="IL130" s="641" t="s">
        <v>707</v>
      </c>
      <c r="IM130" s="641" t="s">
        <v>707</v>
      </c>
      <c r="IN130" s="641" t="e">
        <v>#DIV/0!</v>
      </c>
      <c r="IO130" s="641">
        <v>0</v>
      </c>
      <c r="IP130" s="641" t="s">
        <v>707</v>
      </c>
      <c r="IQ130" s="641" t="s">
        <v>707</v>
      </c>
      <c r="IR130" s="641">
        <v>0</v>
      </c>
      <c r="IS130" s="641" t="s">
        <v>707</v>
      </c>
      <c r="IT130" s="641">
        <v>0</v>
      </c>
      <c r="IU130" s="641">
        <v>0</v>
      </c>
      <c r="IV130" s="641">
        <v>0</v>
      </c>
      <c r="IW130" s="641">
        <v>0</v>
      </c>
      <c r="IX130" s="641" t="s">
        <v>707</v>
      </c>
      <c r="IY130" s="641" t="s">
        <v>707</v>
      </c>
      <c r="IZ130" s="641">
        <v>0</v>
      </c>
      <c r="JA130" s="641">
        <v>0</v>
      </c>
      <c r="JB130" s="641">
        <v>0</v>
      </c>
      <c r="JC130" s="641">
        <v>0</v>
      </c>
      <c r="JD130" s="641" t="s">
        <v>707</v>
      </c>
      <c r="JE130" s="641">
        <v>0</v>
      </c>
      <c r="JF130" s="641">
        <v>0</v>
      </c>
      <c r="JG130" s="641" t="s">
        <v>707</v>
      </c>
      <c r="JH130" s="641" t="s">
        <v>707</v>
      </c>
      <c r="JI130" s="641" t="s">
        <v>707</v>
      </c>
      <c r="JJ130" s="641" t="e">
        <v>#DIV/0!</v>
      </c>
      <c r="JK130" s="641" t="s">
        <v>707</v>
      </c>
      <c r="JL130" s="641">
        <v>0</v>
      </c>
      <c r="JM130" s="641">
        <v>0</v>
      </c>
      <c r="JN130" s="641">
        <v>0</v>
      </c>
      <c r="JO130" s="641">
        <v>0</v>
      </c>
      <c r="JP130" s="641">
        <v>0</v>
      </c>
      <c r="JQ130" s="641">
        <v>0</v>
      </c>
      <c r="JR130" s="641">
        <v>0</v>
      </c>
    </row>
    <row r="131" spans="1:278" s="768" customFormat="1" ht="13.5">
      <c r="A131" s="759"/>
      <c r="B131" s="759"/>
      <c r="C131" s="759"/>
      <c r="D131" s="760"/>
      <c r="E131" s="763" t="s">
        <v>337</v>
      </c>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c r="CD131"/>
      <c r="CE131"/>
      <c r="CF131"/>
      <c r="CG131"/>
      <c r="CH131"/>
      <c r="CI131"/>
      <c r="CJ131"/>
      <c r="CK131"/>
      <c r="CL131"/>
      <c r="CM131"/>
      <c r="CN131"/>
      <c r="CO131"/>
      <c r="CP131"/>
      <c r="CQ131"/>
      <c r="CR131"/>
      <c r="CS131"/>
      <c r="CT131"/>
      <c r="CU131"/>
      <c r="CV131"/>
      <c r="CW131"/>
      <c r="CX131"/>
      <c r="CY131"/>
      <c r="CZ131"/>
      <c r="DA131"/>
      <c r="DB131"/>
      <c r="DC131"/>
      <c r="DD131"/>
      <c r="DE131"/>
      <c r="DF131"/>
      <c r="DG131"/>
      <c r="DH131"/>
      <c r="DI131"/>
      <c r="DJ131"/>
      <c r="DK131"/>
      <c r="DL131"/>
      <c r="DM131"/>
      <c r="DN131"/>
      <c r="DO131"/>
      <c r="DP131"/>
      <c r="DQ131"/>
      <c r="DR131"/>
      <c r="DS131"/>
      <c r="DT131"/>
      <c r="DU131"/>
      <c r="DV131"/>
      <c r="DW131"/>
      <c r="DX131"/>
      <c r="DY131"/>
      <c r="DZ131"/>
      <c r="EA131"/>
      <c r="EB131"/>
      <c r="EC131"/>
      <c r="ED131"/>
      <c r="EE131"/>
      <c r="EF131"/>
      <c r="EG131"/>
      <c r="EH131"/>
      <c r="EI131"/>
      <c r="EJ131"/>
      <c r="EK131"/>
      <c r="EL131"/>
      <c r="EM131"/>
      <c r="EN131"/>
      <c r="EO131"/>
      <c r="EP131"/>
      <c r="EQ131"/>
      <c r="ER131"/>
      <c r="ES131"/>
      <c r="ET131"/>
      <c r="EU131"/>
      <c r="EV131"/>
      <c r="EW131"/>
      <c r="EX131"/>
      <c r="EY131"/>
      <c r="EZ131"/>
      <c r="FA131"/>
      <c r="FB131"/>
      <c r="FC131"/>
      <c r="FD131"/>
      <c r="FE131" s="758">
        <v>0</v>
      </c>
      <c r="FF131" s="761">
        <v>0</v>
      </c>
      <c r="FG131" s="761">
        <v>0</v>
      </c>
      <c r="FH131" s="761">
        <v>0</v>
      </c>
      <c r="FI131" s="761">
        <v>0</v>
      </c>
      <c r="FJ131" s="761">
        <v>0</v>
      </c>
      <c r="FK131" s="761">
        <v>0</v>
      </c>
      <c r="FL131" s="761">
        <v>0</v>
      </c>
      <c r="FM131" s="761">
        <v>0</v>
      </c>
      <c r="FN131" s="761" t="s">
        <v>707</v>
      </c>
      <c r="FO131" s="761" t="s">
        <v>707</v>
      </c>
      <c r="FP131" s="761">
        <v>0</v>
      </c>
      <c r="FQ131" s="761" t="s">
        <v>707</v>
      </c>
      <c r="FR131" s="761">
        <v>0</v>
      </c>
      <c r="FS131" s="761" t="s">
        <v>707</v>
      </c>
      <c r="FT131" s="761">
        <v>0</v>
      </c>
      <c r="FU131" s="761">
        <v>0</v>
      </c>
      <c r="FV131" s="761">
        <v>0</v>
      </c>
      <c r="FW131" s="761">
        <v>0</v>
      </c>
      <c r="FX131" s="761" t="s">
        <v>707</v>
      </c>
      <c r="FY131" s="761">
        <v>0</v>
      </c>
      <c r="FZ131" s="761">
        <v>0</v>
      </c>
      <c r="GA131" s="761">
        <v>0</v>
      </c>
      <c r="GB131" s="761">
        <v>0</v>
      </c>
      <c r="GC131" s="761">
        <v>0</v>
      </c>
      <c r="GD131" s="761">
        <v>0</v>
      </c>
      <c r="GE131" s="761">
        <v>0</v>
      </c>
      <c r="GF131" s="761">
        <v>0</v>
      </c>
      <c r="GG131" s="761">
        <v>0</v>
      </c>
      <c r="GH131" s="761" t="s">
        <v>707</v>
      </c>
      <c r="GI131" s="761" t="s">
        <v>707</v>
      </c>
      <c r="GJ131" s="761" t="s">
        <v>707</v>
      </c>
      <c r="GK131" s="761" t="s">
        <v>707</v>
      </c>
      <c r="GL131" s="761" t="e">
        <v>#DIV/0!</v>
      </c>
      <c r="GM131" s="761" t="s">
        <v>707</v>
      </c>
      <c r="GN131" s="761" t="e">
        <v>#DIV/0!</v>
      </c>
      <c r="GO131" s="761">
        <v>0</v>
      </c>
      <c r="GP131" s="761">
        <v>0</v>
      </c>
      <c r="GQ131" s="761">
        <v>0</v>
      </c>
      <c r="GR131" s="761">
        <v>0</v>
      </c>
      <c r="GS131" s="761">
        <v>0</v>
      </c>
      <c r="GT131" s="761">
        <v>0</v>
      </c>
      <c r="GU131" s="761" t="e">
        <v>#DIV/0!</v>
      </c>
      <c r="GV131" s="761" t="e">
        <v>#DIV/0!</v>
      </c>
      <c r="GW131" s="761" t="s">
        <v>707</v>
      </c>
      <c r="GX131" s="761">
        <v>0</v>
      </c>
      <c r="GY131" s="761" t="s">
        <v>707</v>
      </c>
      <c r="GZ131" s="761" t="s">
        <v>707</v>
      </c>
      <c r="HA131" s="761" t="s">
        <v>707</v>
      </c>
      <c r="HB131" s="761">
        <v>0</v>
      </c>
      <c r="HC131" s="761">
        <v>0</v>
      </c>
      <c r="HD131" s="761">
        <v>0</v>
      </c>
      <c r="HE131" s="761">
        <v>0</v>
      </c>
      <c r="HF131" s="761">
        <v>0</v>
      </c>
      <c r="HG131" s="761" t="s">
        <v>707</v>
      </c>
      <c r="HH131" s="761" t="s">
        <v>707</v>
      </c>
      <c r="HI131" s="761">
        <v>0</v>
      </c>
      <c r="HJ131" s="761" t="s">
        <v>707</v>
      </c>
      <c r="HK131" s="761">
        <v>0</v>
      </c>
      <c r="HL131" s="761">
        <v>0</v>
      </c>
      <c r="HM131" s="761" t="s">
        <v>707</v>
      </c>
      <c r="HN131" s="761" t="s">
        <v>707</v>
      </c>
      <c r="HO131" s="761" t="s">
        <v>707</v>
      </c>
      <c r="HP131" s="761">
        <v>0</v>
      </c>
      <c r="HQ131" s="761">
        <v>0</v>
      </c>
      <c r="HR131" s="761">
        <v>0</v>
      </c>
      <c r="HS131" s="761">
        <v>0</v>
      </c>
      <c r="HT131" s="761">
        <v>0</v>
      </c>
      <c r="HU131" s="761" t="s">
        <v>707</v>
      </c>
      <c r="HV131" s="761" t="s">
        <v>707</v>
      </c>
      <c r="HW131" s="761" t="s">
        <v>707</v>
      </c>
      <c r="HX131" s="761">
        <v>0</v>
      </c>
      <c r="HY131" s="761" t="e">
        <v>#DIV/0!</v>
      </c>
      <c r="HZ131" s="761">
        <v>0</v>
      </c>
      <c r="IA131" s="761" t="s">
        <v>707</v>
      </c>
      <c r="IB131" s="761" t="s">
        <v>707</v>
      </c>
      <c r="IC131" s="761">
        <v>0</v>
      </c>
      <c r="ID131" s="761" t="e">
        <v>#DIV/0!</v>
      </c>
      <c r="IE131" s="761" t="e">
        <v>#DIV/0!</v>
      </c>
      <c r="IF131" s="761">
        <v>0</v>
      </c>
      <c r="IG131" s="761" t="s">
        <v>707</v>
      </c>
      <c r="IH131" s="761" t="s">
        <v>707</v>
      </c>
      <c r="II131" s="761">
        <v>0</v>
      </c>
      <c r="IJ131" s="761">
        <v>0</v>
      </c>
      <c r="IK131" s="761" t="s">
        <v>707</v>
      </c>
      <c r="IL131" s="761" t="s">
        <v>707</v>
      </c>
      <c r="IM131" s="761" t="s">
        <v>707</v>
      </c>
      <c r="IN131" s="761" t="e">
        <v>#DIV/0!</v>
      </c>
      <c r="IO131" s="761">
        <v>0</v>
      </c>
      <c r="IP131" s="761" t="s">
        <v>707</v>
      </c>
      <c r="IQ131" s="761" t="s">
        <v>707</v>
      </c>
      <c r="IR131" s="761">
        <v>0</v>
      </c>
      <c r="IS131" s="761" t="s">
        <v>707</v>
      </c>
      <c r="IT131" s="761">
        <v>0</v>
      </c>
      <c r="IU131" s="761">
        <v>0</v>
      </c>
      <c r="IV131" s="761">
        <v>0</v>
      </c>
      <c r="IW131" s="761">
        <v>0</v>
      </c>
      <c r="IX131" s="761" t="s">
        <v>707</v>
      </c>
      <c r="IY131" s="761" t="s">
        <v>707</v>
      </c>
      <c r="IZ131" s="761">
        <v>0</v>
      </c>
      <c r="JA131" s="761">
        <v>0</v>
      </c>
      <c r="JB131" s="761">
        <v>0</v>
      </c>
      <c r="JC131" s="761">
        <v>0</v>
      </c>
      <c r="JD131" s="761" t="s">
        <v>707</v>
      </c>
      <c r="JE131" s="761">
        <v>0</v>
      </c>
      <c r="JF131" s="761">
        <v>0</v>
      </c>
      <c r="JG131" s="761" t="s">
        <v>707</v>
      </c>
      <c r="JH131" s="761" t="s">
        <v>707</v>
      </c>
      <c r="JI131" s="761" t="s">
        <v>707</v>
      </c>
      <c r="JJ131" s="761" t="e">
        <v>#DIV/0!</v>
      </c>
      <c r="JK131" s="761" t="s">
        <v>707</v>
      </c>
      <c r="JL131" s="761">
        <v>0</v>
      </c>
      <c r="JM131" s="761">
        <v>0</v>
      </c>
      <c r="JN131" s="761">
        <v>0</v>
      </c>
      <c r="JO131" s="761">
        <v>0</v>
      </c>
      <c r="JP131" s="761">
        <v>0</v>
      </c>
      <c r="JQ131" s="761">
        <v>0</v>
      </c>
      <c r="JR131" s="761">
        <v>0</v>
      </c>
    </row>
  </sheetData>
  <sheetProtection algorithmName="SHA-512" hashValue="gn7JMZguj0o8SaHgX5NLe6gOiQVlH5pUYO2+E+CvmQgY+V0g2Z2GFpMU7u444RyGEb2c2/liTUYdH1YfpbeT+Q==" saltValue="MKiDhB5YKTdLlFbCjeF5ZA==" spinCount="100000" sheet="1" objects="1" scenarios="1"/>
  <mergeCells count="4">
    <mergeCell ref="B65:C65"/>
    <mergeCell ref="A95:C95"/>
    <mergeCell ref="A96:C96"/>
    <mergeCell ref="A2:E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23" r:id="rId4" name="Button 7">
              <controlPr defaultSize="0" print="0" autoFill="0" autoPict="0" macro="[0]!VOUTPUT_CLEAR_Click">
                <anchor moveWithCells="1" sizeWithCells="1">
                  <from>
                    <xdr:col>2</xdr:col>
                    <xdr:colOff>352425</xdr:colOff>
                    <xdr:row>2</xdr:row>
                    <xdr:rowOff>47625</xdr:rowOff>
                  </from>
                  <to>
                    <xdr:col>3</xdr:col>
                    <xdr:colOff>9525</xdr:colOff>
                    <xdr:row>3</xdr:row>
                    <xdr:rowOff>114300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6"/>
  <dimension ref="A1:G13"/>
  <sheetViews>
    <sheetView showGridLines="0" zoomScaleNormal="100" workbookViewId="0">
      <selection activeCell="E7" sqref="E7"/>
    </sheetView>
  </sheetViews>
  <sheetFormatPr defaultRowHeight="12.75"/>
  <cols>
    <col min="2" max="2" width="1.140625" customWidth="1"/>
    <col min="3" max="3" width="55" customWidth="1"/>
    <col min="4" max="4" width="10.85546875" customWidth="1"/>
    <col min="5" max="5" width="14" bestFit="1" customWidth="1"/>
    <col min="6" max="6" width="19.140625" bestFit="1" customWidth="1"/>
    <col min="7" max="7" width="10.85546875" customWidth="1"/>
  </cols>
  <sheetData>
    <row r="1" spans="1:7" ht="20.25">
      <c r="A1" s="383" t="s">
        <v>1769</v>
      </c>
    </row>
    <row r="2" spans="1:7" ht="4.5" customHeight="1"/>
    <row r="3" spans="1:7" ht="5.25" customHeight="1"/>
    <row r="4" spans="1:7" ht="45">
      <c r="C4" s="381"/>
      <c r="D4" s="139" t="s">
        <v>1773</v>
      </c>
      <c r="E4" s="380" t="s">
        <v>2071</v>
      </c>
      <c r="F4" s="380" t="s">
        <v>2103</v>
      </c>
      <c r="G4" s="382" t="s">
        <v>1770</v>
      </c>
    </row>
    <row r="5" spans="1:7" ht="16.5">
      <c r="C5" s="643" t="str">
        <f>MODEL!B12</f>
        <v>Depth below grade to water table</v>
      </c>
      <c r="D5" s="644" t="s">
        <v>1774</v>
      </c>
      <c r="E5" s="384"/>
      <c r="F5" s="645" t="str">
        <f>IF(E5=0, "", E5*0.3048)</f>
        <v/>
      </c>
      <c r="G5" s="646" t="str">
        <f>MODEL!D12</f>
        <v>(m)</v>
      </c>
    </row>
    <row r="6" spans="1:7" ht="16.5">
      <c r="C6" s="647" t="s">
        <v>2068</v>
      </c>
      <c r="D6" s="648" t="s">
        <v>2069</v>
      </c>
      <c r="E6" s="491"/>
      <c r="F6" s="649" t="str">
        <f>IF(E6=0, "", (E6-32)*(5/9))</f>
        <v/>
      </c>
      <c r="G6" s="650" t="s">
        <v>2070</v>
      </c>
    </row>
    <row r="7" spans="1:7" ht="16.5">
      <c r="C7" s="651" t="str">
        <f>MODEL!C38</f>
        <v>Depth below grade to base of foundation</v>
      </c>
      <c r="D7" s="652" t="s">
        <v>1774</v>
      </c>
      <c r="E7" s="385"/>
      <c r="F7" s="653" t="str">
        <f>IF(E7=0, "", E7*0.3048)</f>
        <v/>
      </c>
      <c r="G7" s="654" t="str">
        <f>MODEL!D38</f>
        <v>(m)</v>
      </c>
    </row>
    <row r="8" spans="1:7" ht="16.5">
      <c r="C8" s="651" t="str">
        <f>MODEL!C39</f>
        <v xml:space="preserve">Foundation thickness </v>
      </c>
      <c r="D8" s="652" t="s">
        <v>1774</v>
      </c>
      <c r="E8" s="385"/>
      <c r="F8" s="653" t="str">
        <f t="shared" ref="F8:F13" si="0">IF(E8=0, "", E8*0.3048)</f>
        <v/>
      </c>
      <c r="G8" s="654" t="str">
        <f>MODEL!D39</f>
        <v>(m)</v>
      </c>
    </row>
    <row r="9" spans="1:7" ht="16.5">
      <c r="C9" s="651" t="str">
        <f>MODEL!C41</f>
        <v>Enclosed space floor area</v>
      </c>
      <c r="D9" s="652" t="s">
        <v>1775</v>
      </c>
      <c r="E9" s="385"/>
      <c r="F9" s="653" t="str">
        <f t="shared" si="0"/>
        <v/>
      </c>
      <c r="G9" s="654" t="str">
        <f>MODEL!D41</f>
        <v>(m2)</v>
      </c>
    </row>
    <row r="10" spans="1:7" ht="16.5">
      <c r="C10" s="651" t="str">
        <f>MODEL!C42</f>
        <v>Enclosed space mixing height</v>
      </c>
      <c r="D10" s="652" t="s">
        <v>1774</v>
      </c>
      <c r="E10" s="385"/>
      <c r="F10" s="653" t="str">
        <f t="shared" si="0"/>
        <v/>
      </c>
      <c r="G10" s="654" t="str">
        <f>MODEL!D42</f>
        <v>(m)</v>
      </c>
    </row>
    <row r="11" spans="1:7" ht="16.5">
      <c r="C11" s="651" t="str">
        <f>MODEL!B56</f>
        <v>Stratum A thickness (from surface)</v>
      </c>
      <c r="D11" s="652" t="s">
        <v>1774</v>
      </c>
      <c r="E11" s="385"/>
      <c r="F11" s="653" t="str">
        <f t="shared" si="0"/>
        <v/>
      </c>
      <c r="G11" s="654" t="str">
        <f>MODEL!D56</f>
        <v>(m)</v>
      </c>
    </row>
    <row r="12" spans="1:7" ht="16.5">
      <c r="C12" s="651" t="str">
        <f>MODEL!B62</f>
        <v>Stratum B thickness</v>
      </c>
      <c r="D12" s="652" t="s">
        <v>1774</v>
      </c>
      <c r="E12" s="385"/>
      <c r="F12" s="653" t="str">
        <f t="shared" si="0"/>
        <v/>
      </c>
      <c r="G12" s="654" t="str">
        <f>MODEL!D62</f>
        <v>(m)</v>
      </c>
    </row>
    <row r="13" spans="1:7" ht="16.5">
      <c r="C13" s="655" t="str">
        <f>MODEL!B68</f>
        <v>Stratum C thickness</v>
      </c>
      <c r="D13" s="656" t="s">
        <v>1774</v>
      </c>
      <c r="E13" s="386"/>
      <c r="F13" s="657" t="str">
        <f t="shared" si="0"/>
        <v/>
      </c>
      <c r="G13" s="658" t="str">
        <f>MODEL!D68</f>
        <v>(m)</v>
      </c>
    </row>
  </sheetData>
  <sheetProtection algorithmName="SHA-512" hashValue="WeSscaPH4EtAZGLaLj26KRI9OAgAHdvw22IP5cj95AIQLKeha4+OmbqLPOkMsDhLFPpPEoV71BPUkFtolA/uog==" saltValue="3Gsq80UUbhRJjL/4kPLNOw==" spinCount="100000" sheet="1" objects="1" scenarios="1" selectLockedCells="1"/>
  <pageMargins left="0.7" right="0.7" top="0.75" bottom="0.75" header="0.3" footer="0.3"/>
  <drawing r:id="rId1"/>
  <legacyDrawing r:id="rId2"/>
  <controls>
    <mc:AlternateContent xmlns:mc="http://schemas.openxmlformats.org/markup-compatibility/2006">
      <mc:Choice Requires="x14">
        <control shapeId="11266" r:id="rId3" name="CommandButton2">
          <controlPr defaultSize="0" autoLine="0" r:id="rId4">
            <anchor moveWithCells="1">
              <from>
                <xdr:col>2</xdr:col>
                <xdr:colOff>19050</xdr:colOff>
                <xdr:row>17</xdr:row>
                <xdr:rowOff>142875</xdr:rowOff>
              </from>
              <to>
                <xdr:col>2</xdr:col>
                <xdr:colOff>2771775</xdr:colOff>
                <xdr:row>20</xdr:row>
                <xdr:rowOff>28575</xdr:rowOff>
              </to>
            </anchor>
          </controlPr>
        </control>
      </mc:Choice>
      <mc:Fallback>
        <control shapeId="11266" r:id="rId3" name="CommandButton2"/>
      </mc:Fallback>
    </mc:AlternateContent>
    <mc:AlternateContent xmlns:mc="http://schemas.openxmlformats.org/markup-compatibility/2006">
      <mc:Choice Requires="x14">
        <control shapeId="11265" r:id="rId5" name="CommandButton1">
          <controlPr defaultSize="0" autoLine="0" r:id="rId6">
            <anchor moveWithCells="1">
              <from>
                <xdr:col>2</xdr:col>
                <xdr:colOff>9525</xdr:colOff>
                <xdr:row>14</xdr:row>
                <xdr:rowOff>85725</xdr:rowOff>
              </from>
              <to>
                <xdr:col>2</xdr:col>
                <xdr:colOff>2762250</xdr:colOff>
                <xdr:row>16</xdr:row>
                <xdr:rowOff>133350</xdr:rowOff>
              </to>
            </anchor>
          </controlPr>
        </control>
      </mc:Choice>
      <mc:Fallback>
        <control shapeId="11265" r:id="rId5" name="CommandButton1"/>
      </mc:Fallback>
    </mc:AlternateContent>
    <mc:AlternateContent xmlns:mc="http://schemas.openxmlformats.org/markup-compatibility/2006">
      <mc:Choice Requires="x14">
        <control shapeId="11267" r:id="rId7" name="Button 3">
          <controlPr defaultSize="0" print="0" autoFill="0" autoPict="0" macro="[0]!Unit_Converter_Clear">
            <anchor moveWithCells="1">
              <from>
                <xdr:col>2</xdr:col>
                <xdr:colOff>28575</xdr:colOff>
                <xdr:row>21</xdr:row>
                <xdr:rowOff>85725</xdr:rowOff>
              </from>
              <to>
                <xdr:col>2</xdr:col>
                <xdr:colOff>2762250</xdr:colOff>
                <xdr:row>23</xdr:row>
                <xdr:rowOff>85725</xdr:rowOff>
              </to>
            </anchor>
          </controlPr>
        </control>
      </mc:Choice>
    </mc:AlternateContent>
  </control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pageSetUpPr fitToPage="1"/>
  </sheetPr>
  <dimension ref="A1:O27"/>
  <sheetViews>
    <sheetView workbookViewId="0">
      <selection activeCell="H5" sqref="B5:H5"/>
    </sheetView>
  </sheetViews>
  <sheetFormatPr defaultRowHeight="12.75"/>
  <cols>
    <col min="1" max="1" width="15.42578125" customWidth="1"/>
    <col min="2" max="2" width="27" customWidth="1"/>
    <col min="3" max="3" width="14" bestFit="1" customWidth="1"/>
    <col min="4" max="4" width="11.28515625" bestFit="1" customWidth="1"/>
    <col min="5" max="5" width="10.7109375" bestFit="1" customWidth="1"/>
    <col min="6" max="6" width="12" bestFit="1" customWidth="1"/>
    <col min="8" max="8" width="10" bestFit="1" customWidth="1"/>
    <col min="9" max="9" width="10.85546875" bestFit="1" customWidth="1"/>
    <col min="10" max="10" width="15.140625" bestFit="1" customWidth="1"/>
    <col min="11" max="11" width="11.42578125" bestFit="1" customWidth="1"/>
    <col min="12" max="12" width="14.5703125" customWidth="1"/>
    <col min="14" max="14" width="10.28515625" customWidth="1"/>
    <col min="15" max="15" width="28.140625" customWidth="1"/>
  </cols>
  <sheetData>
    <row r="1" spans="1:15">
      <c r="A1" s="664">
        <v>1</v>
      </c>
      <c r="B1" s="665">
        <v>2</v>
      </c>
      <c r="C1" s="665">
        <v>3</v>
      </c>
      <c r="D1" s="665">
        <v>4</v>
      </c>
      <c r="E1" s="665">
        <v>5</v>
      </c>
      <c r="F1" s="665">
        <v>6</v>
      </c>
      <c r="G1" s="665">
        <v>7</v>
      </c>
      <c r="H1" s="665">
        <v>8</v>
      </c>
      <c r="I1" s="665">
        <v>9</v>
      </c>
      <c r="J1" s="665">
        <v>10</v>
      </c>
      <c r="K1" s="665">
        <v>11</v>
      </c>
      <c r="L1" s="665">
        <v>12</v>
      </c>
      <c r="M1" s="665">
        <v>13</v>
      </c>
      <c r="N1" s="665">
        <v>14</v>
      </c>
      <c r="O1" s="666">
        <v>15</v>
      </c>
    </row>
    <row r="2" spans="1:15" ht="51">
      <c r="A2" s="667" t="s">
        <v>181</v>
      </c>
      <c r="B2" s="668" t="s">
        <v>133</v>
      </c>
      <c r="C2" s="238" t="s">
        <v>183</v>
      </c>
      <c r="D2" s="238" t="s">
        <v>234</v>
      </c>
      <c r="E2" s="237" t="s">
        <v>232</v>
      </c>
      <c r="F2" s="237" t="s">
        <v>184</v>
      </c>
      <c r="G2" s="237" t="s">
        <v>198</v>
      </c>
      <c r="H2" s="237" t="s">
        <v>199</v>
      </c>
      <c r="I2" s="237" t="s">
        <v>203</v>
      </c>
      <c r="J2" s="669"/>
      <c r="K2" s="237" t="s">
        <v>200</v>
      </c>
      <c r="L2" s="237" t="s">
        <v>233</v>
      </c>
      <c r="M2" s="237" t="s">
        <v>2145</v>
      </c>
      <c r="N2" s="237" t="s">
        <v>141</v>
      </c>
      <c r="O2" s="239" t="s">
        <v>1694</v>
      </c>
    </row>
    <row r="3" spans="1:15">
      <c r="A3" s="327"/>
      <c r="B3" s="405"/>
      <c r="C3" s="238" t="s">
        <v>178</v>
      </c>
      <c r="D3" s="238" t="s">
        <v>140</v>
      </c>
      <c r="E3" s="238" t="s">
        <v>233</v>
      </c>
      <c r="F3" s="238" t="s">
        <v>2145</v>
      </c>
      <c r="G3" s="238" t="s">
        <v>141</v>
      </c>
      <c r="H3" s="238" t="s">
        <v>135</v>
      </c>
      <c r="I3" s="238" t="s">
        <v>204</v>
      </c>
      <c r="J3" s="238" t="s">
        <v>205</v>
      </c>
      <c r="K3" s="238" t="s">
        <v>138</v>
      </c>
      <c r="L3" s="238" t="s">
        <v>1692</v>
      </c>
      <c r="M3" s="238" t="s">
        <v>1692</v>
      </c>
      <c r="N3" s="238" t="s">
        <v>1692</v>
      </c>
      <c r="O3" s="670"/>
    </row>
    <row r="4" spans="1:15" s="4" customFormat="1">
      <c r="A4" s="671"/>
      <c r="B4" s="672"/>
      <c r="C4" s="673" t="s">
        <v>185</v>
      </c>
      <c r="D4" s="673" t="s">
        <v>185</v>
      </c>
      <c r="E4" s="673"/>
      <c r="F4" s="673" t="s">
        <v>197</v>
      </c>
      <c r="G4" s="673" t="s">
        <v>185</v>
      </c>
      <c r="H4" s="673" t="s">
        <v>201</v>
      </c>
      <c r="I4" s="673" t="s">
        <v>202</v>
      </c>
      <c r="J4" s="673" t="s">
        <v>128</v>
      </c>
      <c r="K4" s="673" t="s">
        <v>202</v>
      </c>
      <c r="L4" s="674"/>
      <c r="M4" s="674"/>
      <c r="N4" s="674"/>
      <c r="O4" s="675"/>
    </row>
    <row r="5" spans="1:15">
      <c r="A5" s="327" t="s">
        <v>1726</v>
      </c>
      <c r="B5" s="405" t="s">
        <v>316</v>
      </c>
      <c r="C5" s="676">
        <v>2</v>
      </c>
      <c r="D5" s="676">
        <v>0.2</v>
      </c>
      <c r="E5" s="677">
        <v>1E-3</v>
      </c>
      <c r="F5" s="676">
        <v>1500</v>
      </c>
      <c r="G5" s="678">
        <v>3</v>
      </c>
      <c r="H5" s="676">
        <v>1.5</v>
      </c>
      <c r="I5" s="676">
        <f t="shared" ref="I5:I14" si="0">F5*G5*H5</f>
        <v>6750</v>
      </c>
      <c r="J5" s="662">
        <v>3.0000000000000001E-3</v>
      </c>
      <c r="K5" s="678">
        <f>J5*I5</f>
        <v>20.25</v>
      </c>
      <c r="L5" s="241" t="s">
        <v>1718</v>
      </c>
      <c r="M5" s="241" t="s">
        <v>2308</v>
      </c>
      <c r="N5" s="241" t="s">
        <v>1984</v>
      </c>
      <c r="O5" s="679"/>
    </row>
    <row r="6" spans="1:15">
      <c r="A6" s="327" t="s">
        <v>1726</v>
      </c>
      <c r="B6" s="405" t="s">
        <v>317</v>
      </c>
      <c r="C6" s="676">
        <v>2</v>
      </c>
      <c r="D6" s="676">
        <v>0</v>
      </c>
      <c r="E6" s="677">
        <v>1</v>
      </c>
      <c r="F6" s="676">
        <v>1500</v>
      </c>
      <c r="G6" s="678">
        <v>3</v>
      </c>
      <c r="H6" s="676">
        <v>1.5</v>
      </c>
      <c r="I6" s="676">
        <f t="shared" si="0"/>
        <v>6750</v>
      </c>
      <c r="J6" s="663" t="s">
        <v>707</v>
      </c>
      <c r="K6" s="659" t="s">
        <v>707</v>
      </c>
      <c r="L6" s="512" t="s">
        <v>707</v>
      </c>
      <c r="M6" s="241" t="s">
        <v>2308</v>
      </c>
      <c r="N6" s="241" t="s">
        <v>1985</v>
      </c>
      <c r="O6" s="679"/>
    </row>
    <row r="7" spans="1:15">
      <c r="A7" s="327" t="s">
        <v>1726</v>
      </c>
      <c r="B7" s="405" t="s">
        <v>1982</v>
      </c>
      <c r="C7" s="676">
        <v>1</v>
      </c>
      <c r="D7" s="676">
        <v>0.2</v>
      </c>
      <c r="E7" s="677">
        <v>1E-3</v>
      </c>
      <c r="F7" s="676">
        <v>1500</v>
      </c>
      <c r="G7" s="678">
        <v>3</v>
      </c>
      <c r="H7" s="676">
        <v>1.5</v>
      </c>
      <c r="I7" s="676">
        <f t="shared" si="0"/>
        <v>6750</v>
      </c>
      <c r="J7" s="662">
        <v>3.0000000000000001E-3</v>
      </c>
      <c r="K7" s="678">
        <f t="shared" ref="K7:K14" si="1">J7*I7</f>
        <v>20.25</v>
      </c>
      <c r="L7" s="241" t="s">
        <v>1718</v>
      </c>
      <c r="M7" s="241" t="s">
        <v>2308</v>
      </c>
      <c r="N7" s="241" t="s">
        <v>1713</v>
      </c>
      <c r="O7" s="679"/>
    </row>
    <row r="8" spans="1:15">
      <c r="A8" s="327" t="s">
        <v>1726</v>
      </c>
      <c r="B8" s="405" t="s">
        <v>1983</v>
      </c>
      <c r="C8" s="676">
        <v>1</v>
      </c>
      <c r="D8" s="676">
        <v>0</v>
      </c>
      <c r="E8" s="677">
        <v>1</v>
      </c>
      <c r="F8" s="676">
        <v>1500</v>
      </c>
      <c r="G8" s="678">
        <v>3</v>
      </c>
      <c r="H8" s="676">
        <v>1.5</v>
      </c>
      <c r="I8" s="676">
        <f t="shared" si="0"/>
        <v>6750</v>
      </c>
      <c r="J8" s="663" t="s">
        <v>707</v>
      </c>
      <c r="K8" s="659" t="s">
        <v>707</v>
      </c>
      <c r="L8" s="512" t="s">
        <v>707</v>
      </c>
      <c r="M8" s="241" t="s">
        <v>2308</v>
      </c>
      <c r="N8" s="241" t="s">
        <v>1713</v>
      </c>
      <c r="O8" s="679"/>
    </row>
    <row r="9" spans="1:15">
      <c r="A9" s="327" t="s">
        <v>1726</v>
      </c>
      <c r="B9" s="405" t="s">
        <v>182</v>
      </c>
      <c r="C9" s="676">
        <v>0.2</v>
      </c>
      <c r="D9" s="676">
        <v>0.2</v>
      </c>
      <c r="E9" s="677">
        <v>1E-3</v>
      </c>
      <c r="F9" s="676">
        <v>1500</v>
      </c>
      <c r="G9" s="678">
        <v>3</v>
      </c>
      <c r="H9" s="676">
        <v>1.5</v>
      </c>
      <c r="I9" s="676">
        <f t="shared" si="0"/>
        <v>6750</v>
      </c>
      <c r="J9" s="662">
        <v>3.0000000000000001E-3</v>
      </c>
      <c r="K9" s="678">
        <f t="shared" si="1"/>
        <v>20.25</v>
      </c>
      <c r="L9" s="241" t="s">
        <v>1714</v>
      </c>
      <c r="M9" s="241" t="s">
        <v>2308</v>
      </c>
      <c r="N9" s="241" t="s">
        <v>1712</v>
      </c>
      <c r="O9" s="679"/>
    </row>
    <row r="10" spans="1:15">
      <c r="A10" s="680" t="s">
        <v>146</v>
      </c>
      <c r="B10" s="512" t="s">
        <v>1787</v>
      </c>
      <c r="C10" s="660">
        <v>1</v>
      </c>
      <c r="D10" s="660">
        <v>0.1</v>
      </c>
      <c r="E10" s="681">
        <v>1E-3</v>
      </c>
      <c r="F10" s="660">
        <v>150</v>
      </c>
      <c r="G10" s="659">
        <v>1.3</v>
      </c>
      <c r="H10" s="660">
        <v>0.45</v>
      </c>
      <c r="I10" s="661">
        <f>F10*G10*H10</f>
        <v>87.75</v>
      </c>
      <c r="J10" s="662">
        <v>3.0000000000000001E-3</v>
      </c>
      <c r="K10" s="659">
        <f>J10*I10</f>
        <v>0.26324999999999998</v>
      </c>
      <c r="L10" s="512" t="s">
        <v>1718</v>
      </c>
      <c r="M10" s="512" t="s">
        <v>1693</v>
      </c>
      <c r="N10" s="512" t="s">
        <v>1984</v>
      </c>
      <c r="O10" s="513" t="s">
        <v>1789</v>
      </c>
    </row>
    <row r="11" spans="1:15">
      <c r="A11" s="680" t="s">
        <v>146</v>
      </c>
      <c r="B11" s="512" t="s">
        <v>1788</v>
      </c>
      <c r="C11" s="660">
        <v>1</v>
      </c>
      <c r="D11" s="681">
        <v>0</v>
      </c>
      <c r="E11" s="681">
        <v>1</v>
      </c>
      <c r="F11" s="660">
        <v>150</v>
      </c>
      <c r="G11" s="659">
        <v>1.3</v>
      </c>
      <c r="H11" s="660">
        <v>0.45</v>
      </c>
      <c r="I11" s="661">
        <f>F11*G11*H11</f>
        <v>87.75</v>
      </c>
      <c r="J11" s="663" t="s">
        <v>707</v>
      </c>
      <c r="K11" s="659" t="s">
        <v>707</v>
      </c>
      <c r="L11" s="512" t="s">
        <v>707</v>
      </c>
      <c r="M11" s="512" t="s">
        <v>1693</v>
      </c>
      <c r="N11" s="512" t="s">
        <v>1985</v>
      </c>
      <c r="O11" s="513" t="s">
        <v>1790</v>
      </c>
    </row>
    <row r="12" spans="1:15">
      <c r="A12" s="680" t="s">
        <v>146</v>
      </c>
      <c r="B12" s="512" t="s">
        <v>316</v>
      </c>
      <c r="C12" s="660">
        <v>2</v>
      </c>
      <c r="D12" s="660">
        <v>0.1</v>
      </c>
      <c r="E12" s="681">
        <v>1E-3</v>
      </c>
      <c r="F12" s="660">
        <v>150</v>
      </c>
      <c r="G12" s="659">
        <v>3.66</v>
      </c>
      <c r="H12" s="660">
        <v>0.45</v>
      </c>
      <c r="I12" s="661">
        <f>F12*G12*H12</f>
        <v>247.05</v>
      </c>
      <c r="J12" s="662">
        <v>3.0000000000000001E-3</v>
      </c>
      <c r="K12" s="659">
        <f t="shared" si="1"/>
        <v>0.74115000000000009</v>
      </c>
      <c r="L12" s="512" t="s">
        <v>1718</v>
      </c>
      <c r="M12" s="512" t="s">
        <v>1693</v>
      </c>
      <c r="N12" s="512" t="s">
        <v>1713</v>
      </c>
      <c r="O12" s="513" t="s">
        <v>1695</v>
      </c>
    </row>
    <row r="13" spans="1:15">
      <c r="A13" s="680" t="s">
        <v>146</v>
      </c>
      <c r="B13" s="512" t="s">
        <v>317</v>
      </c>
      <c r="C13" s="660">
        <v>2</v>
      </c>
      <c r="D13" s="681">
        <v>0</v>
      </c>
      <c r="E13" s="681">
        <v>1</v>
      </c>
      <c r="F13" s="660">
        <v>150</v>
      </c>
      <c r="G13" s="659">
        <v>3.66</v>
      </c>
      <c r="H13" s="660">
        <v>0.45</v>
      </c>
      <c r="I13" s="661">
        <f>F13*G13*H13</f>
        <v>247.05</v>
      </c>
      <c r="J13" s="663" t="s">
        <v>707</v>
      </c>
      <c r="K13" s="659" t="s">
        <v>707</v>
      </c>
      <c r="L13" s="512" t="s">
        <v>707</v>
      </c>
      <c r="M13" s="512" t="s">
        <v>1693</v>
      </c>
      <c r="N13" s="512" t="s">
        <v>1713</v>
      </c>
      <c r="O13" s="513" t="s">
        <v>1696</v>
      </c>
    </row>
    <row r="14" spans="1:15">
      <c r="A14" s="680" t="s">
        <v>146</v>
      </c>
      <c r="B14" s="512" t="s">
        <v>182</v>
      </c>
      <c r="C14" s="660">
        <v>0.1</v>
      </c>
      <c r="D14" s="660">
        <v>0.1</v>
      </c>
      <c r="E14" s="681">
        <v>1E-3</v>
      </c>
      <c r="F14" s="660">
        <v>150</v>
      </c>
      <c r="G14" s="660">
        <f>2.44</f>
        <v>2.44</v>
      </c>
      <c r="H14" s="660">
        <v>0.45</v>
      </c>
      <c r="I14" s="661">
        <f t="shared" si="0"/>
        <v>164.70000000000002</v>
      </c>
      <c r="J14" s="662">
        <v>3.0000000000000001E-3</v>
      </c>
      <c r="K14" s="659">
        <f t="shared" si="1"/>
        <v>0.49410000000000004</v>
      </c>
      <c r="L14" s="512" t="s">
        <v>1714</v>
      </c>
      <c r="M14" s="512" t="s">
        <v>1693</v>
      </c>
      <c r="N14" s="512" t="s">
        <v>1712</v>
      </c>
      <c r="O14" s="513" t="s">
        <v>1697</v>
      </c>
    </row>
    <row r="15" spans="1:15">
      <c r="A15" s="511"/>
      <c r="B15" s="511"/>
      <c r="C15" s="406"/>
      <c r="D15" s="406"/>
      <c r="E15" s="407"/>
      <c r="F15" s="406"/>
      <c r="G15" s="406"/>
      <c r="H15" s="406"/>
      <c r="I15" s="406"/>
      <c r="J15" s="406"/>
      <c r="K15" s="406"/>
      <c r="L15" s="406"/>
      <c r="M15" s="406"/>
      <c r="N15" s="406"/>
      <c r="O15" s="408"/>
    </row>
    <row r="16" spans="1:15">
      <c r="A16" s="141"/>
      <c r="B16" s="141"/>
    </row>
    <row r="17" spans="1:15" hidden="1">
      <c r="A17" s="569" t="s">
        <v>2206</v>
      </c>
      <c r="C17" s="409" t="s">
        <v>1791</v>
      </c>
    </row>
    <row r="18" spans="1:15" hidden="1">
      <c r="A18" s="421" t="s">
        <v>1726</v>
      </c>
      <c r="B18" s="486" t="s">
        <v>316</v>
      </c>
      <c r="C18" s="560">
        <v>2</v>
      </c>
      <c r="D18" s="560">
        <v>0.2</v>
      </c>
      <c r="E18" s="561">
        <v>1E-3</v>
      </c>
      <c r="F18" s="560">
        <v>500</v>
      </c>
      <c r="G18" s="560">
        <v>4</v>
      </c>
      <c r="H18" s="560">
        <v>1</v>
      </c>
      <c r="I18" s="560">
        <v>2000</v>
      </c>
      <c r="J18" s="562">
        <v>2E-3</v>
      </c>
      <c r="K18" s="563">
        <v>4</v>
      </c>
      <c r="L18" s="560"/>
      <c r="M18" s="560"/>
      <c r="N18" s="564"/>
      <c r="O18" s="565"/>
    </row>
    <row r="19" spans="1:15" hidden="1">
      <c r="A19" s="421" t="s">
        <v>1726</v>
      </c>
      <c r="B19" s="321" t="s">
        <v>317</v>
      </c>
      <c r="C19" s="560">
        <v>2</v>
      </c>
      <c r="D19" s="560">
        <v>0</v>
      </c>
      <c r="E19" s="561">
        <v>1</v>
      </c>
      <c r="F19" s="560">
        <v>500</v>
      </c>
      <c r="G19" s="563">
        <v>4</v>
      </c>
      <c r="H19" s="560">
        <v>1</v>
      </c>
      <c r="I19" s="560">
        <v>2000</v>
      </c>
      <c r="J19" s="562">
        <v>2E-3</v>
      </c>
      <c r="K19" s="563">
        <v>4</v>
      </c>
      <c r="L19" s="560"/>
      <c r="M19" s="560"/>
      <c r="N19" s="564"/>
      <c r="O19" s="565"/>
    </row>
    <row r="20" spans="1:15" hidden="1">
      <c r="A20" s="421" t="s">
        <v>1726</v>
      </c>
      <c r="B20" s="321" t="s">
        <v>1982</v>
      </c>
      <c r="C20" s="560">
        <v>1</v>
      </c>
      <c r="D20" s="560">
        <v>0.2</v>
      </c>
      <c r="E20" s="561">
        <v>1E-3</v>
      </c>
      <c r="F20" s="560">
        <v>500</v>
      </c>
      <c r="G20" s="563">
        <v>3.5</v>
      </c>
      <c r="H20" s="560">
        <v>1</v>
      </c>
      <c r="I20" s="560">
        <v>1750</v>
      </c>
      <c r="J20" s="562">
        <v>2E-3</v>
      </c>
      <c r="K20" s="563">
        <v>3.5</v>
      </c>
      <c r="L20" s="560"/>
      <c r="M20" s="560"/>
      <c r="N20" s="564"/>
      <c r="O20" s="565"/>
    </row>
    <row r="21" spans="1:15" hidden="1">
      <c r="A21" s="421" t="s">
        <v>1726</v>
      </c>
      <c r="B21" s="486" t="s">
        <v>1983</v>
      </c>
      <c r="C21" s="560">
        <v>1</v>
      </c>
      <c r="D21" s="560">
        <v>0</v>
      </c>
      <c r="E21" s="561">
        <v>1</v>
      </c>
      <c r="F21" s="560">
        <v>500</v>
      </c>
      <c r="G21" s="563">
        <v>3.5</v>
      </c>
      <c r="H21" s="560">
        <v>1</v>
      </c>
      <c r="I21" s="560">
        <v>1750</v>
      </c>
      <c r="J21" s="562">
        <v>2E-3</v>
      </c>
      <c r="K21" s="563">
        <v>3.5</v>
      </c>
      <c r="L21" s="560"/>
      <c r="M21" s="560"/>
      <c r="N21" s="564"/>
      <c r="O21" s="565"/>
    </row>
    <row r="22" spans="1:15" hidden="1">
      <c r="A22" s="141" t="s">
        <v>1726</v>
      </c>
      <c r="B22" s="141" t="s">
        <v>182</v>
      </c>
      <c r="C22" s="566">
        <v>0.2</v>
      </c>
      <c r="D22" s="566">
        <v>0.2</v>
      </c>
      <c r="E22" s="566">
        <v>1E-3</v>
      </c>
      <c r="F22" s="566">
        <v>500</v>
      </c>
      <c r="G22" s="566">
        <v>3</v>
      </c>
      <c r="H22" s="566">
        <v>1</v>
      </c>
      <c r="I22" s="566">
        <v>1500</v>
      </c>
      <c r="J22" s="566">
        <v>2E-3</v>
      </c>
      <c r="K22" s="566">
        <v>3</v>
      </c>
      <c r="L22" s="566"/>
      <c r="M22" s="566"/>
      <c r="N22" s="567"/>
      <c r="O22" s="567"/>
    </row>
    <row r="23" spans="1:15" hidden="1">
      <c r="A23" s="141" t="s">
        <v>146</v>
      </c>
      <c r="B23" s="141" t="s">
        <v>1787</v>
      </c>
      <c r="C23" s="566">
        <v>1</v>
      </c>
      <c r="D23" s="566">
        <v>0.1</v>
      </c>
      <c r="E23" s="566">
        <v>1E-3</v>
      </c>
      <c r="F23" s="566">
        <v>150</v>
      </c>
      <c r="G23" s="566">
        <v>1.3</v>
      </c>
      <c r="H23" s="566">
        <v>0.45</v>
      </c>
      <c r="I23" s="566">
        <v>87.75</v>
      </c>
      <c r="J23" s="566">
        <v>3.0000000000000001E-3</v>
      </c>
      <c r="K23" s="566">
        <v>0.26324999999999998</v>
      </c>
      <c r="L23" s="566" t="s">
        <v>1718</v>
      </c>
      <c r="M23" s="566" t="s">
        <v>1693</v>
      </c>
      <c r="N23" s="567" t="s">
        <v>1984</v>
      </c>
      <c r="O23" s="567" t="s">
        <v>1789</v>
      </c>
    </row>
    <row r="24" spans="1:15" hidden="1">
      <c r="A24" s="141" t="s">
        <v>146</v>
      </c>
      <c r="B24" s="141" t="s">
        <v>1788</v>
      </c>
      <c r="C24" s="568">
        <v>1</v>
      </c>
      <c r="D24" s="566">
        <v>0</v>
      </c>
      <c r="E24" s="566">
        <v>1</v>
      </c>
      <c r="F24" s="566">
        <v>150</v>
      </c>
      <c r="G24" s="566">
        <v>1.3</v>
      </c>
      <c r="H24" s="566">
        <v>0.45</v>
      </c>
      <c r="I24" s="566">
        <v>87.75</v>
      </c>
      <c r="J24" s="566" t="s">
        <v>707</v>
      </c>
      <c r="K24" s="566" t="s">
        <v>707</v>
      </c>
      <c r="L24" s="566" t="s">
        <v>707</v>
      </c>
      <c r="M24" s="566" t="s">
        <v>1693</v>
      </c>
      <c r="N24" s="567" t="s">
        <v>1985</v>
      </c>
      <c r="O24" s="567" t="s">
        <v>1790</v>
      </c>
    </row>
    <row r="25" spans="1:15" hidden="1">
      <c r="A25" s="141" t="s">
        <v>146</v>
      </c>
      <c r="B25" s="141" t="s">
        <v>316</v>
      </c>
      <c r="C25" s="566">
        <v>2</v>
      </c>
      <c r="D25" s="566">
        <v>0.1</v>
      </c>
      <c r="E25" s="566">
        <v>1E-3</v>
      </c>
      <c r="F25" s="566">
        <v>150</v>
      </c>
      <c r="G25" s="566">
        <v>3.66</v>
      </c>
      <c r="H25" s="566">
        <v>0.45</v>
      </c>
      <c r="I25" s="566">
        <v>247.05</v>
      </c>
      <c r="J25" s="566">
        <v>3.0000000000000001E-3</v>
      </c>
      <c r="K25" s="566">
        <v>0.74115000000000009</v>
      </c>
      <c r="L25" s="566" t="s">
        <v>1718</v>
      </c>
      <c r="M25" s="566" t="s">
        <v>1693</v>
      </c>
      <c r="N25" s="567" t="s">
        <v>1713</v>
      </c>
      <c r="O25" s="567" t="s">
        <v>1695</v>
      </c>
    </row>
    <row r="26" spans="1:15" hidden="1">
      <c r="A26" s="141" t="s">
        <v>146</v>
      </c>
      <c r="B26" s="141" t="s">
        <v>317</v>
      </c>
      <c r="C26" s="566">
        <v>2</v>
      </c>
      <c r="D26" s="566">
        <v>0</v>
      </c>
      <c r="E26" s="566">
        <v>1</v>
      </c>
      <c r="F26" s="566">
        <v>150</v>
      </c>
      <c r="G26" s="566">
        <v>3.66</v>
      </c>
      <c r="H26" s="566">
        <v>0.45</v>
      </c>
      <c r="I26" s="566">
        <v>247.05</v>
      </c>
      <c r="J26" s="566" t="s">
        <v>707</v>
      </c>
      <c r="K26" s="566" t="s">
        <v>707</v>
      </c>
      <c r="L26" s="566" t="s">
        <v>707</v>
      </c>
      <c r="M26" s="566" t="s">
        <v>1693</v>
      </c>
      <c r="N26" s="567" t="s">
        <v>1713</v>
      </c>
      <c r="O26" s="567" t="s">
        <v>1696</v>
      </c>
    </row>
    <row r="27" spans="1:15" hidden="1">
      <c r="A27" s="141" t="s">
        <v>146</v>
      </c>
      <c r="B27" s="141" t="s">
        <v>182</v>
      </c>
      <c r="C27" s="566">
        <v>0.1</v>
      </c>
      <c r="D27" s="566">
        <v>0.1</v>
      </c>
      <c r="E27" s="566">
        <v>1E-3</v>
      </c>
      <c r="F27" s="566">
        <v>150</v>
      </c>
      <c r="G27" s="566">
        <v>2.44</v>
      </c>
      <c r="H27" s="566">
        <v>0.45</v>
      </c>
      <c r="I27" s="566">
        <v>164.70000000000002</v>
      </c>
      <c r="J27" s="566">
        <v>3.0000000000000001E-3</v>
      </c>
      <c r="K27" s="566">
        <v>0.49410000000000004</v>
      </c>
      <c r="L27" s="566" t="s">
        <v>1714</v>
      </c>
      <c r="M27" s="566" t="s">
        <v>1693</v>
      </c>
      <c r="N27" s="567" t="s">
        <v>1712</v>
      </c>
      <c r="O27" s="567" t="s">
        <v>1697</v>
      </c>
    </row>
  </sheetData>
  <sheetProtection selectLockedCells="1"/>
  <phoneticPr fontId="0" type="noConversion"/>
  <pageMargins left="0.75" right="0.75" top="1" bottom="1" header="0.5" footer="0.5"/>
  <pageSetup scale="59" orientation="landscape"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9">
    <pageSetUpPr fitToPage="1"/>
  </sheetPr>
  <dimension ref="A1:AJ474"/>
  <sheetViews>
    <sheetView showGridLines="0" zoomScale="80" zoomScaleNormal="80" workbookViewId="0">
      <pane xSplit="2" ySplit="5" topLeftCell="C269" activePane="bottomRight" state="frozen"/>
      <selection pane="topRight" activeCell="C1" sqref="C1"/>
      <selection pane="bottomLeft" activeCell="A6" sqref="A6"/>
      <selection pane="bottomRight" activeCell="B291" sqref="B291:B292"/>
    </sheetView>
  </sheetViews>
  <sheetFormatPr defaultColWidth="9.140625" defaultRowHeight="12.75"/>
  <cols>
    <col min="1" max="1" width="34.28515625" style="473" customWidth="1"/>
    <col min="2" max="2" width="13.7109375" style="459" customWidth="1"/>
    <col min="3" max="3" width="14" style="460" bestFit="1" customWidth="1"/>
    <col min="4" max="4" width="9.85546875" style="460" bestFit="1" customWidth="1"/>
    <col min="5" max="5" width="14.28515625" style="459" bestFit="1" customWidth="1"/>
    <col min="6" max="6" width="12.85546875" style="459" bestFit="1" customWidth="1"/>
    <col min="7" max="8" width="12.85546875" style="459" customWidth="1"/>
    <col min="9" max="9" width="12.42578125" style="459" bestFit="1" customWidth="1"/>
    <col min="10" max="10" width="8.7109375" style="459" customWidth="1"/>
    <col min="11" max="11" width="17.85546875" style="459" bestFit="1" customWidth="1"/>
    <col min="12" max="12" width="9.5703125" style="459" customWidth="1"/>
    <col min="13" max="13" width="14.42578125" style="458" bestFit="1" customWidth="1"/>
    <col min="14" max="14" width="13.140625" style="458" bestFit="1" customWidth="1"/>
    <col min="15" max="15" width="8.42578125" style="538" customWidth="1"/>
    <col min="16" max="16" width="13.140625" style="458" bestFit="1" customWidth="1"/>
    <col min="17" max="17" width="8.140625" style="538" customWidth="1"/>
    <col min="18" max="18" width="10.28515625" style="545" bestFit="1" customWidth="1"/>
    <col min="19" max="19" width="9.28515625" style="538" customWidth="1"/>
    <col min="20" max="20" width="10.28515625" style="458" bestFit="1" customWidth="1"/>
    <col min="21" max="21" width="6.85546875" style="458" customWidth="1"/>
    <col min="22" max="22" width="10" style="458" customWidth="1"/>
    <col min="23" max="23" width="18.5703125" style="538" customWidth="1"/>
    <col min="24" max="24" width="10.42578125" style="458" customWidth="1"/>
    <col min="25" max="25" width="6.85546875" style="458" customWidth="1"/>
    <col min="26" max="26" width="10.42578125" style="458" customWidth="1"/>
    <col min="27" max="27" width="6.85546875" style="458" customWidth="1"/>
    <col min="28" max="28" width="11.85546875" style="458" customWidth="1"/>
    <col min="29" max="29" width="6.85546875" style="458" customWidth="1"/>
    <col min="30" max="32" width="15.5703125" style="459" customWidth="1"/>
    <col min="33" max="33" width="40.42578125" style="459" customWidth="1"/>
    <col min="34" max="34" width="39.140625" style="546" bestFit="1" customWidth="1"/>
    <col min="35" max="35" width="9.140625" style="430"/>
    <col min="36" max="36" width="9.42578125" style="431" bestFit="1" customWidth="1"/>
    <col min="37" max="16384" width="9.140625" style="430"/>
  </cols>
  <sheetData>
    <row r="1" spans="1:35">
      <c r="A1" s="468"/>
      <c r="B1" s="427"/>
      <c r="C1" s="428"/>
      <c r="D1" s="428"/>
      <c r="E1" s="428"/>
      <c r="F1" s="428"/>
      <c r="G1" s="428"/>
      <c r="H1" s="428"/>
      <c r="I1" s="428"/>
      <c r="J1" s="428"/>
      <c r="K1" s="428"/>
      <c r="L1" s="428"/>
      <c r="M1" s="428"/>
      <c r="N1" s="429"/>
      <c r="O1" s="426"/>
      <c r="P1" s="429"/>
      <c r="Q1" s="426"/>
      <c r="R1" s="541"/>
      <c r="S1" s="429"/>
      <c r="T1" s="429"/>
      <c r="U1" s="429"/>
      <c r="V1" s="429"/>
      <c r="W1" s="426"/>
      <c r="X1" s="429"/>
      <c r="Y1" s="429"/>
      <c r="Z1" s="429"/>
      <c r="AA1" s="429"/>
      <c r="AB1" s="429"/>
      <c r="AC1" s="429"/>
      <c r="AD1" s="427"/>
      <c r="AE1" s="427"/>
      <c r="AF1" s="427"/>
      <c r="AG1" s="427"/>
    </row>
    <row r="2" spans="1:35" ht="12.75" customHeight="1">
      <c r="A2" s="468"/>
      <c r="B2" s="427"/>
      <c r="C2" s="432"/>
      <c r="D2" s="433"/>
      <c r="E2" s="434"/>
      <c r="F2" s="433"/>
      <c r="G2" s="435"/>
      <c r="H2" s="435"/>
      <c r="I2" s="432"/>
      <c r="J2" s="433"/>
      <c r="K2" s="432"/>
      <c r="L2" s="433"/>
      <c r="M2" s="434"/>
      <c r="N2" s="429"/>
      <c r="O2" s="426"/>
      <c r="P2" s="429"/>
      <c r="Q2" s="426"/>
      <c r="R2" s="541"/>
      <c r="S2" s="429"/>
      <c r="T2" s="429"/>
      <c r="U2" s="429"/>
      <c r="V2" s="429"/>
      <c r="W2" s="426"/>
      <c r="X2" s="429"/>
      <c r="Y2" s="429"/>
      <c r="Z2" s="429"/>
      <c r="AA2" s="429"/>
      <c r="AB2" s="429"/>
      <c r="AC2" s="429"/>
      <c r="AD2" s="427"/>
      <c r="AE2" s="427"/>
      <c r="AF2" s="427"/>
      <c r="AG2" s="427"/>
    </row>
    <row r="3" spans="1:35" s="439" customFormat="1" ht="54.75" customHeight="1">
      <c r="A3" s="469"/>
      <c r="B3" s="436"/>
      <c r="C3" s="962" t="s">
        <v>340</v>
      </c>
      <c r="D3" s="963"/>
      <c r="E3" s="962" t="s">
        <v>1765</v>
      </c>
      <c r="F3" s="963"/>
      <c r="G3" s="962" t="s">
        <v>248</v>
      </c>
      <c r="H3" s="963"/>
      <c r="I3" s="962" t="s">
        <v>1999</v>
      </c>
      <c r="J3" s="963"/>
      <c r="K3" s="962" t="s">
        <v>2000</v>
      </c>
      <c r="L3" s="963"/>
      <c r="M3" s="437" t="s">
        <v>2001</v>
      </c>
      <c r="N3" s="966" t="s">
        <v>2002</v>
      </c>
      <c r="O3" s="967"/>
      <c r="P3" s="962" t="s">
        <v>2003</v>
      </c>
      <c r="Q3" s="963"/>
      <c r="R3" s="962" t="s">
        <v>2004</v>
      </c>
      <c r="S3" s="963"/>
      <c r="T3" s="962" t="s">
        <v>2005</v>
      </c>
      <c r="U3" s="963"/>
      <c r="V3" s="962" t="s">
        <v>116</v>
      </c>
      <c r="W3" s="963"/>
      <c r="X3" s="964" t="s">
        <v>2006</v>
      </c>
      <c r="Y3" s="965"/>
      <c r="Z3" s="956" t="s">
        <v>2190</v>
      </c>
      <c r="AA3" s="955"/>
      <c r="AB3" s="956" t="s">
        <v>250</v>
      </c>
      <c r="AC3" s="954"/>
      <c r="AD3" s="535" t="s">
        <v>2509</v>
      </c>
      <c r="AE3" s="954" t="s">
        <v>1729</v>
      </c>
      <c r="AF3" s="955"/>
      <c r="AG3" s="438"/>
      <c r="AH3" s="547"/>
      <c r="AI3" s="431"/>
    </row>
    <row r="4" spans="1:35" s="439" customFormat="1" ht="15.75">
      <c r="A4" s="470"/>
      <c r="B4" s="440"/>
      <c r="C4" s="960" t="s">
        <v>348</v>
      </c>
      <c r="D4" s="961"/>
      <c r="E4" s="960" t="s">
        <v>2007</v>
      </c>
      <c r="F4" s="961"/>
      <c r="G4" s="960" t="s">
        <v>249</v>
      </c>
      <c r="H4" s="961"/>
      <c r="I4" s="960" t="s">
        <v>14</v>
      </c>
      <c r="J4" s="961"/>
      <c r="K4" s="960" t="s">
        <v>2008</v>
      </c>
      <c r="L4" s="961"/>
      <c r="M4" s="441" t="s">
        <v>2009</v>
      </c>
      <c r="N4" s="960" t="s">
        <v>2010</v>
      </c>
      <c r="O4" s="961"/>
      <c r="P4" s="960" t="s">
        <v>2011</v>
      </c>
      <c r="Q4" s="961"/>
      <c r="R4" s="960" t="s">
        <v>2012</v>
      </c>
      <c r="S4" s="961"/>
      <c r="T4" s="960" t="s">
        <v>2013</v>
      </c>
      <c r="U4" s="961"/>
      <c r="V4" s="960" t="s">
        <v>2014</v>
      </c>
      <c r="W4" s="961"/>
      <c r="X4" s="960" t="s">
        <v>2015</v>
      </c>
      <c r="Y4" s="961"/>
      <c r="Z4" s="957" t="s">
        <v>2191</v>
      </c>
      <c r="AA4" s="959"/>
      <c r="AB4" s="957" t="s">
        <v>15</v>
      </c>
      <c r="AC4" s="958"/>
      <c r="AD4" s="480"/>
      <c r="AE4" s="482"/>
      <c r="AF4" s="481"/>
      <c r="AG4" s="440"/>
      <c r="AH4" s="548"/>
    </row>
    <row r="5" spans="1:35" s="439" customFormat="1" ht="14.25">
      <c r="A5" s="471" t="s">
        <v>2016</v>
      </c>
      <c r="B5" s="442" t="s">
        <v>114</v>
      </c>
      <c r="C5" s="443" t="s">
        <v>2017</v>
      </c>
      <c r="D5" s="444" t="s">
        <v>1998</v>
      </c>
      <c r="E5" s="443" t="s">
        <v>1751</v>
      </c>
      <c r="F5" s="445" t="s">
        <v>1998</v>
      </c>
      <c r="G5" s="446" t="s">
        <v>251</v>
      </c>
      <c r="H5" s="446" t="s">
        <v>1998</v>
      </c>
      <c r="I5" s="443" t="s">
        <v>17</v>
      </c>
      <c r="J5" s="445" t="s">
        <v>1998</v>
      </c>
      <c r="K5" s="443" t="s">
        <v>2018</v>
      </c>
      <c r="L5" s="445" t="s">
        <v>1998</v>
      </c>
      <c r="M5" s="443" t="s">
        <v>8</v>
      </c>
      <c r="N5" s="443" t="s">
        <v>2019</v>
      </c>
      <c r="O5" s="539" t="s">
        <v>1998</v>
      </c>
      <c r="P5" s="443" t="s">
        <v>2019</v>
      </c>
      <c r="Q5" s="445" t="s">
        <v>1998</v>
      </c>
      <c r="R5" s="542" t="s">
        <v>2020</v>
      </c>
      <c r="S5" s="445" t="s">
        <v>1998</v>
      </c>
      <c r="T5" s="443" t="s">
        <v>2020</v>
      </c>
      <c r="U5" s="445" t="s">
        <v>1998</v>
      </c>
      <c r="V5" s="443" t="s">
        <v>16</v>
      </c>
      <c r="W5" s="536" t="s">
        <v>1998</v>
      </c>
      <c r="X5" s="443" t="s">
        <v>2021</v>
      </c>
      <c r="Y5" s="445" t="s">
        <v>1998</v>
      </c>
      <c r="Z5" s="466" t="s">
        <v>2060</v>
      </c>
      <c r="AA5" s="467" t="s">
        <v>1998</v>
      </c>
      <c r="AB5" s="480" t="s">
        <v>2061</v>
      </c>
      <c r="AC5" s="482" t="s">
        <v>1998</v>
      </c>
      <c r="AD5" s="483" t="s">
        <v>1730</v>
      </c>
      <c r="AE5" s="482" t="s">
        <v>1730</v>
      </c>
      <c r="AF5" s="481" t="s">
        <v>1998</v>
      </c>
      <c r="AG5" s="465" t="s">
        <v>2022</v>
      </c>
      <c r="AH5" s="549" t="s">
        <v>2023</v>
      </c>
    </row>
    <row r="6" spans="1:35" s="439" customFormat="1" ht="15">
      <c r="A6" s="453" t="s">
        <v>72</v>
      </c>
      <c r="B6" s="447" t="s">
        <v>1360</v>
      </c>
      <c r="C6" s="448">
        <v>154.21</v>
      </c>
      <c r="D6" s="448" t="s">
        <v>1801</v>
      </c>
      <c r="E6" s="449">
        <v>2.15E-3</v>
      </c>
      <c r="F6" s="449" t="s">
        <v>1801</v>
      </c>
      <c r="G6" s="450">
        <f>E6/760*1000000000*C6/24.46</f>
        <v>17835.321900417435</v>
      </c>
      <c r="H6" s="450" t="s">
        <v>2207</v>
      </c>
      <c r="I6" s="450">
        <v>3.9</v>
      </c>
      <c r="J6" s="448" t="s">
        <v>1801</v>
      </c>
      <c r="K6" s="449">
        <v>1.84E-4</v>
      </c>
      <c r="L6" s="449" t="s">
        <v>1801</v>
      </c>
      <c r="M6" s="922">
        <v>7.5224999999999997E-3</v>
      </c>
      <c r="N6" s="450">
        <v>5.0614300000000001E-2</v>
      </c>
      <c r="O6" s="537" t="s">
        <v>2367</v>
      </c>
      <c r="P6" s="450">
        <v>8.3299999999999999E-6</v>
      </c>
      <c r="Q6" s="537" t="s">
        <v>2367</v>
      </c>
      <c r="R6" s="543">
        <v>552</v>
      </c>
      <c r="S6" s="540" t="s">
        <v>414</v>
      </c>
      <c r="T6" s="543">
        <v>803.15</v>
      </c>
      <c r="U6" s="540" t="s">
        <v>2180</v>
      </c>
      <c r="V6" s="451">
        <v>12155</v>
      </c>
      <c r="W6" s="540" t="s">
        <v>2180</v>
      </c>
      <c r="X6" s="449">
        <v>5027</v>
      </c>
      <c r="Y6" s="455" t="s">
        <v>414</v>
      </c>
      <c r="Z6" s="455" t="s">
        <v>2203</v>
      </c>
      <c r="AA6" s="455" t="s">
        <v>43</v>
      </c>
      <c r="AB6" s="455" t="s">
        <v>2203</v>
      </c>
      <c r="AC6" s="455" t="s">
        <v>43</v>
      </c>
      <c r="AD6" s="452" t="s">
        <v>1731</v>
      </c>
      <c r="AE6" s="484" t="s">
        <v>1731</v>
      </c>
      <c r="AF6" s="484" t="s">
        <v>2512</v>
      </c>
      <c r="AG6" s="452"/>
      <c r="AH6" s="550"/>
    </row>
    <row r="7" spans="1:35" s="439" customFormat="1" ht="15">
      <c r="A7" s="453" t="s">
        <v>55</v>
      </c>
      <c r="B7" s="447" t="s">
        <v>358</v>
      </c>
      <c r="C7" s="448">
        <v>44.054000000000002</v>
      </c>
      <c r="D7" s="448" t="s">
        <v>1801</v>
      </c>
      <c r="E7" s="449">
        <v>902</v>
      </c>
      <c r="F7" s="449" t="s">
        <v>1801</v>
      </c>
      <c r="G7" s="450">
        <f>E7/760*1000000000*C7/24.46</f>
        <v>2137577355.08026</v>
      </c>
      <c r="H7" s="450" t="s">
        <v>2207</v>
      </c>
      <c r="I7" s="450">
        <v>1000000</v>
      </c>
      <c r="J7" s="448" t="s">
        <v>1801</v>
      </c>
      <c r="K7" s="449">
        <v>6.6699999999999995E-5</v>
      </c>
      <c r="L7" s="449" t="s">
        <v>1801</v>
      </c>
      <c r="M7" s="922">
        <v>2.7269E-3</v>
      </c>
      <c r="N7" s="450">
        <v>0.1277026</v>
      </c>
      <c r="O7" s="537" t="s">
        <v>2367</v>
      </c>
      <c r="P7" s="450">
        <v>1.3499999999999999E-5</v>
      </c>
      <c r="Q7" s="537" t="s">
        <v>2367</v>
      </c>
      <c r="R7" s="543">
        <v>293.10000000000002</v>
      </c>
      <c r="S7" s="540" t="s">
        <v>414</v>
      </c>
      <c r="T7" s="543">
        <v>466</v>
      </c>
      <c r="U7" s="540" t="s">
        <v>2181</v>
      </c>
      <c r="V7" s="451">
        <v>6156.64</v>
      </c>
      <c r="W7" s="540" t="s">
        <v>2181</v>
      </c>
      <c r="X7" s="449">
        <v>1</v>
      </c>
      <c r="Y7" s="455" t="s">
        <v>414</v>
      </c>
      <c r="Z7" s="455">
        <v>2.2000000000000001E-6</v>
      </c>
      <c r="AA7" s="455" t="s">
        <v>280</v>
      </c>
      <c r="AB7" s="455">
        <v>8.9999999999999993E-3</v>
      </c>
      <c r="AC7" s="455" t="s">
        <v>280</v>
      </c>
      <c r="AD7" s="452" t="s">
        <v>1731</v>
      </c>
      <c r="AE7" s="484" t="s">
        <v>1731</v>
      </c>
      <c r="AF7" s="484" t="s">
        <v>2512</v>
      </c>
      <c r="AG7" s="452"/>
      <c r="AH7" s="550"/>
    </row>
    <row r="8" spans="1:35" s="439" customFormat="1" ht="15">
      <c r="A8" s="453" t="s">
        <v>46</v>
      </c>
      <c r="B8" s="447" t="s">
        <v>361</v>
      </c>
      <c r="C8" s="448">
        <v>58.081000000000003</v>
      </c>
      <c r="D8" s="448" t="s">
        <v>1801</v>
      </c>
      <c r="E8" s="449">
        <v>231.5</v>
      </c>
      <c r="F8" s="449" t="s">
        <v>1801</v>
      </c>
      <c r="G8" s="450">
        <f t="shared" ref="G8:G19" si="0">E8/760*1000000000*C8/24.46</f>
        <v>723294288.20415723</v>
      </c>
      <c r="H8" s="450" t="s">
        <v>2207</v>
      </c>
      <c r="I8" s="450">
        <v>1000000</v>
      </c>
      <c r="J8" s="448" t="s">
        <v>1801</v>
      </c>
      <c r="K8" s="449">
        <v>3.4999999999999997E-5</v>
      </c>
      <c r="L8" s="449" t="s">
        <v>1801</v>
      </c>
      <c r="M8" s="922">
        <v>1.4308999999999999E-3</v>
      </c>
      <c r="N8" s="450">
        <v>0.1059215</v>
      </c>
      <c r="O8" s="537" t="s">
        <v>2367</v>
      </c>
      <c r="P8" s="450">
        <v>1.15E-5</v>
      </c>
      <c r="Q8" s="537" t="s">
        <v>2367</v>
      </c>
      <c r="R8" s="543">
        <v>328.5</v>
      </c>
      <c r="S8" s="540" t="s">
        <v>414</v>
      </c>
      <c r="T8" s="543">
        <v>508.1</v>
      </c>
      <c r="U8" s="540" t="s">
        <v>2180</v>
      </c>
      <c r="V8" s="451">
        <v>6955</v>
      </c>
      <c r="W8" s="540" t="s">
        <v>2180</v>
      </c>
      <c r="X8" s="449">
        <v>2.3639999999999999</v>
      </c>
      <c r="Y8" s="455" t="s">
        <v>414</v>
      </c>
      <c r="Z8" s="455" t="s">
        <v>2203</v>
      </c>
      <c r="AA8" s="455" t="s">
        <v>43</v>
      </c>
      <c r="AB8" s="455">
        <v>31</v>
      </c>
      <c r="AC8" s="455" t="s">
        <v>18</v>
      </c>
      <c r="AD8" s="452" t="s">
        <v>1731</v>
      </c>
      <c r="AE8" s="484" t="s">
        <v>1731</v>
      </c>
      <c r="AF8" s="484" t="s">
        <v>2512</v>
      </c>
      <c r="AG8" s="452"/>
      <c r="AH8" s="550"/>
    </row>
    <row r="9" spans="1:35" s="439" customFormat="1" ht="15">
      <c r="A9" s="453" t="s">
        <v>54</v>
      </c>
      <c r="B9" s="447" t="s">
        <v>364</v>
      </c>
      <c r="C9" s="448">
        <v>41.052999999999997</v>
      </c>
      <c r="D9" s="448" t="s">
        <v>1801</v>
      </c>
      <c r="E9" s="449">
        <v>88.8</v>
      </c>
      <c r="F9" s="449" t="s">
        <v>1801</v>
      </c>
      <c r="G9" s="450">
        <f t="shared" si="0"/>
        <v>196104617.63566723</v>
      </c>
      <c r="H9" s="450" t="s">
        <v>2207</v>
      </c>
      <c r="I9" s="450">
        <v>1000000</v>
      </c>
      <c r="J9" s="448" t="s">
        <v>1801</v>
      </c>
      <c r="K9" s="449">
        <v>3.4499999999999998E-5</v>
      </c>
      <c r="L9" s="449" t="s">
        <v>1801</v>
      </c>
      <c r="M9" s="922">
        <v>1.4105000000000001E-3</v>
      </c>
      <c r="N9" s="450">
        <v>0.1339939</v>
      </c>
      <c r="O9" s="537" t="s">
        <v>2367</v>
      </c>
      <c r="P9" s="450">
        <v>1.4100000000000001E-5</v>
      </c>
      <c r="Q9" s="537" t="s">
        <v>2367</v>
      </c>
      <c r="R9" s="543">
        <v>332.6</v>
      </c>
      <c r="S9" s="540" t="s">
        <v>414</v>
      </c>
      <c r="T9" s="543">
        <v>545.5</v>
      </c>
      <c r="U9" s="540" t="s">
        <v>2181</v>
      </c>
      <c r="V9" s="451">
        <v>7110.25</v>
      </c>
      <c r="W9" s="540" t="s">
        <v>2181</v>
      </c>
      <c r="X9" s="449">
        <v>4.67</v>
      </c>
      <c r="Y9" s="455" t="s">
        <v>414</v>
      </c>
      <c r="Z9" s="455" t="s">
        <v>2203</v>
      </c>
      <c r="AA9" s="455" t="s">
        <v>43</v>
      </c>
      <c r="AB9" s="455">
        <v>0.06</v>
      </c>
      <c r="AC9" s="455" t="s">
        <v>280</v>
      </c>
      <c r="AD9" s="452" t="s">
        <v>1731</v>
      </c>
      <c r="AE9" s="484" t="s">
        <v>1731</v>
      </c>
      <c r="AF9" s="484" t="s">
        <v>2512</v>
      </c>
      <c r="AG9" s="452"/>
      <c r="AH9" s="550"/>
    </row>
    <row r="10" spans="1:35" s="439" customFormat="1" ht="15">
      <c r="A10" s="453" t="s">
        <v>82</v>
      </c>
      <c r="B10" s="447" t="s">
        <v>365</v>
      </c>
      <c r="C10" s="448">
        <v>120.15</v>
      </c>
      <c r="D10" s="448" t="s">
        <v>1801</v>
      </c>
      <c r="E10" s="449">
        <v>0.39700000000000002</v>
      </c>
      <c r="F10" s="449" t="s">
        <v>1801</v>
      </c>
      <c r="G10" s="450">
        <f t="shared" si="0"/>
        <v>2565926.6471575508</v>
      </c>
      <c r="H10" s="450" t="s">
        <v>2207</v>
      </c>
      <c r="I10" s="450">
        <v>6130</v>
      </c>
      <c r="J10" s="448" t="s">
        <v>1801</v>
      </c>
      <c r="K10" s="449">
        <v>1.04E-5</v>
      </c>
      <c r="L10" s="449" t="s">
        <v>1801</v>
      </c>
      <c r="M10" s="922">
        <v>4.2519999999999998E-4</v>
      </c>
      <c r="N10" s="450">
        <v>6.5222100000000005E-2</v>
      </c>
      <c r="O10" s="537" t="s">
        <v>2367</v>
      </c>
      <c r="P10" s="450">
        <v>8.7229000000000008E-6</v>
      </c>
      <c r="Q10" s="537" t="s">
        <v>2367</v>
      </c>
      <c r="R10" s="543">
        <v>475</v>
      </c>
      <c r="S10" s="540" t="s">
        <v>414</v>
      </c>
      <c r="T10" s="543">
        <v>709.5</v>
      </c>
      <c r="U10" s="540" t="s">
        <v>2181</v>
      </c>
      <c r="V10" s="451">
        <v>11731.5</v>
      </c>
      <c r="W10" s="540" t="s">
        <v>2179</v>
      </c>
      <c r="X10" s="449">
        <v>51.85</v>
      </c>
      <c r="Y10" s="455" t="s">
        <v>414</v>
      </c>
      <c r="Z10" s="455" t="s">
        <v>2203</v>
      </c>
      <c r="AA10" s="455" t="s">
        <v>43</v>
      </c>
      <c r="AB10" s="455" t="s">
        <v>2203</v>
      </c>
      <c r="AC10" s="455" t="s">
        <v>43</v>
      </c>
      <c r="AD10" s="452" t="s">
        <v>1731</v>
      </c>
      <c r="AE10" s="484" t="s">
        <v>1731</v>
      </c>
      <c r="AF10" s="484" t="s">
        <v>2512</v>
      </c>
      <c r="AG10" s="452"/>
      <c r="AH10" s="550"/>
    </row>
    <row r="11" spans="1:35" s="439" customFormat="1" ht="15">
      <c r="A11" s="453" t="s">
        <v>91</v>
      </c>
      <c r="B11" s="447" t="s">
        <v>368</v>
      </c>
      <c r="C11" s="448">
        <v>56.064999999999998</v>
      </c>
      <c r="D11" s="448" t="s">
        <v>1801</v>
      </c>
      <c r="E11" s="449">
        <v>274.10000000000002</v>
      </c>
      <c r="F11" s="449" t="s">
        <v>1801</v>
      </c>
      <c r="G11" s="450">
        <f t="shared" si="0"/>
        <v>826667410.81034553</v>
      </c>
      <c r="H11" s="450" t="s">
        <v>2207</v>
      </c>
      <c r="I11" s="450">
        <v>212000</v>
      </c>
      <c r="J11" s="448" t="s">
        <v>1801</v>
      </c>
      <c r="K11" s="449">
        <v>1.22E-4</v>
      </c>
      <c r="L11" s="449" t="s">
        <v>1801</v>
      </c>
      <c r="M11" s="922">
        <v>4.9877000000000003E-3</v>
      </c>
      <c r="N11" s="450">
        <v>0.1116862</v>
      </c>
      <c r="O11" s="537" t="s">
        <v>2367</v>
      </c>
      <c r="P11" s="450">
        <v>1.22E-5</v>
      </c>
      <c r="Q11" s="537" t="s">
        <v>2367</v>
      </c>
      <c r="R11" s="543">
        <v>325.60000000000002</v>
      </c>
      <c r="S11" s="540" t="s">
        <v>414</v>
      </c>
      <c r="T11" s="543">
        <v>506</v>
      </c>
      <c r="U11" s="540" t="s">
        <v>2183</v>
      </c>
      <c r="V11" s="451">
        <v>6730.7658000000001</v>
      </c>
      <c r="W11" s="540" t="s">
        <v>2179</v>
      </c>
      <c r="X11" s="449">
        <v>1</v>
      </c>
      <c r="Y11" s="455" t="s">
        <v>414</v>
      </c>
      <c r="Z11" s="455" t="s">
        <v>2203</v>
      </c>
      <c r="AA11" s="455" t="s">
        <v>43</v>
      </c>
      <c r="AB11" s="455">
        <v>2.0000000000000002E-5</v>
      </c>
      <c r="AC11" s="455" t="s">
        <v>280</v>
      </c>
      <c r="AD11" s="452" t="s">
        <v>1731</v>
      </c>
      <c r="AE11" s="484" t="s">
        <v>1731</v>
      </c>
      <c r="AF11" s="484" t="s">
        <v>2512</v>
      </c>
      <c r="AG11" s="452"/>
      <c r="AH11" s="550"/>
    </row>
    <row r="12" spans="1:35" s="439" customFormat="1" ht="15">
      <c r="A12" s="453" t="s">
        <v>371</v>
      </c>
      <c r="B12" s="447" t="s">
        <v>372</v>
      </c>
      <c r="C12" s="448">
        <v>72.063999999999993</v>
      </c>
      <c r="D12" s="448" t="s">
        <v>1801</v>
      </c>
      <c r="E12" s="449">
        <v>3.97</v>
      </c>
      <c r="F12" s="449" t="s">
        <v>1801</v>
      </c>
      <c r="G12" s="450">
        <f t="shared" si="0"/>
        <v>15390007.315918578</v>
      </c>
      <c r="H12" s="450" t="s">
        <v>2207</v>
      </c>
      <c r="I12" s="450">
        <v>1000000</v>
      </c>
      <c r="J12" s="448" t="s">
        <v>1801</v>
      </c>
      <c r="K12" s="449">
        <v>3.7E-7</v>
      </c>
      <c r="L12" s="449" t="s">
        <v>414</v>
      </c>
      <c r="M12" s="922">
        <v>1.5099999999999999E-5</v>
      </c>
      <c r="N12" s="450">
        <v>0.1027173</v>
      </c>
      <c r="O12" s="537" t="s">
        <v>2367</v>
      </c>
      <c r="P12" s="450">
        <v>1.2E-5</v>
      </c>
      <c r="Q12" s="537" t="s">
        <v>2367</v>
      </c>
      <c r="R12" s="543">
        <v>414.34999999999997</v>
      </c>
      <c r="S12" s="540" t="s">
        <v>414</v>
      </c>
      <c r="T12" s="543">
        <v>615.15</v>
      </c>
      <c r="U12" s="540" t="s">
        <v>2174</v>
      </c>
      <c r="V12" s="451">
        <v>10955.1</v>
      </c>
      <c r="W12" s="540" t="s">
        <v>2174</v>
      </c>
      <c r="X12" s="449">
        <v>1.44</v>
      </c>
      <c r="Y12" s="455" t="s">
        <v>414</v>
      </c>
      <c r="Z12" s="455" t="s">
        <v>2203</v>
      </c>
      <c r="AA12" s="455" t="s">
        <v>43</v>
      </c>
      <c r="AB12" s="455">
        <v>1E-3</v>
      </c>
      <c r="AC12" s="455" t="s">
        <v>280</v>
      </c>
      <c r="AD12" s="452" t="s">
        <v>1731</v>
      </c>
      <c r="AE12" s="484" t="s">
        <v>1731</v>
      </c>
      <c r="AF12" s="484" t="s">
        <v>2512</v>
      </c>
      <c r="AG12" s="452"/>
      <c r="AH12" s="550"/>
    </row>
    <row r="13" spans="1:35" s="439" customFormat="1" ht="15">
      <c r="A13" s="453" t="s">
        <v>93</v>
      </c>
      <c r="B13" s="447" t="s">
        <v>373</v>
      </c>
      <c r="C13" s="448">
        <v>53.064</v>
      </c>
      <c r="D13" s="448" t="s">
        <v>1801</v>
      </c>
      <c r="E13" s="449">
        <v>108.5</v>
      </c>
      <c r="F13" s="449" t="s">
        <v>1801</v>
      </c>
      <c r="G13" s="450">
        <f t="shared" si="0"/>
        <v>309713172.95692217</v>
      </c>
      <c r="H13" s="450" t="s">
        <v>2207</v>
      </c>
      <c r="I13" s="450">
        <v>74500</v>
      </c>
      <c r="J13" s="448" t="s">
        <v>1801</v>
      </c>
      <c r="K13" s="449">
        <v>1.3799999999999999E-4</v>
      </c>
      <c r="L13" s="449" t="s">
        <v>1801</v>
      </c>
      <c r="M13" s="922">
        <v>5.6419E-3</v>
      </c>
      <c r="N13" s="450">
        <v>0.1136836</v>
      </c>
      <c r="O13" s="537" t="s">
        <v>2367</v>
      </c>
      <c r="P13" s="450">
        <v>1.2300000000000001E-5</v>
      </c>
      <c r="Q13" s="537" t="s">
        <v>2367</v>
      </c>
      <c r="R13" s="543">
        <v>350.3</v>
      </c>
      <c r="S13" s="540" t="s">
        <v>414</v>
      </c>
      <c r="T13" s="543">
        <v>519</v>
      </c>
      <c r="U13" s="540" t="s">
        <v>2179</v>
      </c>
      <c r="V13" s="451">
        <v>7786</v>
      </c>
      <c r="W13" s="540" t="s">
        <v>2183</v>
      </c>
      <c r="X13" s="449">
        <v>8.5109999999999992</v>
      </c>
      <c r="Y13" s="455" t="s">
        <v>414</v>
      </c>
      <c r="Z13" s="455">
        <v>6.7999999999999999E-5</v>
      </c>
      <c r="AA13" s="455" t="s">
        <v>280</v>
      </c>
      <c r="AB13" s="455">
        <v>2E-3</v>
      </c>
      <c r="AC13" s="455" t="s">
        <v>280</v>
      </c>
      <c r="AD13" s="452" t="s">
        <v>1731</v>
      </c>
      <c r="AE13" s="484" t="s">
        <v>1731</v>
      </c>
      <c r="AF13" s="484" t="s">
        <v>2512</v>
      </c>
      <c r="AG13" s="452"/>
      <c r="AH13" s="550"/>
    </row>
    <row r="14" spans="1:35" s="439" customFormat="1" ht="15">
      <c r="A14" s="453" t="s">
        <v>109</v>
      </c>
      <c r="B14" s="447" t="s">
        <v>382</v>
      </c>
      <c r="C14" s="448">
        <v>364.92</v>
      </c>
      <c r="D14" s="448" t="s">
        <v>1801</v>
      </c>
      <c r="E14" s="449">
        <v>1.2E-4</v>
      </c>
      <c r="F14" s="449" t="s">
        <v>1801</v>
      </c>
      <c r="G14" s="450">
        <f t="shared" si="0"/>
        <v>2355.6397125274348</v>
      </c>
      <c r="H14" s="450" t="s">
        <v>2207</v>
      </c>
      <c r="I14" s="450">
        <v>1.7000000000000001E-2</v>
      </c>
      <c r="J14" s="448" t="s">
        <v>1801</v>
      </c>
      <c r="K14" s="449">
        <v>4.3999999999999999E-5</v>
      </c>
      <c r="L14" s="449" t="s">
        <v>1801</v>
      </c>
      <c r="M14" s="922">
        <v>1.7989E-3</v>
      </c>
      <c r="N14" s="450">
        <v>2.2811600000000001E-2</v>
      </c>
      <c r="O14" s="537" t="s">
        <v>2367</v>
      </c>
      <c r="P14" s="450">
        <v>5.8401999999999996E-6</v>
      </c>
      <c r="Q14" s="537" t="s">
        <v>2367</v>
      </c>
      <c r="R14" s="543">
        <v>418.15</v>
      </c>
      <c r="S14" s="540" t="s">
        <v>414</v>
      </c>
      <c r="T14" s="543">
        <v>627.22499999999991</v>
      </c>
      <c r="U14" s="540" t="s">
        <v>2182</v>
      </c>
      <c r="V14" s="451">
        <v>15000</v>
      </c>
      <c r="W14" s="540" t="s">
        <v>2180</v>
      </c>
      <c r="X14" s="449">
        <v>82020</v>
      </c>
      <c r="Y14" s="455" t="s">
        <v>414</v>
      </c>
      <c r="Z14" s="455">
        <v>4.8999999999999998E-3</v>
      </c>
      <c r="AA14" s="455" t="s">
        <v>280</v>
      </c>
      <c r="AB14" s="455" t="s">
        <v>2203</v>
      </c>
      <c r="AC14" s="455" t="s">
        <v>43</v>
      </c>
      <c r="AD14" s="452" t="s">
        <v>1731</v>
      </c>
      <c r="AE14" s="484" t="s">
        <v>1731</v>
      </c>
      <c r="AF14" s="484" t="s">
        <v>2512</v>
      </c>
      <c r="AG14" s="452"/>
      <c r="AH14" s="550"/>
    </row>
    <row r="15" spans="1:35" s="439" customFormat="1" ht="15">
      <c r="A15" s="453" t="s">
        <v>384</v>
      </c>
      <c r="B15" s="447" t="s">
        <v>385</v>
      </c>
      <c r="C15" s="448">
        <v>58.081000000000003</v>
      </c>
      <c r="D15" s="448" t="s">
        <v>1801</v>
      </c>
      <c r="E15" s="449">
        <v>26.1</v>
      </c>
      <c r="F15" s="449" t="s">
        <v>1801</v>
      </c>
      <c r="G15" s="450">
        <f t="shared" si="0"/>
        <v>81546353.875285119</v>
      </c>
      <c r="H15" s="450" t="s">
        <v>2207</v>
      </c>
      <c r="I15" s="450">
        <v>1000000</v>
      </c>
      <c r="J15" s="448" t="s">
        <v>1801</v>
      </c>
      <c r="K15" s="449">
        <v>4.9899999999999997E-6</v>
      </c>
      <c r="L15" s="449" t="s">
        <v>1801</v>
      </c>
      <c r="M15" s="922">
        <v>2.04E-4</v>
      </c>
      <c r="N15" s="450">
        <v>0.1097535</v>
      </c>
      <c r="O15" s="537" t="s">
        <v>2367</v>
      </c>
      <c r="P15" s="450">
        <v>1.2099999999999999E-5</v>
      </c>
      <c r="Q15" s="537" t="s">
        <v>2367</v>
      </c>
      <c r="R15" s="543">
        <v>370.15</v>
      </c>
      <c r="S15" s="540" t="s">
        <v>414</v>
      </c>
      <c r="T15" s="543">
        <v>539.79999999999995</v>
      </c>
      <c r="U15" s="540" t="s">
        <v>2179</v>
      </c>
      <c r="V15" s="451">
        <v>9553.84</v>
      </c>
      <c r="W15" s="540" t="s">
        <v>2174</v>
      </c>
      <c r="X15" s="449">
        <v>1.9039999999999999</v>
      </c>
      <c r="Y15" s="455" t="s">
        <v>414</v>
      </c>
      <c r="Z15" s="455" t="s">
        <v>2203</v>
      </c>
      <c r="AA15" s="455" t="s">
        <v>43</v>
      </c>
      <c r="AB15" s="455">
        <v>1E-4</v>
      </c>
      <c r="AC15" s="455" t="s">
        <v>0</v>
      </c>
      <c r="AD15" s="452" t="s">
        <v>1731</v>
      </c>
      <c r="AE15" s="484" t="s">
        <v>1731</v>
      </c>
      <c r="AF15" s="484" t="s">
        <v>2512</v>
      </c>
      <c r="AG15" s="452"/>
      <c r="AH15" s="550"/>
    </row>
    <row r="16" spans="1:35" s="439" customFormat="1" ht="15">
      <c r="A16" s="453" t="s">
        <v>386</v>
      </c>
      <c r="B16" s="447" t="s">
        <v>387</v>
      </c>
      <c r="C16" s="448">
        <v>76.525999999999996</v>
      </c>
      <c r="D16" s="448" t="s">
        <v>1801</v>
      </c>
      <c r="E16" s="449">
        <v>367.9</v>
      </c>
      <c r="F16" s="449" t="s">
        <v>1801</v>
      </c>
      <c r="G16" s="450">
        <f t="shared" si="0"/>
        <v>1514498181.7790592</v>
      </c>
      <c r="H16" s="450" t="s">
        <v>2207</v>
      </c>
      <c r="I16" s="450">
        <v>3370</v>
      </c>
      <c r="J16" s="448" t="s">
        <v>1801</v>
      </c>
      <c r="K16" s="449">
        <v>1.0999999999999999E-2</v>
      </c>
      <c r="L16" s="449" t="s">
        <v>414</v>
      </c>
      <c r="M16" s="922">
        <v>0.4497138</v>
      </c>
      <c r="N16" s="450">
        <v>9.3611E-2</v>
      </c>
      <c r="O16" s="537" t="s">
        <v>2367</v>
      </c>
      <c r="P16" s="450">
        <v>1.08E-5</v>
      </c>
      <c r="Q16" s="537" t="s">
        <v>2367</v>
      </c>
      <c r="R16" s="543">
        <v>318.10000000000002</v>
      </c>
      <c r="S16" s="540" t="s">
        <v>2173</v>
      </c>
      <c r="T16" s="543">
        <v>514.26</v>
      </c>
      <c r="U16" s="540" t="s">
        <v>2174</v>
      </c>
      <c r="V16" s="451">
        <v>6936.08</v>
      </c>
      <c r="W16" s="540" t="s">
        <v>2174</v>
      </c>
      <c r="X16" s="449">
        <v>39.6</v>
      </c>
      <c r="Y16" s="455" t="s">
        <v>414</v>
      </c>
      <c r="Z16" s="455">
        <v>6.0000000000000002E-6</v>
      </c>
      <c r="AA16" s="455" t="s">
        <v>2507</v>
      </c>
      <c r="AB16" s="455">
        <v>1E-3</v>
      </c>
      <c r="AC16" s="455" t="s">
        <v>280</v>
      </c>
      <c r="AD16" s="452" t="s">
        <v>1731</v>
      </c>
      <c r="AE16" s="484" t="s">
        <v>1731</v>
      </c>
      <c r="AF16" s="484" t="s">
        <v>2512</v>
      </c>
      <c r="AG16" s="452"/>
      <c r="AH16" s="550"/>
    </row>
    <row r="17" spans="1:34" s="439" customFormat="1" ht="15">
      <c r="A17" s="453" t="s">
        <v>403</v>
      </c>
      <c r="B17" s="447" t="s">
        <v>404</v>
      </c>
      <c r="C17" s="448">
        <v>17.030999999999999</v>
      </c>
      <c r="D17" s="448" t="s">
        <v>1801</v>
      </c>
      <c r="E17" s="449">
        <v>7508</v>
      </c>
      <c r="F17" s="449" t="s">
        <v>1801</v>
      </c>
      <c r="G17" s="450">
        <f t="shared" si="0"/>
        <v>6878509919.5248957</v>
      </c>
      <c r="H17" s="450" t="s">
        <v>2207</v>
      </c>
      <c r="I17" s="450">
        <v>482000</v>
      </c>
      <c r="J17" s="448" t="s">
        <v>1801</v>
      </c>
      <c r="K17" s="449">
        <v>1.6099999999999998E-5</v>
      </c>
      <c r="L17" s="449" t="s">
        <v>1801</v>
      </c>
      <c r="M17" s="922">
        <v>6.5819999999999995E-4</v>
      </c>
      <c r="N17" s="450">
        <v>0.2305471</v>
      </c>
      <c r="O17" s="537" t="s">
        <v>2367</v>
      </c>
      <c r="P17" s="450">
        <v>2.23E-5</v>
      </c>
      <c r="Q17" s="537" t="s">
        <v>2367</v>
      </c>
      <c r="R17" s="543">
        <v>239.79999999999998</v>
      </c>
      <c r="S17" s="540" t="s">
        <v>2174</v>
      </c>
      <c r="T17" s="543">
        <v>405.54999999999995</v>
      </c>
      <c r="U17" s="540" t="s">
        <v>2174</v>
      </c>
      <c r="V17" s="451">
        <v>5581</v>
      </c>
      <c r="W17" s="540" t="s">
        <v>2179</v>
      </c>
      <c r="X17" s="449" t="s">
        <v>1750</v>
      </c>
      <c r="Y17" s="455" t="s">
        <v>43</v>
      </c>
      <c r="Z17" s="455" t="s">
        <v>2203</v>
      </c>
      <c r="AA17" s="455" t="s">
        <v>43</v>
      </c>
      <c r="AB17" s="455">
        <v>0.5</v>
      </c>
      <c r="AC17" s="455" t="s">
        <v>280</v>
      </c>
      <c r="AD17" s="452" t="s">
        <v>1731</v>
      </c>
      <c r="AE17" s="484" t="s">
        <v>1731</v>
      </c>
      <c r="AF17" s="484" t="s">
        <v>2512</v>
      </c>
      <c r="AG17" s="452"/>
      <c r="AH17" s="550"/>
    </row>
    <row r="18" spans="1:34" s="439" customFormat="1" ht="15">
      <c r="A18" s="453" t="s">
        <v>2105</v>
      </c>
      <c r="B18" s="447" t="s">
        <v>2104</v>
      </c>
      <c r="C18" s="448">
        <v>88.150999999999996</v>
      </c>
      <c r="D18" s="448" t="s">
        <v>1801</v>
      </c>
      <c r="E18" s="449">
        <v>16.7</v>
      </c>
      <c r="F18" s="449" t="s">
        <v>1801</v>
      </c>
      <c r="G18" s="450">
        <f t="shared" si="0"/>
        <v>79190606.575719744</v>
      </c>
      <c r="H18" s="450" t="s">
        <v>2207</v>
      </c>
      <c r="I18" s="450">
        <v>110000</v>
      </c>
      <c r="J18" s="448" t="s">
        <v>1801</v>
      </c>
      <c r="K18" s="449">
        <v>1.38E-5</v>
      </c>
      <c r="L18" s="449" t="s">
        <v>1801</v>
      </c>
      <c r="M18" s="922">
        <v>5.6420000000000005E-4</v>
      </c>
      <c r="N18" s="450">
        <v>7.8544699999999995E-2</v>
      </c>
      <c r="O18" s="537" t="s">
        <v>2367</v>
      </c>
      <c r="P18" s="450">
        <v>9.1012000000000002E-6</v>
      </c>
      <c r="Q18" s="537" t="s">
        <v>2367</v>
      </c>
      <c r="R18" s="543">
        <v>375.54999999999995</v>
      </c>
      <c r="S18" s="540" t="s">
        <v>414</v>
      </c>
      <c r="T18" s="543">
        <v>545.15</v>
      </c>
      <c r="U18" s="540" t="s">
        <v>2179</v>
      </c>
      <c r="V18" s="451">
        <v>9586.5200764818346</v>
      </c>
      <c r="W18" s="540" t="s">
        <v>2174</v>
      </c>
      <c r="X18" s="449">
        <v>4.1379999999999999</v>
      </c>
      <c r="Y18" s="455" t="s">
        <v>414</v>
      </c>
      <c r="Z18" s="455" t="s">
        <v>2203</v>
      </c>
      <c r="AA18" s="455" t="s">
        <v>43</v>
      </c>
      <c r="AB18" s="455">
        <v>3.0000000000000001E-3</v>
      </c>
      <c r="AC18" s="455" t="s">
        <v>0</v>
      </c>
      <c r="AD18" s="452" t="s">
        <v>1731</v>
      </c>
      <c r="AE18" s="484" t="s">
        <v>1731</v>
      </c>
      <c r="AF18" s="484" t="s">
        <v>2512</v>
      </c>
      <c r="AG18" s="452"/>
      <c r="AH18" s="550"/>
    </row>
    <row r="19" spans="1:34" s="439" customFormat="1" ht="15">
      <c r="A19" s="453" t="s">
        <v>2150</v>
      </c>
      <c r="B19" s="447" t="s">
        <v>1362</v>
      </c>
      <c r="C19" s="448">
        <v>178.24</v>
      </c>
      <c r="D19" s="448" t="s">
        <v>1801</v>
      </c>
      <c r="E19" s="449">
        <v>6.5300000000000002E-6</v>
      </c>
      <c r="F19" s="449" t="s">
        <v>414</v>
      </c>
      <c r="G19" s="450">
        <f t="shared" si="0"/>
        <v>62.610664027198013</v>
      </c>
      <c r="H19" s="450" t="s">
        <v>2207</v>
      </c>
      <c r="I19" s="450">
        <v>4.3400000000000001E-2</v>
      </c>
      <c r="J19" s="448" t="s">
        <v>1801</v>
      </c>
      <c r="K19" s="449">
        <v>5.5600000000000003E-5</v>
      </c>
      <c r="L19" s="449" t="s">
        <v>1801</v>
      </c>
      <c r="M19" s="922">
        <v>2.2731000000000001E-3</v>
      </c>
      <c r="N19" s="450">
        <v>3.89732E-2</v>
      </c>
      <c r="O19" s="537" t="s">
        <v>2367</v>
      </c>
      <c r="P19" s="450">
        <v>7.8522999999999993E-6</v>
      </c>
      <c r="Q19" s="537" t="s">
        <v>2367</v>
      </c>
      <c r="R19" s="543">
        <v>612.9</v>
      </c>
      <c r="S19" s="540" t="s">
        <v>414</v>
      </c>
      <c r="T19" s="543">
        <v>873</v>
      </c>
      <c r="U19" s="540" t="s">
        <v>2180</v>
      </c>
      <c r="V19" s="451">
        <v>13121</v>
      </c>
      <c r="W19" s="540" t="s">
        <v>2180</v>
      </c>
      <c r="X19" s="449">
        <v>16360</v>
      </c>
      <c r="Y19" s="455" t="s">
        <v>414</v>
      </c>
      <c r="Z19" s="455">
        <v>0</v>
      </c>
      <c r="AA19" s="455" t="s">
        <v>43</v>
      </c>
      <c r="AB19" s="455" t="s">
        <v>2203</v>
      </c>
      <c r="AC19" s="455" t="s">
        <v>43</v>
      </c>
      <c r="AD19" s="452" t="s">
        <v>1731</v>
      </c>
      <c r="AE19" s="484" t="s">
        <v>1731</v>
      </c>
      <c r="AF19" s="484" t="s">
        <v>2512</v>
      </c>
      <c r="AG19" s="452"/>
      <c r="AH19" s="550"/>
    </row>
    <row r="20" spans="1:34" s="439" customFormat="1" ht="15">
      <c r="A20" s="453" t="s">
        <v>1732</v>
      </c>
      <c r="B20" s="447" t="s">
        <v>1315</v>
      </c>
      <c r="C20" s="448">
        <v>549.54</v>
      </c>
      <c r="D20" s="448" t="s">
        <v>1801</v>
      </c>
      <c r="E20" s="449">
        <v>4.0000000000000002E-4</v>
      </c>
      <c r="F20" s="449" t="s">
        <v>1801</v>
      </c>
      <c r="G20" s="450">
        <f>E20/760*1000000000*C20/24.46</f>
        <v>11824.67616301588</v>
      </c>
      <c r="H20" s="450" t="s">
        <v>2207</v>
      </c>
      <c r="I20" s="450">
        <v>0.42</v>
      </c>
      <c r="J20" s="448" t="s">
        <v>1801</v>
      </c>
      <c r="K20" s="449">
        <v>2.0000000000000001E-4</v>
      </c>
      <c r="L20" s="449" t="s">
        <v>414</v>
      </c>
      <c r="M20" s="922">
        <v>8.1765999999999991E-3</v>
      </c>
      <c r="N20" s="450">
        <v>1.7099699999999999E-2</v>
      </c>
      <c r="O20" s="537" t="s">
        <v>2367</v>
      </c>
      <c r="P20" s="450">
        <v>4.1620000000000001E-6</v>
      </c>
      <c r="Q20" s="537" t="s">
        <v>2367</v>
      </c>
      <c r="R20" s="543">
        <v>596.15</v>
      </c>
      <c r="S20" s="540" t="s">
        <v>2175</v>
      </c>
      <c r="T20" s="543">
        <v>894.22499999999991</v>
      </c>
      <c r="U20" s="540" t="s">
        <v>2182</v>
      </c>
      <c r="V20" s="451" t="s">
        <v>2024</v>
      </c>
      <c r="W20" s="540"/>
      <c r="X20" s="449">
        <v>47700</v>
      </c>
      <c r="Y20" s="455" t="s">
        <v>414</v>
      </c>
      <c r="Z20" s="455">
        <v>2.0000000000000002E-5</v>
      </c>
      <c r="AA20" s="455" t="s">
        <v>14</v>
      </c>
      <c r="AB20" s="455" t="s">
        <v>2203</v>
      </c>
      <c r="AC20" s="455" t="s">
        <v>43</v>
      </c>
      <c r="AD20" s="452" t="s">
        <v>1731</v>
      </c>
      <c r="AE20" s="484" t="s">
        <v>1731</v>
      </c>
      <c r="AF20" s="484" t="s">
        <v>2512</v>
      </c>
      <c r="AG20" s="452"/>
      <c r="AH20" s="550"/>
    </row>
    <row r="21" spans="1:34" s="439" customFormat="1" ht="15">
      <c r="A21" s="453" t="s">
        <v>1733</v>
      </c>
      <c r="B21" s="447" t="s">
        <v>1317</v>
      </c>
      <c r="C21" s="448">
        <v>188.66</v>
      </c>
      <c r="D21" s="448" t="s">
        <v>1801</v>
      </c>
      <c r="E21" s="449">
        <v>6.7000000000000002E-3</v>
      </c>
      <c r="F21" s="449" t="s">
        <v>1801</v>
      </c>
      <c r="G21" s="450">
        <f>E21/760*1000000000*C21/24.46</f>
        <v>67996.191418857838</v>
      </c>
      <c r="H21" s="450" t="s">
        <v>2207</v>
      </c>
      <c r="I21" s="450">
        <v>15</v>
      </c>
      <c r="J21" s="448" t="s">
        <v>1801</v>
      </c>
      <c r="K21" s="449">
        <v>2.2800000000000001E-4</v>
      </c>
      <c r="L21" s="449" t="s">
        <v>1801</v>
      </c>
      <c r="M21" s="922">
        <v>9.3212999999999994E-3</v>
      </c>
      <c r="N21" s="450">
        <v>3.2457899999999998E-2</v>
      </c>
      <c r="O21" s="537" t="s">
        <v>2367</v>
      </c>
      <c r="P21" s="450">
        <v>7.2276000000000001E-6</v>
      </c>
      <c r="Q21" s="537" t="s">
        <v>2367</v>
      </c>
      <c r="R21" s="543">
        <v>563.15</v>
      </c>
      <c r="S21" s="540" t="s">
        <v>2175</v>
      </c>
      <c r="T21" s="543">
        <v>844.72499999999991</v>
      </c>
      <c r="U21" s="540" t="s">
        <v>2182</v>
      </c>
      <c r="V21" s="451" t="s">
        <v>2024</v>
      </c>
      <c r="W21" s="540"/>
      <c r="X21" s="449">
        <v>8397</v>
      </c>
      <c r="Y21" s="455" t="s">
        <v>414</v>
      </c>
      <c r="Z21" s="455">
        <v>5.6999999999999998E-4</v>
      </c>
      <c r="AA21" s="455" t="s">
        <v>14</v>
      </c>
      <c r="AB21" s="455" t="s">
        <v>2203</v>
      </c>
      <c r="AC21" s="455" t="s">
        <v>43</v>
      </c>
      <c r="AD21" s="452" t="s">
        <v>1731</v>
      </c>
      <c r="AE21" s="484" t="s">
        <v>1731</v>
      </c>
      <c r="AF21" s="484" t="s">
        <v>2512</v>
      </c>
      <c r="AG21" s="452"/>
      <c r="AH21" s="550"/>
    </row>
    <row r="22" spans="1:34" s="439" customFormat="1" ht="15">
      <c r="A22" s="453" t="s">
        <v>1734</v>
      </c>
      <c r="B22" s="447" t="s">
        <v>1319</v>
      </c>
      <c r="C22" s="448">
        <v>188.66</v>
      </c>
      <c r="D22" s="448" t="s">
        <v>1801</v>
      </c>
      <c r="E22" s="449">
        <v>4.0600000000000002E-3</v>
      </c>
      <c r="F22" s="449" t="s">
        <v>1801</v>
      </c>
      <c r="G22" s="450">
        <f t="shared" ref="G22:G85" si="1">E22/760*1000000000*C22/24.46</f>
        <v>41203.66226277058</v>
      </c>
      <c r="H22" s="450" t="s">
        <v>2207</v>
      </c>
      <c r="I22" s="450">
        <v>1.45</v>
      </c>
      <c r="J22" s="448" t="s">
        <v>1801</v>
      </c>
      <c r="K22" s="449">
        <v>7.36E-4</v>
      </c>
      <c r="L22" s="449" t="s">
        <v>414</v>
      </c>
      <c r="M22" s="922">
        <v>3.0089899999999999E-2</v>
      </c>
      <c r="N22" s="450">
        <v>3.3446799999999999E-2</v>
      </c>
      <c r="O22" s="537" t="s">
        <v>2367</v>
      </c>
      <c r="P22" s="450">
        <v>7.5177E-6</v>
      </c>
      <c r="Q22" s="537" t="s">
        <v>2367</v>
      </c>
      <c r="R22" s="543">
        <v>563.15</v>
      </c>
      <c r="S22" s="540" t="s">
        <v>2175</v>
      </c>
      <c r="T22" s="543">
        <v>844.72499999999991</v>
      </c>
      <c r="U22" s="540" t="s">
        <v>2182</v>
      </c>
      <c r="V22" s="451" t="s">
        <v>2024</v>
      </c>
      <c r="W22" s="540"/>
      <c r="X22" s="449">
        <v>8397</v>
      </c>
      <c r="Y22" s="455" t="s">
        <v>414</v>
      </c>
      <c r="Z22" s="455">
        <v>5.6999999999999998E-4</v>
      </c>
      <c r="AA22" s="455" t="s">
        <v>14</v>
      </c>
      <c r="AB22" s="455" t="s">
        <v>2203</v>
      </c>
      <c r="AC22" s="455" t="s">
        <v>43</v>
      </c>
      <c r="AD22" s="452" t="s">
        <v>1731</v>
      </c>
      <c r="AE22" s="484" t="s">
        <v>1731</v>
      </c>
      <c r="AF22" s="484" t="s">
        <v>2512</v>
      </c>
      <c r="AG22" s="452"/>
      <c r="AH22" s="550"/>
    </row>
    <row r="23" spans="1:34" s="439" customFormat="1" ht="15">
      <c r="A23" s="453" t="s">
        <v>1735</v>
      </c>
      <c r="B23" s="447" t="s">
        <v>1321</v>
      </c>
      <c r="C23" s="448">
        <v>291.99</v>
      </c>
      <c r="D23" s="448" t="s">
        <v>1801</v>
      </c>
      <c r="E23" s="449">
        <v>8.6299999999999997E-5</v>
      </c>
      <c r="F23" s="449" t="s">
        <v>414</v>
      </c>
      <c r="G23" s="450">
        <f t="shared" si="1"/>
        <v>1355.5287364978265</v>
      </c>
      <c r="H23" s="450" t="s">
        <v>2207</v>
      </c>
      <c r="I23" s="450">
        <v>0.27700000000000002</v>
      </c>
      <c r="J23" s="448" t="s">
        <v>1801</v>
      </c>
      <c r="K23" s="449">
        <v>3.4299999999999999E-4</v>
      </c>
      <c r="L23" s="449" t="s">
        <v>1801</v>
      </c>
      <c r="M23" s="922">
        <v>1.40229E-2</v>
      </c>
      <c r="N23" s="450">
        <v>2.38564E-2</v>
      </c>
      <c r="O23" s="537" t="s">
        <v>2367</v>
      </c>
      <c r="P23" s="450">
        <v>6.1090999999999997E-6</v>
      </c>
      <c r="Q23" s="537" t="s">
        <v>2367</v>
      </c>
      <c r="R23" s="543">
        <v>598.15</v>
      </c>
      <c r="S23" s="540" t="s">
        <v>2176</v>
      </c>
      <c r="T23" s="543">
        <v>897.22499999999991</v>
      </c>
      <c r="U23" s="540" t="s">
        <v>2182</v>
      </c>
      <c r="V23" s="451" t="s">
        <v>2024</v>
      </c>
      <c r="W23" s="540"/>
      <c r="X23" s="449">
        <v>78100</v>
      </c>
      <c r="Y23" s="455" t="s">
        <v>414</v>
      </c>
      <c r="Z23" s="455">
        <v>5.6999999999999998E-4</v>
      </c>
      <c r="AA23" s="455" t="s">
        <v>14</v>
      </c>
      <c r="AB23" s="455" t="s">
        <v>2203</v>
      </c>
      <c r="AC23" s="455" t="s">
        <v>43</v>
      </c>
      <c r="AD23" s="452" t="s">
        <v>1731</v>
      </c>
      <c r="AE23" s="484" t="s">
        <v>1731</v>
      </c>
      <c r="AF23" s="484" t="s">
        <v>2512</v>
      </c>
      <c r="AG23" s="452"/>
      <c r="AH23" s="550"/>
    </row>
    <row r="24" spans="1:34" s="439" customFormat="1" ht="15">
      <c r="A24" s="453" t="s">
        <v>1736</v>
      </c>
      <c r="B24" s="447" t="s">
        <v>1323</v>
      </c>
      <c r="C24" s="448">
        <v>618.42999999999995</v>
      </c>
      <c r="D24" s="448" t="s">
        <v>1801</v>
      </c>
      <c r="E24" s="449">
        <v>4.9399999999999997E-4</v>
      </c>
      <c r="F24" s="449" t="s">
        <v>1801</v>
      </c>
      <c r="G24" s="450">
        <f t="shared" si="1"/>
        <v>16434.157808667205</v>
      </c>
      <c r="H24" s="450" t="s">
        <v>2207</v>
      </c>
      <c r="I24" s="450">
        <v>0.1</v>
      </c>
      <c r="J24" s="448" t="s">
        <v>1801</v>
      </c>
      <c r="K24" s="449">
        <v>4.4000000000000002E-4</v>
      </c>
      <c r="L24" s="449" t="s">
        <v>1801</v>
      </c>
      <c r="M24" s="922">
        <v>1.79886E-2</v>
      </c>
      <c r="N24" s="450">
        <v>1.6274500000000001E-2</v>
      </c>
      <c r="O24" s="537" t="s">
        <v>2367</v>
      </c>
      <c r="P24" s="450">
        <v>3.9364000000000001E-6</v>
      </c>
      <c r="Q24" s="537" t="s">
        <v>2367</v>
      </c>
      <c r="R24" s="543">
        <v>613.15</v>
      </c>
      <c r="S24" s="540" t="s">
        <v>414</v>
      </c>
      <c r="T24" s="543">
        <v>919.72499999999991</v>
      </c>
      <c r="U24" s="540" t="s">
        <v>2182</v>
      </c>
      <c r="V24" s="451" t="s">
        <v>2024</v>
      </c>
      <c r="W24" s="540"/>
      <c r="X24" s="449">
        <v>76530</v>
      </c>
      <c r="Y24" s="455" t="s">
        <v>414</v>
      </c>
      <c r="Z24" s="455">
        <v>5.6999999999999998E-4</v>
      </c>
      <c r="AA24" s="455" t="s">
        <v>14</v>
      </c>
      <c r="AB24" s="455" t="s">
        <v>2203</v>
      </c>
      <c r="AC24" s="455" t="s">
        <v>43</v>
      </c>
      <c r="AD24" s="452" t="s">
        <v>1731</v>
      </c>
      <c r="AE24" s="484" t="s">
        <v>1731</v>
      </c>
      <c r="AF24" s="484" t="s">
        <v>2512</v>
      </c>
      <c r="AG24" s="452"/>
      <c r="AH24" s="550"/>
    </row>
    <row r="25" spans="1:34" s="439" customFormat="1" ht="15">
      <c r="A25" s="453" t="s">
        <v>1737</v>
      </c>
      <c r="B25" s="447" t="s">
        <v>1325</v>
      </c>
      <c r="C25" s="448">
        <v>326.44</v>
      </c>
      <c r="D25" s="448" t="s">
        <v>1801</v>
      </c>
      <c r="E25" s="449">
        <v>7.7100000000000004E-5</v>
      </c>
      <c r="F25" s="449" t="s">
        <v>1801</v>
      </c>
      <c r="G25" s="450">
        <f t="shared" si="1"/>
        <v>1353.9034729095838</v>
      </c>
      <c r="H25" s="450" t="s">
        <v>2207</v>
      </c>
      <c r="I25" s="450">
        <v>4.2999999999999997E-2</v>
      </c>
      <c r="J25" s="448" t="s">
        <v>1801</v>
      </c>
      <c r="K25" s="449">
        <v>2.8299999999999999E-4</v>
      </c>
      <c r="L25" s="449" t="s">
        <v>1801</v>
      </c>
      <c r="M25" s="922">
        <v>1.1569899999999999E-2</v>
      </c>
      <c r="N25" s="450">
        <v>2.3720499999999999E-2</v>
      </c>
      <c r="O25" s="537" t="s">
        <v>2367</v>
      </c>
      <c r="P25" s="450">
        <v>6.1024000000000002E-6</v>
      </c>
      <c r="Q25" s="537" t="s">
        <v>2367</v>
      </c>
      <c r="R25" s="543">
        <v>638.15</v>
      </c>
      <c r="S25" s="540" t="s">
        <v>2176</v>
      </c>
      <c r="T25" s="543">
        <v>957.22499999999991</v>
      </c>
      <c r="U25" s="540" t="s">
        <v>2182</v>
      </c>
      <c r="V25" s="451" t="s">
        <v>2024</v>
      </c>
      <c r="W25" s="540"/>
      <c r="X25" s="449">
        <v>130500</v>
      </c>
      <c r="Y25" s="455" t="s">
        <v>414</v>
      </c>
      <c r="Z25" s="455">
        <v>5.6999999999999998E-4</v>
      </c>
      <c r="AA25" s="455" t="s">
        <v>14</v>
      </c>
      <c r="AB25" s="455" t="s">
        <v>2203</v>
      </c>
      <c r="AC25" s="455" t="s">
        <v>43</v>
      </c>
      <c r="AD25" s="452" t="s">
        <v>1731</v>
      </c>
      <c r="AE25" s="484" t="s">
        <v>1731</v>
      </c>
      <c r="AF25" s="484" t="s">
        <v>2512</v>
      </c>
      <c r="AG25" s="452"/>
      <c r="AH25" s="550"/>
    </row>
    <row r="26" spans="1:34" s="439" customFormat="1" ht="15">
      <c r="A26" s="453" t="s">
        <v>1738</v>
      </c>
      <c r="B26" s="447" t="s">
        <v>1327</v>
      </c>
      <c r="C26" s="448">
        <v>395.33</v>
      </c>
      <c r="D26" s="448" t="s">
        <v>1801</v>
      </c>
      <c r="E26" s="449">
        <v>4.0500000000000002E-5</v>
      </c>
      <c r="F26" s="449" t="s">
        <v>1801</v>
      </c>
      <c r="G26" s="450">
        <f t="shared" si="1"/>
        <v>861.2807698928433</v>
      </c>
      <c r="H26" s="450" t="s">
        <v>2207</v>
      </c>
      <c r="I26" s="450">
        <v>1.44E-2</v>
      </c>
      <c r="J26" s="448" t="s">
        <v>1801</v>
      </c>
      <c r="K26" s="449">
        <v>3.3599999999999998E-4</v>
      </c>
      <c r="L26" s="449" t="s">
        <v>1801</v>
      </c>
      <c r="M26" s="922">
        <v>1.3736699999999999E-2</v>
      </c>
      <c r="N26" s="450">
        <v>2.2023899999999999E-2</v>
      </c>
      <c r="O26" s="537" t="s">
        <v>2367</v>
      </c>
      <c r="P26" s="450">
        <v>5.6080000000000003E-6</v>
      </c>
      <c r="Q26" s="537" t="s">
        <v>2367</v>
      </c>
      <c r="R26" s="543">
        <v>658.15</v>
      </c>
      <c r="S26" s="540" t="s">
        <v>2176</v>
      </c>
      <c r="T26" s="543">
        <v>987.22499999999991</v>
      </c>
      <c r="U26" s="540" t="s">
        <v>2182</v>
      </c>
      <c r="V26" s="451" t="s">
        <v>2024</v>
      </c>
      <c r="W26" s="540"/>
      <c r="X26" s="449">
        <v>349700</v>
      </c>
      <c r="Y26" s="455" t="s">
        <v>414</v>
      </c>
      <c r="Z26" s="455">
        <v>5.6999999999999998E-4</v>
      </c>
      <c r="AA26" s="455" t="s">
        <v>14</v>
      </c>
      <c r="AB26" s="455" t="s">
        <v>2203</v>
      </c>
      <c r="AC26" s="455" t="s">
        <v>43</v>
      </c>
      <c r="AD26" s="452" t="s">
        <v>1731</v>
      </c>
      <c r="AE26" s="484" t="s">
        <v>1731</v>
      </c>
      <c r="AF26" s="484" t="s">
        <v>2512</v>
      </c>
      <c r="AG26" s="452"/>
      <c r="AH26" s="550"/>
    </row>
    <row r="27" spans="1:34" s="439" customFormat="1" ht="15">
      <c r="A27" s="453" t="s">
        <v>2160</v>
      </c>
      <c r="B27" s="453" t="s">
        <v>2143</v>
      </c>
      <c r="C27" s="448">
        <v>291.99</v>
      </c>
      <c r="D27" s="448" t="s">
        <v>1801</v>
      </c>
      <c r="E27" s="449">
        <v>8.4500000000000004E-6</v>
      </c>
      <c r="F27" s="449" t="s">
        <v>1801</v>
      </c>
      <c r="G27" s="450">
        <f t="shared" si="1"/>
        <v>132.7255831217455</v>
      </c>
      <c r="H27" s="450" t="s">
        <v>2207</v>
      </c>
      <c r="I27" s="450">
        <v>5.3199999999999997E-2</v>
      </c>
      <c r="J27" s="448" t="s">
        <v>1801</v>
      </c>
      <c r="K27" s="449">
        <v>1.25E-4</v>
      </c>
      <c r="L27" s="449" t="s">
        <v>1801</v>
      </c>
      <c r="M27" s="922">
        <v>5.1104000000000002E-3</v>
      </c>
      <c r="N27" s="450">
        <v>2.4576500000000001E-2</v>
      </c>
      <c r="O27" s="537" t="s">
        <v>2367</v>
      </c>
      <c r="P27" s="450">
        <v>6.3450999999999996E-6</v>
      </c>
      <c r="Q27" s="537" t="s">
        <v>2367</v>
      </c>
      <c r="R27" s="543">
        <v>632.51</v>
      </c>
      <c r="S27" s="540" t="s">
        <v>414</v>
      </c>
      <c r="T27" s="543" t="s">
        <v>2035</v>
      </c>
      <c r="U27" s="540"/>
      <c r="V27" s="451" t="s">
        <v>2024</v>
      </c>
      <c r="W27" s="540"/>
      <c r="X27" s="449">
        <v>81320</v>
      </c>
      <c r="Y27" s="455" t="s">
        <v>414</v>
      </c>
      <c r="Z27" s="455" t="s">
        <v>2203</v>
      </c>
      <c r="AA27" s="455" t="s">
        <v>43</v>
      </c>
      <c r="AB27" s="455" t="s">
        <v>2203</v>
      </c>
      <c r="AC27" s="455" t="s">
        <v>43</v>
      </c>
      <c r="AD27" s="452" t="s">
        <v>1731</v>
      </c>
      <c r="AE27" s="484" t="s">
        <v>1731</v>
      </c>
      <c r="AF27" s="484" t="s">
        <v>2512</v>
      </c>
      <c r="AG27" s="452"/>
      <c r="AH27" s="550"/>
    </row>
    <row r="28" spans="1:34" s="439" customFormat="1" ht="15">
      <c r="A28" s="453" t="s">
        <v>434</v>
      </c>
      <c r="B28" s="447" t="s">
        <v>435</v>
      </c>
      <c r="C28" s="448">
        <v>182.23</v>
      </c>
      <c r="D28" s="448" t="s">
        <v>1801</v>
      </c>
      <c r="E28" s="449">
        <v>3.6099999999999999E-4</v>
      </c>
      <c r="F28" s="449" t="s">
        <v>1801</v>
      </c>
      <c r="G28" s="450">
        <f t="shared" si="1"/>
        <v>3538.8082583810301</v>
      </c>
      <c r="H28" s="450" t="s">
        <v>2207</v>
      </c>
      <c r="I28" s="450">
        <v>6.4</v>
      </c>
      <c r="J28" s="448" t="s">
        <v>1801</v>
      </c>
      <c r="K28" s="449">
        <v>1.3499999999999999E-5</v>
      </c>
      <c r="L28" s="449" t="s">
        <v>414</v>
      </c>
      <c r="M28" s="922">
        <v>5.5190000000000003E-4</v>
      </c>
      <c r="N28" s="450">
        <v>3.5908500000000003E-2</v>
      </c>
      <c r="O28" s="537" t="s">
        <v>2367</v>
      </c>
      <c r="P28" s="450">
        <v>7.4654999999999999E-6</v>
      </c>
      <c r="Q28" s="537" t="s">
        <v>2367</v>
      </c>
      <c r="R28" s="543">
        <v>566</v>
      </c>
      <c r="S28" s="540" t="s">
        <v>2177</v>
      </c>
      <c r="T28" s="543">
        <v>849</v>
      </c>
      <c r="U28" s="540" t="s">
        <v>2182</v>
      </c>
      <c r="V28" s="451" t="s">
        <v>2024</v>
      </c>
      <c r="W28" s="540"/>
      <c r="X28" s="449">
        <v>3759</v>
      </c>
      <c r="Y28" s="455" t="s">
        <v>414</v>
      </c>
      <c r="Z28" s="455">
        <v>3.1000000000000001E-5</v>
      </c>
      <c r="AA28" s="455" t="s">
        <v>280</v>
      </c>
      <c r="AB28" s="455" t="s">
        <v>2203</v>
      </c>
      <c r="AC28" s="455" t="s">
        <v>43</v>
      </c>
      <c r="AD28" s="452" t="s">
        <v>1731</v>
      </c>
      <c r="AE28" s="484" t="s">
        <v>1731</v>
      </c>
      <c r="AF28" s="484" t="s">
        <v>2512</v>
      </c>
      <c r="AG28" s="452"/>
      <c r="AH28" s="550"/>
    </row>
    <row r="29" spans="1:34" s="439" customFormat="1" ht="15">
      <c r="A29" s="453" t="s">
        <v>2192</v>
      </c>
      <c r="B29" s="453" t="s">
        <v>441</v>
      </c>
      <c r="C29" s="448">
        <v>335.29</v>
      </c>
      <c r="D29" s="448" t="s">
        <v>1801</v>
      </c>
      <c r="E29" s="449">
        <v>6.5300000000000002E-5</v>
      </c>
      <c r="F29" s="449" t="s">
        <v>1801</v>
      </c>
      <c r="G29" s="450">
        <f t="shared" si="1"/>
        <v>1177.7788118087535</v>
      </c>
      <c r="H29" s="450" t="s">
        <v>2207</v>
      </c>
      <c r="I29" s="450">
        <v>0.1</v>
      </c>
      <c r="J29" s="448" t="s">
        <v>1801</v>
      </c>
      <c r="K29" s="449">
        <v>2.9100000000000003E-4</v>
      </c>
      <c r="L29" s="449" t="s">
        <v>414</v>
      </c>
      <c r="M29" s="922">
        <v>1.1897E-2</v>
      </c>
      <c r="N29" s="450">
        <v>2.1872300000000001E-2</v>
      </c>
      <c r="O29" s="537" t="s">
        <v>2367</v>
      </c>
      <c r="P29" s="450">
        <v>5.5168999999999996E-6</v>
      </c>
      <c r="Q29" s="537" t="s">
        <v>2367</v>
      </c>
      <c r="R29" s="543">
        <v>643.15</v>
      </c>
      <c r="S29" s="540" t="s">
        <v>414</v>
      </c>
      <c r="T29" s="543">
        <v>964.72499999999991</v>
      </c>
      <c r="U29" s="540" t="s">
        <v>2182</v>
      </c>
      <c r="V29" s="451" t="s">
        <v>2024</v>
      </c>
      <c r="W29" s="540"/>
      <c r="X29" s="449">
        <v>16390</v>
      </c>
      <c r="Y29" s="455" t="s">
        <v>414</v>
      </c>
      <c r="Z29" s="455" t="s">
        <v>2203</v>
      </c>
      <c r="AA29" s="455" t="s">
        <v>43</v>
      </c>
      <c r="AB29" s="455" t="s">
        <v>2203</v>
      </c>
      <c r="AC29" s="455" t="s">
        <v>43</v>
      </c>
      <c r="AD29" s="452" t="s">
        <v>1731</v>
      </c>
      <c r="AE29" s="484" t="s">
        <v>1731</v>
      </c>
      <c r="AF29" s="484" t="s">
        <v>2512</v>
      </c>
      <c r="AG29" s="452"/>
      <c r="AH29" s="550"/>
    </row>
    <row r="30" spans="1:34" s="439" customFormat="1" ht="15">
      <c r="A30" s="453" t="s">
        <v>2148</v>
      </c>
      <c r="B30" s="447" t="s">
        <v>1364</v>
      </c>
      <c r="C30" s="448">
        <v>228.3</v>
      </c>
      <c r="D30" s="448" t="s">
        <v>1801</v>
      </c>
      <c r="E30" s="449">
        <v>2.1E-7</v>
      </c>
      <c r="F30" s="449" t="s">
        <v>1801</v>
      </c>
      <c r="G30" s="450">
        <f t="shared" si="1"/>
        <v>2.5790226793475921</v>
      </c>
      <c r="H30" s="450" t="s">
        <v>2207</v>
      </c>
      <c r="I30" s="450">
        <v>9.4000000000000004E-3</v>
      </c>
      <c r="J30" s="448" t="s">
        <v>1801</v>
      </c>
      <c r="K30" s="449">
        <v>1.2E-5</v>
      </c>
      <c r="L30" s="449" t="s">
        <v>1801</v>
      </c>
      <c r="M30" s="922">
        <v>4.906E-4</v>
      </c>
      <c r="N30" s="450">
        <v>2.61138E-2</v>
      </c>
      <c r="O30" s="537" t="s">
        <v>2367</v>
      </c>
      <c r="P30" s="450">
        <v>6.7495000000000003E-6</v>
      </c>
      <c r="Q30" s="537" t="s">
        <v>2367</v>
      </c>
      <c r="R30" s="543">
        <v>710.75</v>
      </c>
      <c r="S30" s="540" t="s">
        <v>414</v>
      </c>
      <c r="T30" s="543">
        <v>1066.125</v>
      </c>
      <c r="U30" s="540" t="s">
        <v>2182</v>
      </c>
      <c r="V30" s="451">
        <v>16000</v>
      </c>
      <c r="W30" s="540" t="s">
        <v>2180</v>
      </c>
      <c r="X30" s="449">
        <v>176900</v>
      </c>
      <c r="Y30" s="455" t="s">
        <v>414</v>
      </c>
      <c r="Z30" s="455">
        <v>6.0000000000000002E-5</v>
      </c>
      <c r="AA30" s="455" t="s">
        <v>279</v>
      </c>
      <c r="AB30" s="455" t="s">
        <v>2203</v>
      </c>
      <c r="AC30" s="455" t="s">
        <v>43</v>
      </c>
      <c r="AD30" s="452" t="s">
        <v>2513</v>
      </c>
      <c r="AE30" s="484" t="s">
        <v>1731</v>
      </c>
      <c r="AF30" s="484" t="s">
        <v>2512</v>
      </c>
      <c r="AG30" s="452"/>
      <c r="AH30" s="550"/>
    </row>
    <row r="31" spans="1:34" s="439" customFormat="1" ht="15">
      <c r="A31" s="453" t="s">
        <v>87</v>
      </c>
      <c r="B31" s="447" t="s">
        <v>446</v>
      </c>
      <c r="C31" s="448">
        <v>106.13</v>
      </c>
      <c r="D31" s="448" t="s">
        <v>1801</v>
      </c>
      <c r="E31" s="449">
        <v>1.27</v>
      </c>
      <c r="F31" s="449" t="s">
        <v>1801</v>
      </c>
      <c r="G31" s="450">
        <f t="shared" si="1"/>
        <v>7250564.8319490468</v>
      </c>
      <c r="H31" s="450" t="s">
        <v>2207</v>
      </c>
      <c r="I31" s="450">
        <v>6950</v>
      </c>
      <c r="J31" s="448" t="s">
        <v>1801</v>
      </c>
      <c r="K31" s="449">
        <v>2.6699999999999998E-5</v>
      </c>
      <c r="L31" s="449" t="s">
        <v>1801</v>
      </c>
      <c r="M31" s="922">
        <v>1.0916000000000001E-3</v>
      </c>
      <c r="N31" s="450">
        <v>7.4393000000000001E-2</v>
      </c>
      <c r="O31" s="537" t="s">
        <v>2367</v>
      </c>
      <c r="P31" s="450">
        <v>9.4627000000000001E-6</v>
      </c>
      <c r="Q31" s="537" t="s">
        <v>2367</v>
      </c>
      <c r="R31" s="543">
        <v>452</v>
      </c>
      <c r="S31" s="540" t="s">
        <v>414</v>
      </c>
      <c r="T31" s="543">
        <v>695</v>
      </c>
      <c r="U31" s="540" t="s">
        <v>2181</v>
      </c>
      <c r="V31" s="451">
        <v>11657.8</v>
      </c>
      <c r="W31" s="540" t="s">
        <v>2179</v>
      </c>
      <c r="X31" s="449">
        <v>11.09</v>
      </c>
      <c r="Y31" s="455" t="s">
        <v>414</v>
      </c>
      <c r="Z31" s="455" t="s">
        <v>2203</v>
      </c>
      <c r="AA31" s="455" t="s">
        <v>43</v>
      </c>
      <c r="AB31" s="455" t="s">
        <v>2203</v>
      </c>
      <c r="AC31" s="455" t="s">
        <v>43</v>
      </c>
      <c r="AD31" s="452" t="s">
        <v>1731</v>
      </c>
      <c r="AE31" s="484" t="s">
        <v>1731</v>
      </c>
      <c r="AF31" s="484" t="s">
        <v>2512</v>
      </c>
      <c r="AG31" s="452"/>
      <c r="AH31" s="550"/>
    </row>
    <row r="32" spans="1:34" s="439" customFormat="1" ht="15">
      <c r="A32" s="453" t="s">
        <v>49</v>
      </c>
      <c r="B32" s="447" t="s">
        <v>447</v>
      </c>
      <c r="C32" s="448">
        <v>78.114999999999995</v>
      </c>
      <c r="D32" s="448" t="s">
        <v>1801</v>
      </c>
      <c r="E32" s="449">
        <v>94.8</v>
      </c>
      <c r="F32" s="449" t="s">
        <v>1801</v>
      </c>
      <c r="G32" s="450">
        <f t="shared" si="1"/>
        <v>398357253.51809609</v>
      </c>
      <c r="H32" s="450" t="s">
        <v>2207</v>
      </c>
      <c r="I32" s="450">
        <v>1790</v>
      </c>
      <c r="J32" s="448" t="s">
        <v>1801</v>
      </c>
      <c r="K32" s="449">
        <v>5.5500000000000002E-3</v>
      </c>
      <c r="L32" s="449" t="s">
        <v>1801</v>
      </c>
      <c r="M32" s="922">
        <v>0.22690109999999999</v>
      </c>
      <c r="N32" s="450">
        <v>8.9534000000000002E-2</v>
      </c>
      <c r="O32" s="537" t="s">
        <v>2367</v>
      </c>
      <c r="P32" s="450">
        <v>1.03E-5</v>
      </c>
      <c r="Q32" s="537" t="s">
        <v>2367</v>
      </c>
      <c r="R32" s="543">
        <v>353</v>
      </c>
      <c r="S32" s="540" t="s">
        <v>414</v>
      </c>
      <c r="T32" s="543">
        <v>562.16</v>
      </c>
      <c r="U32" s="540" t="s">
        <v>2180</v>
      </c>
      <c r="V32" s="451">
        <v>7342</v>
      </c>
      <c r="W32" s="540" t="s">
        <v>2180</v>
      </c>
      <c r="X32" s="449">
        <v>145.80000000000001</v>
      </c>
      <c r="Y32" s="455" t="s">
        <v>414</v>
      </c>
      <c r="Z32" s="455">
        <v>7.7999999999999999E-6</v>
      </c>
      <c r="AA32" s="455" t="s">
        <v>280</v>
      </c>
      <c r="AB32" s="455">
        <v>0.03</v>
      </c>
      <c r="AC32" s="455" t="s">
        <v>280</v>
      </c>
      <c r="AD32" s="452" t="s">
        <v>1731</v>
      </c>
      <c r="AE32" s="484" t="s">
        <v>2513</v>
      </c>
      <c r="AF32" s="484" t="s">
        <v>2512</v>
      </c>
      <c r="AG32" s="452"/>
      <c r="AH32" s="550"/>
    </row>
    <row r="33" spans="1:34" s="439" customFormat="1" ht="15">
      <c r="A33" s="453" t="s">
        <v>448</v>
      </c>
      <c r="B33" s="447" t="s">
        <v>449</v>
      </c>
      <c r="C33" s="448">
        <v>110.18</v>
      </c>
      <c r="D33" s="448" t="s">
        <v>1801</v>
      </c>
      <c r="E33" s="449">
        <v>1.93</v>
      </c>
      <c r="F33" s="449" t="s">
        <v>1801</v>
      </c>
      <c r="G33" s="450">
        <f t="shared" si="1"/>
        <v>11439051.943021905</v>
      </c>
      <c r="H33" s="450" t="s">
        <v>2207</v>
      </c>
      <c r="I33" s="450">
        <v>835</v>
      </c>
      <c r="J33" s="448" t="s">
        <v>1801</v>
      </c>
      <c r="K33" s="449">
        <v>3.3500000000000001E-4</v>
      </c>
      <c r="L33" s="449" t="s">
        <v>414</v>
      </c>
      <c r="M33" s="922">
        <v>1.3695799999999999E-2</v>
      </c>
      <c r="N33" s="450">
        <v>7.2856400000000002E-2</v>
      </c>
      <c r="O33" s="537" t="s">
        <v>2367</v>
      </c>
      <c r="P33" s="450">
        <v>9.4506000000000006E-6</v>
      </c>
      <c r="Q33" s="537" t="s">
        <v>2367</v>
      </c>
      <c r="R33" s="543">
        <v>442.1</v>
      </c>
      <c r="S33" s="540" t="s">
        <v>2173</v>
      </c>
      <c r="T33" s="543">
        <v>663.15000000000009</v>
      </c>
      <c r="U33" s="540" t="s">
        <v>2182</v>
      </c>
      <c r="V33" s="451">
        <v>11359.51</v>
      </c>
      <c r="W33" s="540" t="s">
        <v>2027</v>
      </c>
      <c r="X33" s="449">
        <v>233.9</v>
      </c>
      <c r="Y33" s="455" t="s">
        <v>414</v>
      </c>
      <c r="Z33" s="455" t="s">
        <v>2203</v>
      </c>
      <c r="AA33" s="455" t="s">
        <v>43</v>
      </c>
      <c r="AB33" s="455" t="s">
        <v>2203</v>
      </c>
      <c r="AC33" s="455" t="s">
        <v>43</v>
      </c>
      <c r="AD33" s="452" t="s">
        <v>1731</v>
      </c>
      <c r="AE33" s="484" t="s">
        <v>1731</v>
      </c>
      <c r="AF33" s="484" t="s">
        <v>2512</v>
      </c>
      <c r="AG33" s="452"/>
      <c r="AH33" s="550"/>
    </row>
    <row r="34" spans="1:34" s="439" customFormat="1" ht="15">
      <c r="A34" s="453" t="s">
        <v>454</v>
      </c>
      <c r="B34" s="447" t="s">
        <v>455</v>
      </c>
      <c r="C34" s="448">
        <v>195.48</v>
      </c>
      <c r="D34" s="448" t="s">
        <v>1801</v>
      </c>
      <c r="E34" s="449">
        <v>0.41399999999999998</v>
      </c>
      <c r="F34" s="449" t="s">
        <v>414</v>
      </c>
      <c r="G34" s="450">
        <f t="shared" si="1"/>
        <v>4353440.6334724789</v>
      </c>
      <c r="H34" s="450" t="s">
        <v>2207</v>
      </c>
      <c r="I34" s="450">
        <v>53</v>
      </c>
      <c r="J34" s="448" t="s">
        <v>1801</v>
      </c>
      <c r="K34" s="449">
        <v>2.5999999999999998E-4</v>
      </c>
      <c r="L34" s="449" t="s">
        <v>1801</v>
      </c>
      <c r="M34" s="922">
        <v>1.0629599999999999E-2</v>
      </c>
      <c r="N34" s="450">
        <v>3.1255499999999999E-2</v>
      </c>
      <c r="O34" s="537" t="s">
        <v>2367</v>
      </c>
      <c r="P34" s="450">
        <v>7.746E-6</v>
      </c>
      <c r="Q34" s="537" t="s">
        <v>2367</v>
      </c>
      <c r="R34" s="543">
        <v>494</v>
      </c>
      <c r="S34" s="540" t="s">
        <v>2173</v>
      </c>
      <c r="T34" s="543">
        <v>741</v>
      </c>
      <c r="U34" s="540" t="s">
        <v>2182</v>
      </c>
      <c r="V34" s="451" t="s">
        <v>2024</v>
      </c>
      <c r="W34" s="540"/>
      <c r="X34" s="449">
        <v>1001</v>
      </c>
      <c r="Y34" s="455" t="s">
        <v>414</v>
      </c>
      <c r="Z34" s="455" t="s">
        <v>2203</v>
      </c>
      <c r="AA34" s="455" t="s">
        <v>43</v>
      </c>
      <c r="AB34" s="455" t="s">
        <v>2203</v>
      </c>
      <c r="AC34" s="455" t="s">
        <v>43</v>
      </c>
      <c r="AD34" s="452" t="s">
        <v>1731</v>
      </c>
      <c r="AE34" s="484" t="s">
        <v>1731</v>
      </c>
      <c r="AF34" s="484" t="s">
        <v>2512</v>
      </c>
      <c r="AG34" s="452"/>
      <c r="AH34" s="550"/>
    </row>
    <row r="35" spans="1:34" s="439" customFormat="1" ht="15">
      <c r="A35" s="453" t="s">
        <v>458</v>
      </c>
      <c r="B35" s="447" t="s">
        <v>459</v>
      </c>
      <c r="C35" s="448">
        <v>126.59</v>
      </c>
      <c r="D35" s="448" t="s">
        <v>1801</v>
      </c>
      <c r="E35" s="449">
        <v>1.23</v>
      </c>
      <c r="F35" s="449" t="s">
        <v>1801</v>
      </c>
      <c r="G35" s="450">
        <f t="shared" si="1"/>
        <v>8375957.5246374318</v>
      </c>
      <c r="H35" s="450" t="s">
        <v>2207</v>
      </c>
      <c r="I35" s="450">
        <v>525</v>
      </c>
      <c r="J35" s="448" t="s">
        <v>1801</v>
      </c>
      <c r="K35" s="449">
        <v>4.1199999999999999E-4</v>
      </c>
      <c r="L35" s="449" t="s">
        <v>414</v>
      </c>
      <c r="M35" s="922">
        <v>1.6843799999999999E-2</v>
      </c>
      <c r="N35" s="450">
        <v>6.3361799999999996E-2</v>
      </c>
      <c r="O35" s="537" t="s">
        <v>2367</v>
      </c>
      <c r="P35" s="450">
        <v>8.8056999999999994E-6</v>
      </c>
      <c r="Q35" s="537" t="s">
        <v>2367</v>
      </c>
      <c r="R35" s="543">
        <v>452</v>
      </c>
      <c r="S35" s="540" t="s">
        <v>414</v>
      </c>
      <c r="T35" s="543">
        <v>685</v>
      </c>
      <c r="U35" s="540" t="s">
        <v>2183</v>
      </c>
      <c r="V35" s="451">
        <v>8773.2597999999998</v>
      </c>
      <c r="W35" s="540" t="s">
        <v>2179</v>
      </c>
      <c r="X35" s="449">
        <v>446.1</v>
      </c>
      <c r="Y35" s="455" t="s">
        <v>414</v>
      </c>
      <c r="Z35" s="455">
        <v>4.8999999999999998E-5</v>
      </c>
      <c r="AA35" s="455" t="s">
        <v>2507</v>
      </c>
      <c r="AB35" s="455">
        <v>1E-3</v>
      </c>
      <c r="AC35" s="455" t="s">
        <v>281</v>
      </c>
      <c r="AD35" s="452" t="s">
        <v>1731</v>
      </c>
      <c r="AE35" s="484" t="s">
        <v>1731</v>
      </c>
      <c r="AF35" s="484" t="s">
        <v>2512</v>
      </c>
      <c r="AG35" s="452"/>
      <c r="AH35" s="550"/>
    </row>
    <row r="36" spans="1:34" s="439" customFormat="1" ht="15">
      <c r="A36" s="453" t="s">
        <v>467</v>
      </c>
      <c r="B36" s="447" t="s">
        <v>468</v>
      </c>
      <c r="C36" s="448">
        <v>154.21</v>
      </c>
      <c r="D36" s="448" t="s">
        <v>1801</v>
      </c>
      <c r="E36" s="449">
        <v>8.9300000000000004E-3</v>
      </c>
      <c r="F36" s="449" t="s">
        <v>1801</v>
      </c>
      <c r="G36" s="450">
        <f t="shared" si="1"/>
        <v>74078.802125919887</v>
      </c>
      <c r="H36" s="450" t="s">
        <v>2207</v>
      </c>
      <c r="I36" s="450">
        <v>7.48</v>
      </c>
      <c r="J36" s="448" t="s">
        <v>1801</v>
      </c>
      <c r="K36" s="449">
        <v>3.0800000000000001E-4</v>
      </c>
      <c r="L36" s="449" t="s">
        <v>1801</v>
      </c>
      <c r="M36" s="922">
        <v>1.2592000000000001E-2</v>
      </c>
      <c r="N36" s="450">
        <v>4.7059200000000002E-2</v>
      </c>
      <c r="O36" s="537" t="s">
        <v>2367</v>
      </c>
      <c r="P36" s="450">
        <v>7.5618000000000002E-6</v>
      </c>
      <c r="Q36" s="537" t="s">
        <v>2367</v>
      </c>
      <c r="R36" s="543">
        <v>529.1</v>
      </c>
      <c r="S36" s="540" t="s">
        <v>414</v>
      </c>
      <c r="T36" s="543">
        <v>789</v>
      </c>
      <c r="U36" s="540" t="s">
        <v>2181</v>
      </c>
      <c r="V36" s="451">
        <v>10890</v>
      </c>
      <c r="W36" s="540" t="s">
        <v>2183</v>
      </c>
      <c r="X36" s="449">
        <v>5129</v>
      </c>
      <c r="Y36" s="455" t="s">
        <v>414</v>
      </c>
      <c r="Z36" s="455" t="s">
        <v>2203</v>
      </c>
      <c r="AA36" s="455" t="s">
        <v>43</v>
      </c>
      <c r="AB36" s="455">
        <v>4.0000000000000002E-4</v>
      </c>
      <c r="AC36" s="455" t="s">
        <v>0</v>
      </c>
      <c r="AD36" s="452" t="s">
        <v>1731</v>
      </c>
      <c r="AE36" s="484" t="s">
        <v>1731</v>
      </c>
      <c r="AF36" s="484" t="s">
        <v>2512</v>
      </c>
      <c r="AG36" s="452"/>
      <c r="AH36" s="550"/>
    </row>
    <row r="37" spans="1:34" s="439" customFormat="1" ht="15">
      <c r="A37" s="453" t="s">
        <v>469</v>
      </c>
      <c r="B37" s="447" t="s">
        <v>470</v>
      </c>
      <c r="C37" s="448">
        <v>171.07</v>
      </c>
      <c r="D37" s="448" t="s">
        <v>1801</v>
      </c>
      <c r="E37" s="449">
        <v>0.56000000000000005</v>
      </c>
      <c r="F37" s="449" t="s">
        <v>1801</v>
      </c>
      <c r="G37" s="450">
        <f t="shared" si="1"/>
        <v>5153376.0812497307</v>
      </c>
      <c r="H37" s="450" t="s">
        <v>2207</v>
      </c>
      <c r="I37" s="450">
        <v>1700</v>
      </c>
      <c r="J37" s="448" t="s">
        <v>1801</v>
      </c>
      <c r="K37" s="449">
        <v>7.4200000000000001E-5</v>
      </c>
      <c r="L37" s="449" t="s">
        <v>414</v>
      </c>
      <c r="M37" s="922">
        <v>3.0335000000000002E-3</v>
      </c>
      <c r="N37" s="450">
        <v>3.9889099999999997E-2</v>
      </c>
      <c r="O37" s="537" t="s">
        <v>2367</v>
      </c>
      <c r="P37" s="450">
        <v>7.3606000000000003E-6</v>
      </c>
      <c r="Q37" s="537" t="s">
        <v>2367</v>
      </c>
      <c r="R37" s="543">
        <v>460</v>
      </c>
      <c r="S37" s="540" t="s">
        <v>414</v>
      </c>
      <c r="T37" s="543">
        <v>690</v>
      </c>
      <c r="U37" s="540" t="s">
        <v>2182</v>
      </c>
      <c r="V37" s="451">
        <v>9694.9215000000004</v>
      </c>
      <c r="W37" s="540" t="s">
        <v>2186</v>
      </c>
      <c r="X37" s="449">
        <v>82.92</v>
      </c>
      <c r="Y37" s="455" t="s">
        <v>414</v>
      </c>
      <c r="Z37" s="455" t="s">
        <v>2203</v>
      </c>
      <c r="AA37" s="455" t="s">
        <v>43</v>
      </c>
      <c r="AB37" s="455" t="s">
        <v>2203</v>
      </c>
      <c r="AC37" s="455" t="s">
        <v>43</v>
      </c>
      <c r="AD37" s="452" t="s">
        <v>1731</v>
      </c>
      <c r="AE37" s="484" t="s">
        <v>1731</v>
      </c>
      <c r="AF37" s="484" t="s">
        <v>2512</v>
      </c>
      <c r="AG37" s="452"/>
      <c r="AH37" s="550"/>
    </row>
    <row r="38" spans="1:34" s="439" customFormat="1" ht="15">
      <c r="A38" s="453" t="s">
        <v>99</v>
      </c>
      <c r="B38" s="447" t="s">
        <v>473</v>
      </c>
      <c r="C38" s="448">
        <v>143.01</v>
      </c>
      <c r="D38" s="448" t="s">
        <v>1801</v>
      </c>
      <c r="E38" s="449">
        <v>1.55</v>
      </c>
      <c r="F38" s="449" t="s">
        <v>1801</v>
      </c>
      <c r="G38" s="450">
        <f t="shared" si="1"/>
        <v>11924167.276326548</v>
      </c>
      <c r="H38" s="450" t="s">
        <v>2207</v>
      </c>
      <c r="I38" s="450">
        <v>17200</v>
      </c>
      <c r="J38" s="448" t="s">
        <v>1801</v>
      </c>
      <c r="K38" s="449">
        <v>1.7E-5</v>
      </c>
      <c r="L38" s="449" t="s">
        <v>414</v>
      </c>
      <c r="M38" s="922">
        <v>6.9499999999999998E-4</v>
      </c>
      <c r="N38" s="450">
        <v>5.6719199999999997E-2</v>
      </c>
      <c r="O38" s="537" t="s">
        <v>2367</v>
      </c>
      <c r="P38" s="450">
        <v>8.7069999999999998E-6</v>
      </c>
      <c r="Q38" s="537" t="s">
        <v>2367</v>
      </c>
      <c r="R38" s="543">
        <v>451.5</v>
      </c>
      <c r="S38" s="540" t="s">
        <v>414</v>
      </c>
      <c r="T38" s="543">
        <v>659.79</v>
      </c>
      <c r="U38" s="540" t="s">
        <v>2180</v>
      </c>
      <c r="V38" s="451">
        <v>10803</v>
      </c>
      <c r="W38" s="540" t="s">
        <v>2180</v>
      </c>
      <c r="X38" s="449">
        <v>32.21</v>
      </c>
      <c r="Y38" s="455" t="s">
        <v>414</v>
      </c>
      <c r="Z38" s="455">
        <v>3.3E-4</v>
      </c>
      <c r="AA38" s="455" t="s">
        <v>280</v>
      </c>
      <c r="AB38" s="455" t="s">
        <v>2203</v>
      </c>
      <c r="AC38" s="455" t="s">
        <v>43</v>
      </c>
      <c r="AD38" s="452" t="s">
        <v>1731</v>
      </c>
      <c r="AE38" s="484" t="s">
        <v>1731</v>
      </c>
      <c r="AF38" s="484" t="s">
        <v>2512</v>
      </c>
      <c r="AG38" s="452"/>
      <c r="AH38" s="550"/>
    </row>
    <row r="39" spans="1:34" s="439" customFormat="1" ht="15">
      <c r="A39" s="453" t="s">
        <v>475</v>
      </c>
      <c r="B39" s="447" t="s">
        <v>476</v>
      </c>
      <c r="C39" s="448">
        <v>114.96</v>
      </c>
      <c r="D39" s="448" t="s">
        <v>1801</v>
      </c>
      <c r="E39" s="449">
        <v>29.4</v>
      </c>
      <c r="F39" s="449" t="s">
        <v>1801</v>
      </c>
      <c r="G39" s="450">
        <f t="shared" si="1"/>
        <v>181812626.41476953</v>
      </c>
      <c r="H39" s="450" t="s">
        <v>2207</v>
      </c>
      <c r="I39" s="450">
        <v>22000</v>
      </c>
      <c r="J39" s="448" t="s">
        <v>1801</v>
      </c>
      <c r="K39" s="449">
        <v>4.3600000000000002E-3</v>
      </c>
      <c r="L39" s="449" t="s">
        <v>414</v>
      </c>
      <c r="M39" s="922">
        <v>0.1782502</v>
      </c>
      <c r="N39" s="450">
        <v>7.6300099999999996E-2</v>
      </c>
      <c r="O39" s="537" t="s">
        <v>2367</v>
      </c>
      <c r="P39" s="450">
        <v>1.04E-5</v>
      </c>
      <c r="Q39" s="537" t="s">
        <v>2367</v>
      </c>
      <c r="R39" s="543">
        <v>379</v>
      </c>
      <c r="S39" s="540" t="s">
        <v>414</v>
      </c>
      <c r="T39" s="543">
        <v>568.5</v>
      </c>
      <c r="U39" s="540" t="s">
        <v>2182</v>
      </c>
      <c r="V39" s="451" t="s">
        <v>2024</v>
      </c>
      <c r="W39" s="540"/>
      <c r="X39" s="449">
        <v>9.6989999999999998</v>
      </c>
      <c r="Y39" s="455" t="s">
        <v>414</v>
      </c>
      <c r="Z39" s="455">
        <v>6.2E-2</v>
      </c>
      <c r="AA39" s="455" t="s">
        <v>280</v>
      </c>
      <c r="AB39" s="455" t="s">
        <v>2203</v>
      </c>
      <c r="AC39" s="455" t="s">
        <v>43</v>
      </c>
      <c r="AD39" s="452" t="s">
        <v>1731</v>
      </c>
      <c r="AE39" s="484" t="s">
        <v>1731</v>
      </c>
      <c r="AF39" s="484" t="s">
        <v>2512</v>
      </c>
      <c r="AG39" s="452"/>
      <c r="AH39" s="550"/>
    </row>
    <row r="40" spans="1:34" s="439" customFormat="1" ht="15">
      <c r="A40" s="453" t="s">
        <v>1808</v>
      </c>
      <c r="B40" s="447" t="s">
        <v>1809</v>
      </c>
      <c r="C40" s="448">
        <v>117.17</v>
      </c>
      <c r="D40" s="448" t="s">
        <v>1801</v>
      </c>
      <c r="E40" s="449">
        <v>1</v>
      </c>
      <c r="F40" s="449" t="s">
        <v>1801</v>
      </c>
      <c r="G40" s="450">
        <f t="shared" si="1"/>
        <v>6302986.6161724832</v>
      </c>
      <c r="H40" s="450" t="s">
        <v>2207</v>
      </c>
      <c r="I40" s="450" t="s">
        <v>2500</v>
      </c>
      <c r="J40" s="448" t="s">
        <v>43</v>
      </c>
      <c r="K40" s="449">
        <v>1.83E-2</v>
      </c>
      <c r="L40" s="449" t="s">
        <v>1801</v>
      </c>
      <c r="M40" s="922">
        <v>0.748</v>
      </c>
      <c r="N40" s="450">
        <v>0.12454469999999999</v>
      </c>
      <c r="O40" s="537" t="s">
        <v>2367</v>
      </c>
      <c r="P40" s="450">
        <v>2.23E-5</v>
      </c>
      <c r="Q40" s="537" t="s">
        <v>2367</v>
      </c>
      <c r="R40" s="543">
        <v>285.64999999999998</v>
      </c>
      <c r="S40" s="540" t="s">
        <v>414</v>
      </c>
      <c r="T40" s="543">
        <v>455</v>
      </c>
      <c r="U40" s="540" t="s">
        <v>2179</v>
      </c>
      <c r="V40" s="451">
        <v>5677.36942</v>
      </c>
      <c r="W40" s="540" t="s">
        <v>2174</v>
      </c>
      <c r="X40" s="449" t="s">
        <v>1750</v>
      </c>
      <c r="Y40" s="455" t="s">
        <v>43</v>
      </c>
      <c r="Z40" s="455" t="s">
        <v>2203</v>
      </c>
      <c r="AA40" s="455" t="s">
        <v>43</v>
      </c>
      <c r="AB40" s="455">
        <v>0.02</v>
      </c>
      <c r="AC40" s="455" t="s">
        <v>281</v>
      </c>
      <c r="AD40" s="452" t="s">
        <v>1731</v>
      </c>
      <c r="AE40" s="484" t="s">
        <v>1731</v>
      </c>
      <c r="AF40" s="484" t="s">
        <v>2512</v>
      </c>
      <c r="AG40" s="452"/>
      <c r="AH40" s="550"/>
    </row>
    <row r="41" spans="1:34" s="439" customFormat="1" ht="15">
      <c r="A41" s="453" t="s">
        <v>481</v>
      </c>
      <c r="B41" s="447" t="s">
        <v>482</v>
      </c>
      <c r="C41" s="448">
        <v>67.805999999999997</v>
      </c>
      <c r="D41" s="448" t="s">
        <v>1801</v>
      </c>
      <c r="E41" s="449">
        <v>36555</v>
      </c>
      <c r="F41" s="449" t="s">
        <v>1801</v>
      </c>
      <c r="G41" s="450">
        <f t="shared" si="1"/>
        <v>133335215927.18509</v>
      </c>
      <c r="H41" s="450" t="s">
        <v>2207</v>
      </c>
      <c r="I41" s="450">
        <v>3320000</v>
      </c>
      <c r="J41" s="448" t="s">
        <v>1801</v>
      </c>
      <c r="K41" s="449" t="s">
        <v>2501</v>
      </c>
      <c r="L41" s="449" t="s">
        <v>43</v>
      </c>
      <c r="M41" s="922" t="s">
        <v>2502</v>
      </c>
      <c r="N41" s="450">
        <v>0.1563359</v>
      </c>
      <c r="O41" s="537" t="s">
        <v>2367</v>
      </c>
      <c r="P41" s="450">
        <v>2.23E-5</v>
      </c>
      <c r="Q41" s="537" t="s">
        <v>2367</v>
      </c>
      <c r="R41" s="543">
        <v>146.04999999999998</v>
      </c>
      <c r="S41" s="540" t="s">
        <v>414</v>
      </c>
      <c r="T41" s="543">
        <v>260.8</v>
      </c>
      <c r="U41" s="540" t="s">
        <v>2179</v>
      </c>
      <c r="V41" s="451">
        <v>4616.89318</v>
      </c>
      <c r="W41" s="540" t="s">
        <v>2174</v>
      </c>
      <c r="X41" s="449" t="s">
        <v>2506</v>
      </c>
      <c r="Y41" s="455" t="s">
        <v>43</v>
      </c>
      <c r="Z41" s="455" t="s">
        <v>2203</v>
      </c>
      <c r="AA41" s="455" t="s">
        <v>43</v>
      </c>
      <c r="AB41" s="455">
        <v>1.2999999999999999E-2</v>
      </c>
      <c r="AC41" s="455" t="s">
        <v>2507</v>
      </c>
      <c r="AD41" s="452" t="s">
        <v>1731</v>
      </c>
      <c r="AE41" s="484" t="s">
        <v>1731</v>
      </c>
      <c r="AF41" s="484" t="s">
        <v>2512</v>
      </c>
      <c r="AG41" s="452"/>
      <c r="AH41" s="550"/>
    </row>
    <row r="42" spans="1:34" s="439" customFormat="1" ht="15">
      <c r="A42" s="453" t="s">
        <v>485</v>
      </c>
      <c r="B42" s="447" t="s">
        <v>486</v>
      </c>
      <c r="C42" s="448">
        <v>143.41</v>
      </c>
      <c r="D42" s="448" t="s">
        <v>1801</v>
      </c>
      <c r="E42" s="449">
        <v>33.1</v>
      </c>
      <c r="F42" s="449" t="s">
        <v>1801</v>
      </c>
      <c r="G42" s="450">
        <f t="shared" si="1"/>
        <v>255350895.12415543</v>
      </c>
      <c r="H42" s="450" t="s">
        <v>2207</v>
      </c>
      <c r="I42" s="450">
        <v>6900</v>
      </c>
      <c r="J42" s="448" t="s">
        <v>1801</v>
      </c>
      <c r="K42" s="449">
        <v>9.0899999999999998E-4</v>
      </c>
      <c r="L42" s="449" t="s">
        <v>1801</v>
      </c>
      <c r="M42" s="922">
        <v>3.71627E-2</v>
      </c>
      <c r="N42" s="450">
        <v>6.5924800000000006E-2</v>
      </c>
      <c r="O42" s="537" t="s">
        <v>2367</v>
      </c>
      <c r="P42" s="450">
        <v>1.08E-5</v>
      </c>
      <c r="Q42" s="537" t="s">
        <v>2367</v>
      </c>
      <c r="R42" s="543">
        <v>380</v>
      </c>
      <c r="S42" s="540" t="s">
        <v>2173</v>
      </c>
      <c r="T42" s="543">
        <v>570</v>
      </c>
      <c r="U42" s="540" t="s">
        <v>2182</v>
      </c>
      <c r="V42" s="451">
        <v>9107.19</v>
      </c>
      <c r="W42" s="540" t="s">
        <v>2027</v>
      </c>
      <c r="X42" s="449">
        <v>39.6</v>
      </c>
      <c r="Y42" s="455" t="s">
        <v>414</v>
      </c>
      <c r="Z42" s="455">
        <v>5.9999999999999995E-4</v>
      </c>
      <c r="AA42" s="455" t="s">
        <v>0</v>
      </c>
      <c r="AB42" s="455" t="s">
        <v>2203</v>
      </c>
      <c r="AC42" s="455" t="s">
        <v>43</v>
      </c>
      <c r="AD42" s="452" t="s">
        <v>1731</v>
      </c>
      <c r="AE42" s="484" t="s">
        <v>1731</v>
      </c>
      <c r="AF42" s="484" t="s">
        <v>2512</v>
      </c>
      <c r="AG42" s="452"/>
      <c r="AH42" s="550"/>
    </row>
    <row r="43" spans="1:34" s="439" customFormat="1" ht="15">
      <c r="A43" s="453" t="s">
        <v>487</v>
      </c>
      <c r="B43" s="447" t="s">
        <v>488</v>
      </c>
      <c r="C43" s="448">
        <v>157.01</v>
      </c>
      <c r="D43" s="448" t="s">
        <v>1801</v>
      </c>
      <c r="E43" s="449">
        <v>4.1820000000000004</v>
      </c>
      <c r="F43" s="449" t="s">
        <v>1801</v>
      </c>
      <c r="G43" s="450">
        <f t="shared" si="1"/>
        <v>35321675.560528465</v>
      </c>
      <c r="H43" s="450" t="s">
        <v>2207</v>
      </c>
      <c r="I43" s="450">
        <v>446</v>
      </c>
      <c r="J43" s="448" t="s">
        <v>1801</v>
      </c>
      <c r="K43" s="449">
        <v>2.47E-3</v>
      </c>
      <c r="L43" s="449" t="s">
        <v>1801</v>
      </c>
      <c r="M43" s="922">
        <v>0.10098119999999999</v>
      </c>
      <c r="N43" s="450">
        <v>5.3713200000000003E-2</v>
      </c>
      <c r="O43" s="537" t="s">
        <v>2367</v>
      </c>
      <c r="P43" s="450">
        <v>9.3003999999999999E-6</v>
      </c>
      <c r="Q43" s="537" t="s">
        <v>2367</v>
      </c>
      <c r="R43" s="543">
        <v>429</v>
      </c>
      <c r="S43" s="540" t="s">
        <v>2173</v>
      </c>
      <c r="T43" s="543">
        <v>670</v>
      </c>
      <c r="U43" s="540" t="s">
        <v>2174</v>
      </c>
      <c r="V43" s="451">
        <v>10628.64</v>
      </c>
      <c r="W43" s="540" t="s">
        <v>2174</v>
      </c>
      <c r="X43" s="449">
        <v>233.9</v>
      </c>
      <c r="Y43" s="455" t="s">
        <v>414</v>
      </c>
      <c r="Z43" s="455" t="s">
        <v>2203</v>
      </c>
      <c r="AA43" s="455" t="s">
        <v>43</v>
      </c>
      <c r="AB43" s="455">
        <v>0.06</v>
      </c>
      <c r="AC43" s="455" t="s">
        <v>280</v>
      </c>
      <c r="AD43" s="452" t="s">
        <v>1731</v>
      </c>
      <c r="AE43" s="484" t="s">
        <v>1731</v>
      </c>
      <c r="AF43" s="484" t="s">
        <v>2512</v>
      </c>
      <c r="AG43" s="452"/>
      <c r="AH43" s="550"/>
    </row>
    <row r="44" spans="1:34" s="439" customFormat="1" ht="15">
      <c r="A44" s="453" t="s">
        <v>1810</v>
      </c>
      <c r="B44" s="447" t="s">
        <v>1811</v>
      </c>
      <c r="C44" s="448">
        <v>129.38</v>
      </c>
      <c r="D44" s="448" t="s">
        <v>1801</v>
      </c>
      <c r="E44" s="449">
        <v>142.5</v>
      </c>
      <c r="F44" s="449" t="s">
        <v>1801</v>
      </c>
      <c r="G44" s="450">
        <f t="shared" si="1"/>
        <v>991772281.27555192</v>
      </c>
      <c r="H44" s="450" t="s">
        <v>2207</v>
      </c>
      <c r="I44" s="450">
        <v>16700</v>
      </c>
      <c r="J44" s="448" t="s">
        <v>1801</v>
      </c>
      <c r="K44" s="449">
        <v>1.4599999999999999E-3</v>
      </c>
      <c r="L44" s="449" t="s">
        <v>414</v>
      </c>
      <c r="M44" s="922">
        <v>5.9689300000000001E-2</v>
      </c>
      <c r="N44" s="450">
        <v>7.8691999999999998E-2</v>
      </c>
      <c r="O44" s="537" t="s">
        <v>2367</v>
      </c>
      <c r="P44" s="450">
        <v>1.22E-5</v>
      </c>
      <c r="Q44" s="537" t="s">
        <v>2367</v>
      </c>
      <c r="R44" s="543">
        <v>341</v>
      </c>
      <c r="S44" s="540" t="s">
        <v>2173</v>
      </c>
      <c r="T44" s="543">
        <v>511.5</v>
      </c>
      <c r="U44" s="540" t="s">
        <v>2182</v>
      </c>
      <c r="V44" s="451">
        <v>7167.65</v>
      </c>
      <c r="W44" s="540" t="s">
        <v>2174</v>
      </c>
      <c r="X44" s="449">
        <v>21.73</v>
      </c>
      <c r="Y44" s="455" t="s">
        <v>414</v>
      </c>
      <c r="Z44" s="455" t="s">
        <v>2203</v>
      </c>
      <c r="AA44" s="455" t="s">
        <v>43</v>
      </c>
      <c r="AB44" s="455">
        <v>0.04</v>
      </c>
      <c r="AC44" s="455" t="s">
        <v>0</v>
      </c>
      <c r="AD44" s="452" t="s">
        <v>1731</v>
      </c>
      <c r="AE44" s="484" t="s">
        <v>1731</v>
      </c>
      <c r="AF44" s="484" t="s">
        <v>2512</v>
      </c>
      <c r="AG44" s="452"/>
      <c r="AH44" s="550"/>
    </row>
    <row r="45" spans="1:34" s="439" customFormat="1" ht="15">
      <c r="A45" s="453" t="s">
        <v>57</v>
      </c>
      <c r="B45" s="447" t="s">
        <v>489</v>
      </c>
      <c r="C45" s="448">
        <v>163.83000000000001</v>
      </c>
      <c r="D45" s="448" t="s">
        <v>1801</v>
      </c>
      <c r="E45" s="449">
        <v>50</v>
      </c>
      <c r="F45" s="449" t="s">
        <v>1801</v>
      </c>
      <c r="G45" s="450">
        <f t="shared" si="1"/>
        <v>440649610.53492278</v>
      </c>
      <c r="H45" s="450" t="s">
        <v>2207</v>
      </c>
      <c r="I45" s="450">
        <v>3032</v>
      </c>
      <c r="J45" s="448" t="s">
        <v>1801</v>
      </c>
      <c r="K45" s="449">
        <v>2.1199999999999999E-3</v>
      </c>
      <c r="L45" s="449" t="s">
        <v>1801</v>
      </c>
      <c r="M45" s="922">
        <v>8.6672100000000002E-2</v>
      </c>
      <c r="N45" s="450">
        <v>5.6262899999999998E-2</v>
      </c>
      <c r="O45" s="537" t="s">
        <v>2367</v>
      </c>
      <c r="P45" s="450">
        <v>1.0699999999999999E-5</v>
      </c>
      <c r="Q45" s="537" t="s">
        <v>2367</v>
      </c>
      <c r="R45" s="543">
        <v>363</v>
      </c>
      <c r="S45" s="540" t="s">
        <v>414</v>
      </c>
      <c r="T45" s="543">
        <v>585.85</v>
      </c>
      <c r="U45" s="540" t="s">
        <v>2180</v>
      </c>
      <c r="V45" s="451">
        <v>7800</v>
      </c>
      <c r="W45" s="540" t="s">
        <v>2180</v>
      </c>
      <c r="X45" s="449">
        <v>31.82</v>
      </c>
      <c r="Y45" s="455" t="s">
        <v>414</v>
      </c>
      <c r="Z45" s="455">
        <v>3.6999999999999998E-5</v>
      </c>
      <c r="AA45" s="455" t="s">
        <v>2507</v>
      </c>
      <c r="AB45" s="455" t="s">
        <v>2203</v>
      </c>
      <c r="AC45" s="455" t="s">
        <v>43</v>
      </c>
      <c r="AD45" s="452" t="s">
        <v>1731</v>
      </c>
      <c r="AE45" s="484" t="s">
        <v>1731</v>
      </c>
      <c r="AF45" s="484" t="s">
        <v>2512</v>
      </c>
      <c r="AG45" s="452"/>
      <c r="AH45" s="550"/>
    </row>
    <row r="46" spans="1:34" s="439" customFormat="1" ht="15">
      <c r="A46" s="453" t="s">
        <v>56</v>
      </c>
      <c r="B46" s="447" t="s">
        <v>490</v>
      </c>
      <c r="C46" s="448">
        <v>252.73</v>
      </c>
      <c r="D46" s="448" t="s">
        <v>1801</v>
      </c>
      <c r="E46" s="449">
        <v>5.4</v>
      </c>
      <c r="F46" s="449" t="s">
        <v>414</v>
      </c>
      <c r="G46" s="450">
        <f t="shared" si="1"/>
        <v>73414274.648190379</v>
      </c>
      <c r="H46" s="450" t="s">
        <v>2207</v>
      </c>
      <c r="I46" s="450">
        <v>3100</v>
      </c>
      <c r="J46" s="448" t="s">
        <v>1801</v>
      </c>
      <c r="K46" s="449">
        <v>5.3499999999999999E-4</v>
      </c>
      <c r="L46" s="449" t="s">
        <v>1801</v>
      </c>
      <c r="M46" s="922">
        <v>2.18724E-2</v>
      </c>
      <c r="N46" s="450">
        <v>3.5732399999999997E-2</v>
      </c>
      <c r="O46" s="537" t="s">
        <v>2367</v>
      </c>
      <c r="P46" s="450">
        <v>1.04E-5</v>
      </c>
      <c r="Q46" s="537" t="s">
        <v>2367</v>
      </c>
      <c r="R46" s="543">
        <v>422.25</v>
      </c>
      <c r="S46" s="540" t="s">
        <v>414</v>
      </c>
      <c r="T46" s="543">
        <v>633.375</v>
      </c>
      <c r="U46" s="540" t="s">
        <v>2182</v>
      </c>
      <c r="V46" s="451">
        <v>9472.6323599999996</v>
      </c>
      <c r="W46" s="540" t="s">
        <v>2174</v>
      </c>
      <c r="X46" s="449">
        <v>31.82</v>
      </c>
      <c r="Y46" s="455" t="s">
        <v>414</v>
      </c>
      <c r="Z46" s="455">
        <v>1.1000000000000001E-6</v>
      </c>
      <c r="AA46" s="455" t="s">
        <v>280</v>
      </c>
      <c r="AB46" s="455" t="s">
        <v>2203</v>
      </c>
      <c r="AC46" s="455" t="s">
        <v>43</v>
      </c>
      <c r="AD46" s="452" t="s">
        <v>1731</v>
      </c>
      <c r="AE46" s="484" t="s">
        <v>1731</v>
      </c>
      <c r="AF46" s="484" t="s">
        <v>2512</v>
      </c>
      <c r="AG46" s="452"/>
      <c r="AH46" s="550"/>
    </row>
    <row r="47" spans="1:34" s="439" customFormat="1" ht="15">
      <c r="A47" s="453" t="s">
        <v>491</v>
      </c>
      <c r="B47" s="447" t="s">
        <v>492</v>
      </c>
      <c r="C47" s="448">
        <v>94.938999999999993</v>
      </c>
      <c r="D47" s="448" t="s">
        <v>1801</v>
      </c>
      <c r="E47" s="449">
        <v>1616</v>
      </c>
      <c r="F47" s="449" t="s">
        <v>1801</v>
      </c>
      <c r="G47" s="450">
        <f t="shared" si="1"/>
        <v>8253078280.328784</v>
      </c>
      <c r="H47" s="450" t="s">
        <v>2207</v>
      </c>
      <c r="I47" s="450">
        <v>15200</v>
      </c>
      <c r="J47" s="448" t="s">
        <v>1801</v>
      </c>
      <c r="K47" s="449">
        <v>7.3400000000000002E-3</v>
      </c>
      <c r="L47" s="449" t="s">
        <v>1801</v>
      </c>
      <c r="M47" s="922">
        <v>0.30008180000000001</v>
      </c>
      <c r="N47" s="450">
        <v>0.10049760000000001</v>
      </c>
      <c r="O47" s="537" t="s">
        <v>2367</v>
      </c>
      <c r="P47" s="450">
        <v>1.3499999999999999E-5</v>
      </c>
      <c r="Q47" s="537" t="s">
        <v>2367</v>
      </c>
      <c r="R47" s="543">
        <v>276.5</v>
      </c>
      <c r="S47" s="540" t="s">
        <v>414</v>
      </c>
      <c r="T47" s="543">
        <v>467</v>
      </c>
      <c r="U47" s="540" t="s">
        <v>2180</v>
      </c>
      <c r="V47" s="451">
        <v>5714</v>
      </c>
      <c r="W47" s="540" t="s">
        <v>2180</v>
      </c>
      <c r="X47" s="449">
        <v>13.22</v>
      </c>
      <c r="Y47" s="455" t="s">
        <v>414</v>
      </c>
      <c r="Z47" s="455" t="s">
        <v>2203</v>
      </c>
      <c r="AA47" s="455" t="s">
        <v>43</v>
      </c>
      <c r="AB47" s="455">
        <v>5.0000000000000001E-3</v>
      </c>
      <c r="AC47" s="455" t="s">
        <v>280</v>
      </c>
      <c r="AD47" s="452" t="s">
        <v>1731</v>
      </c>
      <c r="AE47" s="484" t="s">
        <v>1731</v>
      </c>
      <c r="AF47" s="484" t="s">
        <v>2512</v>
      </c>
      <c r="AG47" s="452" t="s">
        <v>86</v>
      </c>
      <c r="AH47" s="550"/>
    </row>
    <row r="48" spans="1:34" s="439" customFormat="1" ht="15">
      <c r="A48" s="453" t="s">
        <v>493</v>
      </c>
      <c r="B48" s="453" t="s">
        <v>494</v>
      </c>
      <c r="C48" s="448">
        <v>366</v>
      </c>
      <c r="D48" s="448" t="s">
        <v>1801</v>
      </c>
      <c r="E48" s="449">
        <v>1.2750000000000001E-4</v>
      </c>
      <c r="F48" s="449" t="s">
        <v>1801</v>
      </c>
      <c r="G48" s="450">
        <f t="shared" si="1"/>
        <v>2510.2745621207555</v>
      </c>
      <c r="H48" s="450" t="s">
        <v>2207</v>
      </c>
      <c r="I48" s="450">
        <v>0.3</v>
      </c>
      <c r="J48" s="448" t="s">
        <v>1801</v>
      </c>
      <c r="K48" s="449">
        <v>2.05E-4</v>
      </c>
      <c r="L48" s="449" t="s">
        <v>414</v>
      </c>
      <c r="M48" s="922">
        <v>8.3809999999999996E-3</v>
      </c>
      <c r="N48" s="450">
        <v>2.3467600000000002E-2</v>
      </c>
      <c r="O48" s="537" t="s">
        <v>2367</v>
      </c>
      <c r="P48" s="450">
        <v>6.0542999999999998E-6</v>
      </c>
      <c r="Q48" s="537" t="s">
        <v>2367</v>
      </c>
      <c r="R48" s="543">
        <v>414.15</v>
      </c>
      <c r="S48" s="540" t="s">
        <v>414</v>
      </c>
      <c r="T48" s="543">
        <v>621.22499999999991</v>
      </c>
      <c r="U48" s="540" t="s">
        <v>2182</v>
      </c>
      <c r="V48" s="451" t="s">
        <v>2024</v>
      </c>
      <c r="W48" s="540"/>
      <c r="X48" s="449">
        <v>2019</v>
      </c>
      <c r="Y48" s="455" t="s">
        <v>414</v>
      </c>
      <c r="Z48" s="455" t="s">
        <v>2203</v>
      </c>
      <c r="AA48" s="455" t="s">
        <v>43</v>
      </c>
      <c r="AB48" s="455" t="s">
        <v>2203</v>
      </c>
      <c r="AC48" s="455" t="s">
        <v>43</v>
      </c>
      <c r="AD48" s="452" t="s">
        <v>1731</v>
      </c>
      <c r="AE48" s="484" t="s">
        <v>1731</v>
      </c>
      <c r="AF48" s="484" t="s">
        <v>2512</v>
      </c>
      <c r="AG48" s="452" t="s">
        <v>75</v>
      </c>
      <c r="AH48" s="550" t="s">
        <v>2025</v>
      </c>
    </row>
    <row r="49" spans="1:34" s="439" customFormat="1" ht="15">
      <c r="A49" s="453" t="s">
        <v>497</v>
      </c>
      <c r="B49" s="453" t="s">
        <v>498</v>
      </c>
      <c r="C49" s="448">
        <v>403.12</v>
      </c>
      <c r="D49" s="448" t="s">
        <v>1801</v>
      </c>
      <c r="E49" s="449">
        <v>4.7999999999999998E-6</v>
      </c>
      <c r="F49" s="449" t="s">
        <v>1801</v>
      </c>
      <c r="G49" s="450">
        <f t="shared" si="1"/>
        <v>104.08916813702284</v>
      </c>
      <c r="H49" s="450" t="s">
        <v>2207</v>
      </c>
      <c r="I49" s="450">
        <v>0.08</v>
      </c>
      <c r="J49" s="448" t="s">
        <v>1801</v>
      </c>
      <c r="K49" s="449">
        <v>3.1900000000000003E-5</v>
      </c>
      <c r="L49" s="449" t="s">
        <v>414</v>
      </c>
      <c r="M49" s="922">
        <v>1.3041999999999999E-3</v>
      </c>
      <c r="N49" s="450">
        <v>2.12801E-2</v>
      </c>
      <c r="O49" s="537" t="s">
        <v>2367</v>
      </c>
      <c r="P49" s="450">
        <v>5.3767999999999999E-6</v>
      </c>
      <c r="Q49" s="537" t="s">
        <v>2367</v>
      </c>
      <c r="R49" s="543">
        <v>689.69</v>
      </c>
      <c r="S49" s="540" t="s">
        <v>414</v>
      </c>
      <c r="T49" s="543">
        <v>1034.5350000000001</v>
      </c>
      <c r="U49" s="540" t="s">
        <v>2182</v>
      </c>
      <c r="V49" s="451" t="s">
        <v>2024</v>
      </c>
      <c r="W49" s="540"/>
      <c r="X49" s="449">
        <v>4252</v>
      </c>
      <c r="Y49" s="455" t="s">
        <v>414</v>
      </c>
      <c r="Z49" s="455" t="s">
        <v>2203</v>
      </c>
      <c r="AA49" s="455" t="s">
        <v>43</v>
      </c>
      <c r="AB49" s="455" t="s">
        <v>2203</v>
      </c>
      <c r="AC49" s="455" t="s">
        <v>43</v>
      </c>
      <c r="AD49" s="452" t="s">
        <v>1731</v>
      </c>
      <c r="AE49" s="484" t="s">
        <v>1731</v>
      </c>
      <c r="AF49" s="484" t="s">
        <v>2512</v>
      </c>
      <c r="AG49" s="452" t="s">
        <v>2026</v>
      </c>
      <c r="AH49" s="550"/>
    </row>
    <row r="50" spans="1:34" s="439" customFormat="1" ht="15">
      <c r="A50" s="453" t="s">
        <v>164</v>
      </c>
      <c r="B50" s="447" t="s">
        <v>499</v>
      </c>
      <c r="C50" s="448">
        <v>54.091999999999999</v>
      </c>
      <c r="D50" s="448" t="s">
        <v>1801</v>
      </c>
      <c r="E50" s="449">
        <v>2107</v>
      </c>
      <c r="F50" s="449" t="s">
        <v>1801</v>
      </c>
      <c r="G50" s="450">
        <f t="shared" si="1"/>
        <v>6130946550.7595634</v>
      </c>
      <c r="H50" s="450" t="s">
        <v>2207</v>
      </c>
      <c r="I50" s="450">
        <v>735</v>
      </c>
      <c r="J50" s="448" t="s">
        <v>1801</v>
      </c>
      <c r="K50" s="449">
        <v>7.3599999999999999E-2</v>
      </c>
      <c r="L50" s="449" t="s">
        <v>414</v>
      </c>
      <c r="M50" s="922">
        <v>3.0089942999999999</v>
      </c>
      <c r="N50" s="450">
        <v>0.1003488</v>
      </c>
      <c r="O50" s="537" t="s">
        <v>2367</v>
      </c>
      <c r="P50" s="450">
        <v>1.03E-5</v>
      </c>
      <c r="Q50" s="537" t="s">
        <v>2367</v>
      </c>
      <c r="R50" s="543">
        <v>268.60000000000002</v>
      </c>
      <c r="S50" s="540" t="s">
        <v>414</v>
      </c>
      <c r="T50" s="543">
        <v>425</v>
      </c>
      <c r="U50" s="540" t="s">
        <v>2181</v>
      </c>
      <c r="V50" s="451">
        <v>5370.33</v>
      </c>
      <c r="W50" s="540" t="s">
        <v>2181</v>
      </c>
      <c r="X50" s="449">
        <v>39.6</v>
      </c>
      <c r="Y50" s="455" t="s">
        <v>414</v>
      </c>
      <c r="Z50" s="455">
        <v>3.0000000000000001E-5</v>
      </c>
      <c r="AA50" s="455" t="s">
        <v>280</v>
      </c>
      <c r="AB50" s="455">
        <v>2E-3</v>
      </c>
      <c r="AC50" s="455" t="s">
        <v>280</v>
      </c>
      <c r="AD50" s="452" t="s">
        <v>1731</v>
      </c>
      <c r="AE50" s="484" t="s">
        <v>1731</v>
      </c>
      <c r="AF50" s="484" t="s">
        <v>2512</v>
      </c>
      <c r="AG50" s="452"/>
      <c r="AH50" s="550"/>
    </row>
    <row r="51" spans="1:34" s="439" customFormat="1" ht="15">
      <c r="A51" s="453" t="s">
        <v>500</v>
      </c>
      <c r="B51" s="453" t="s">
        <v>501</v>
      </c>
      <c r="C51" s="448">
        <v>74.123999999999995</v>
      </c>
      <c r="D51" s="448" t="s">
        <v>1801</v>
      </c>
      <c r="E51" s="449">
        <v>6.7</v>
      </c>
      <c r="F51" s="449" t="s">
        <v>1801</v>
      </c>
      <c r="G51" s="450">
        <f t="shared" si="1"/>
        <v>26715518.354348667</v>
      </c>
      <c r="H51" s="450" t="s">
        <v>2207</v>
      </c>
      <c r="I51" s="450">
        <v>63200</v>
      </c>
      <c r="J51" s="448" t="s">
        <v>1801</v>
      </c>
      <c r="K51" s="449">
        <v>8.8100000000000004E-6</v>
      </c>
      <c r="L51" s="449" t="s">
        <v>1801</v>
      </c>
      <c r="M51" s="922">
        <v>3.6019999999999997E-4</v>
      </c>
      <c r="N51" s="450">
        <v>9.0038699999999999E-2</v>
      </c>
      <c r="O51" s="537" t="s">
        <v>2367</v>
      </c>
      <c r="P51" s="450">
        <v>1.01E-5</v>
      </c>
      <c r="Q51" s="537" t="s">
        <v>2367</v>
      </c>
      <c r="R51" s="543">
        <v>390.84999999999997</v>
      </c>
      <c r="S51" s="540" t="s">
        <v>414</v>
      </c>
      <c r="T51" s="543">
        <v>586.27499999999998</v>
      </c>
      <c r="U51" s="540" t="s">
        <v>2182</v>
      </c>
      <c r="V51" s="451">
        <v>134572.18</v>
      </c>
      <c r="W51" s="540" t="s">
        <v>2187</v>
      </c>
      <c r="X51" s="449">
        <v>3.4710000000000001</v>
      </c>
      <c r="Y51" s="455" t="s">
        <v>414</v>
      </c>
      <c r="Z51" s="455" t="s">
        <v>2203</v>
      </c>
      <c r="AA51" s="455" t="s">
        <v>43</v>
      </c>
      <c r="AB51" s="455" t="s">
        <v>2203</v>
      </c>
      <c r="AC51" s="455" t="s">
        <v>43</v>
      </c>
      <c r="AD51" s="452" t="s">
        <v>1731</v>
      </c>
      <c r="AE51" s="484" t="s">
        <v>1731</v>
      </c>
      <c r="AF51" s="484" t="s">
        <v>2512</v>
      </c>
      <c r="AG51" s="452"/>
      <c r="AH51" s="550"/>
    </row>
    <row r="52" spans="1:34" s="439" customFormat="1" ht="15">
      <c r="A52" s="453" t="s">
        <v>503</v>
      </c>
      <c r="B52" s="447" t="s">
        <v>504</v>
      </c>
      <c r="C52" s="448">
        <v>74.123999999999995</v>
      </c>
      <c r="D52" s="448" t="s">
        <v>1801</v>
      </c>
      <c r="E52" s="449">
        <v>18.329999999999998</v>
      </c>
      <c r="F52" s="449" t="s">
        <v>1801</v>
      </c>
      <c r="G52" s="450">
        <f t="shared" si="1"/>
        <v>73088873.34853895</v>
      </c>
      <c r="H52" s="450" t="s">
        <v>2207</v>
      </c>
      <c r="I52" s="450">
        <v>181000</v>
      </c>
      <c r="J52" s="448" t="s">
        <v>1801</v>
      </c>
      <c r="K52" s="449">
        <v>9.0599999999999997E-6</v>
      </c>
      <c r="L52" s="449" t="s">
        <v>1801</v>
      </c>
      <c r="M52" s="922">
        <v>3.704E-4</v>
      </c>
      <c r="N52" s="450">
        <v>8.9884800000000001E-2</v>
      </c>
      <c r="O52" s="537" t="s">
        <v>2367</v>
      </c>
      <c r="P52" s="450">
        <v>1.01E-5</v>
      </c>
      <c r="Q52" s="537" t="s">
        <v>2367</v>
      </c>
      <c r="R52" s="543">
        <v>372.65</v>
      </c>
      <c r="S52" s="540" t="s">
        <v>414</v>
      </c>
      <c r="T52" s="543">
        <v>536.20000000000005</v>
      </c>
      <c r="U52" s="540" t="s">
        <v>2179</v>
      </c>
      <c r="V52" s="451">
        <v>11875.423119999999</v>
      </c>
      <c r="W52" s="540" t="s">
        <v>2174</v>
      </c>
      <c r="X52" s="449">
        <v>2.919</v>
      </c>
      <c r="Y52" s="455" t="s">
        <v>414</v>
      </c>
      <c r="Z52" s="455" t="s">
        <v>2203</v>
      </c>
      <c r="AA52" s="455" t="s">
        <v>43</v>
      </c>
      <c r="AB52" s="455">
        <v>30</v>
      </c>
      <c r="AC52" s="455" t="s">
        <v>281</v>
      </c>
      <c r="AD52" s="452" t="s">
        <v>1731</v>
      </c>
      <c r="AE52" s="484" t="s">
        <v>1731</v>
      </c>
      <c r="AF52" s="484" t="s">
        <v>2512</v>
      </c>
      <c r="AG52" s="452"/>
      <c r="AH52" s="550"/>
    </row>
    <row r="53" spans="1:34" s="439" customFormat="1" ht="15">
      <c r="A53" s="453" t="s">
        <v>505</v>
      </c>
      <c r="B53" s="453" t="s">
        <v>506</v>
      </c>
      <c r="C53" s="448">
        <v>217.38</v>
      </c>
      <c r="D53" s="448" t="s">
        <v>1801</v>
      </c>
      <c r="E53" s="449">
        <v>1.2999999999999999E-2</v>
      </c>
      <c r="F53" s="449" t="s">
        <v>1801</v>
      </c>
      <c r="G53" s="450">
        <f t="shared" si="1"/>
        <v>152017.25696088135</v>
      </c>
      <c r="H53" s="450" t="s">
        <v>2207</v>
      </c>
      <c r="I53" s="450">
        <v>45</v>
      </c>
      <c r="J53" s="448" t="s">
        <v>1801</v>
      </c>
      <c r="K53" s="449">
        <v>8.4499999999999994E-5</v>
      </c>
      <c r="L53" s="449" t="s">
        <v>414</v>
      </c>
      <c r="M53" s="922">
        <v>3.4545999999999999E-3</v>
      </c>
      <c r="N53" s="450">
        <v>2.3230600000000001E-2</v>
      </c>
      <c r="O53" s="537" t="s">
        <v>2367</v>
      </c>
      <c r="P53" s="450">
        <v>5.7926000000000002E-6</v>
      </c>
      <c r="Q53" s="537" t="s">
        <v>2367</v>
      </c>
      <c r="R53" s="543">
        <v>411.15</v>
      </c>
      <c r="S53" s="540" t="s">
        <v>414</v>
      </c>
      <c r="T53" s="543">
        <v>616.72499999999991</v>
      </c>
      <c r="U53" s="540" t="s">
        <v>2182</v>
      </c>
      <c r="V53" s="451" t="s">
        <v>2024</v>
      </c>
      <c r="W53" s="540"/>
      <c r="X53" s="449">
        <v>385.7</v>
      </c>
      <c r="Y53" s="455" t="s">
        <v>414</v>
      </c>
      <c r="Z53" s="455" t="s">
        <v>2203</v>
      </c>
      <c r="AA53" s="455" t="s">
        <v>43</v>
      </c>
      <c r="AB53" s="455" t="s">
        <v>2203</v>
      </c>
      <c r="AC53" s="455" t="s">
        <v>43</v>
      </c>
      <c r="AD53" s="452" t="s">
        <v>1731</v>
      </c>
      <c r="AE53" s="484" t="s">
        <v>1731</v>
      </c>
      <c r="AF53" s="484" t="s">
        <v>2512</v>
      </c>
      <c r="AG53" s="452"/>
      <c r="AH53" s="550"/>
    </row>
    <row r="54" spans="1:34" s="439" customFormat="1" ht="15">
      <c r="A54" s="453" t="s">
        <v>172</v>
      </c>
      <c r="B54" s="447" t="s">
        <v>1635</v>
      </c>
      <c r="C54" s="448">
        <v>134.22</v>
      </c>
      <c r="D54" s="448" t="s">
        <v>1801</v>
      </c>
      <c r="E54" s="449">
        <v>1.0641</v>
      </c>
      <c r="F54" s="449" t="s">
        <v>1801</v>
      </c>
      <c r="G54" s="450">
        <f t="shared" si="1"/>
        <v>7682978.7623187164</v>
      </c>
      <c r="H54" s="450" t="s">
        <v>2207</v>
      </c>
      <c r="I54" s="450">
        <v>11.8</v>
      </c>
      <c r="J54" s="448" t="s">
        <v>1801</v>
      </c>
      <c r="K54" s="449">
        <v>1.5900000000000001E-2</v>
      </c>
      <c r="L54" s="449" t="s">
        <v>414</v>
      </c>
      <c r="M54" s="922">
        <v>0.65004090000000003</v>
      </c>
      <c r="N54" s="450">
        <v>5.2773199999999999E-2</v>
      </c>
      <c r="O54" s="537" t="s">
        <v>2367</v>
      </c>
      <c r="P54" s="450">
        <v>7.3335000000000002E-6</v>
      </c>
      <c r="Q54" s="537" t="s">
        <v>2367</v>
      </c>
      <c r="R54" s="543">
        <v>456.3</v>
      </c>
      <c r="S54" s="540" t="s">
        <v>2173</v>
      </c>
      <c r="T54" s="543">
        <v>720</v>
      </c>
      <c r="U54" s="540" t="s">
        <v>2179</v>
      </c>
      <c r="V54" s="451">
        <v>12267.12</v>
      </c>
      <c r="W54" s="540" t="s">
        <v>2174</v>
      </c>
      <c r="X54" s="449">
        <v>1482</v>
      </c>
      <c r="Y54" s="455" t="s">
        <v>414</v>
      </c>
      <c r="Z54" s="455" t="s">
        <v>2203</v>
      </c>
      <c r="AA54" s="455" t="s">
        <v>43</v>
      </c>
      <c r="AB54" s="455" t="s">
        <v>2203</v>
      </c>
      <c r="AC54" s="455" t="s">
        <v>43</v>
      </c>
      <c r="AD54" s="452" t="s">
        <v>1731</v>
      </c>
      <c r="AE54" s="484" t="s">
        <v>1731</v>
      </c>
      <c r="AF54" s="484" t="s">
        <v>2512</v>
      </c>
      <c r="AG54" s="452" t="s">
        <v>2028</v>
      </c>
      <c r="AH54" s="550"/>
    </row>
    <row r="55" spans="1:34" s="439" customFormat="1" ht="15">
      <c r="A55" s="453" t="s">
        <v>176</v>
      </c>
      <c r="B55" s="447" t="s">
        <v>1636</v>
      </c>
      <c r="C55" s="448">
        <v>134.22</v>
      </c>
      <c r="D55" s="448" t="s">
        <v>1801</v>
      </c>
      <c r="E55" s="449">
        <v>1.752</v>
      </c>
      <c r="F55" s="449" t="s">
        <v>1801</v>
      </c>
      <c r="G55" s="450">
        <f t="shared" si="1"/>
        <v>12649731.032405216</v>
      </c>
      <c r="H55" s="450" t="s">
        <v>2207</v>
      </c>
      <c r="I55" s="450">
        <v>17.600000000000001</v>
      </c>
      <c r="J55" s="448" t="s">
        <v>1801</v>
      </c>
      <c r="K55" s="449">
        <v>1.7600000000000001E-2</v>
      </c>
      <c r="L55" s="449" t="s">
        <v>414</v>
      </c>
      <c r="M55" s="922">
        <v>0.71954209999999996</v>
      </c>
      <c r="N55" s="450">
        <v>5.2792800000000001E-2</v>
      </c>
      <c r="O55" s="537" t="s">
        <v>2367</v>
      </c>
      <c r="P55" s="450">
        <v>7.3370999999999996E-6</v>
      </c>
      <c r="Q55" s="537" t="s">
        <v>2367</v>
      </c>
      <c r="R55" s="543">
        <v>451.5</v>
      </c>
      <c r="S55" s="540" t="s">
        <v>414</v>
      </c>
      <c r="T55" s="543">
        <v>677.25</v>
      </c>
      <c r="U55" s="540" t="s">
        <v>2182</v>
      </c>
      <c r="V55" s="451">
        <v>11467.5</v>
      </c>
      <c r="W55" s="540" t="s">
        <v>2174</v>
      </c>
      <c r="X55" s="449">
        <v>1331</v>
      </c>
      <c r="Y55" s="455" t="s">
        <v>414</v>
      </c>
      <c r="Z55" s="455" t="s">
        <v>2203</v>
      </c>
      <c r="AA55" s="455" t="s">
        <v>43</v>
      </c>
      <c r="AB55" s="455" t="s">
        <v>2203</v>
      </c>
      <c r="AC55" s="455" t="s">
        <v>43</v>
      </c>
      <c r="AD55" s="452" t="s">
        <v>1731</v>
      </c>
      <c r="AE55" s="484" t="s">
        <v>1731</v>
      </c>
      <c r="AF55" s="484" t="s">
        <v>2512</v>
      </c>
      <c r="AG55" s="452"/>
      <c r="AH55" s="550"/>
    </row>
    <row r="56" spans="1:34" s="439" customFormat="1" ht="15">
      <c r="A56" s="453" t="s">
        <v>177</v>
      </c>
      <c r="B56" s="447" t="s">
        <v>1637</v>
      </c>
      <c r="C56" s="448">
        <v>134.22</v>
      </c>
      <c r="D56" s="448" t="s">
        <v>1801</v>
      </c>
      <c r="E56" s="449">
        <v>2.2044000000000001</v>
      </c>
      <c r="F56" s="449" t="s">
        <v>1801</v>
      </c>
      <c r="G56" s="450">
        <f t="shared" si="1"/>
        <v>15916134.182553688</v>
      </c>
      <c r="H56" s="450" t="s">
        <v>2207</v>
      </c>
      <c r="I56" s="450">
        <v>29.5</v>
      </c>
      <c r="J56" s="448" t="s">
        <v>1801</v>
      </c>
      <c r="K56" s="449">
        <v>1.32E-2</v>
      </c>
      <c r="L56" s="449" t="s">
        <v>414</v>
      </c>
      <c r="M56" s="922">
        <v>0.53965660000000004</v>
      </c>
      <c r="N56" s="450">
        <v>5.29525E-2</v>
      </c>
      <c r="O56" s="537" t="s">
        <v>2367</v>
      </c>
      <c r="P56" s="450">
        <v>7.3661999999999999E-6</v>
      </c>
      <c r="Q56" s="537" t="s">
        <v>2367</v>
      </c>
      <c r="R56" s="543">
        <v>443.15</v>
      </c>
      <c r="S56" s="540" t="s">
        <v>414</v>
      </c>
      <c r="T56" s="543">
        <v>664.72499999999991</v>
      </c>
      <c r="U56" s="540" t="s">
        <v>2182</v>
      </c>
      <c r="V56" s="451">
        <v>11405.35</v>
      </c>
      <c r="W56" s="540" t="s">
        <v>2188</v>
      </c>
      <c r="X56" s="449">
        <v>1001</v>
      </c>
      <c r="Y56" s="455" t="s">
        <v>414</v>
      </c>
      <c r="Z56" s="455" t="s">
        <v>2203</v>
      </c>
      <c r="AA56" s="455" t="s">
        <v>43</v>
      </c>
      <c r="AB56" s="455" t="s">
        <v>2203</v>
      </c>
      <c r="AC56" s="455" t="s">
        <v>43</v>
      </c>
      <c r="AD56" s="452" t="s">
        <v>1731</v>
      </c>
      <c r="AE56" s="484" t="s">
        <v>1731</v>
      </c>
      <c r="AF56" s="484" t="s">
        <v>2512</v>
      </c>
      <c r="AG56" s="452"/>
      <c r="AH56" s="550"/>
    </row>
    <row r="57" spans="1:34" s="439" customFormat="1" ht="15">
      <c r="A57" s="453" t="s">
        <v>2485</v>
      </c>
      <c r="B57" s="453" t="s">
        <v>2492</v>
      </c>
      <c r="C57" s="448">
        <v>175</v>
      </c>
      <c r="D57" s="448" t="s">
        <v>1801</v>
      </c>
      <c r="E57" s="449">
        <v>2.84</v>
      </c>
      <c r="F57" s="449" t="s">
        <v>1801</v>
      </c>
      <c r="G57" s="450">
        <f t="shared" si="1"/>
        <v>26735378.921547528</v>
      </c>
      <c r="H57" s="450" t="s">
        <v>2207</v>
      </c>
      <c r="I57" s="450">
        <v>378</v>
      </c>
      <c r="J57" s="448" t="s">
        <v>1801</v>
      </c>
      <c r="K57" s="449">
        <v>2.5000000000000001E-3</v>
      </c>
      <c r="L57" s="449" t="s">
        <v>1801</v>
      </c>
      <c r="M57" s="922">
        <v>0.1022077</v>
      </c>
      <c r="N57" s="450">
        <v>4.6200699999999997E-2</v>
      </c>
      <c r="O57" s="537" t="s">
        <v>2367</v>
      </c>
      <c r="P57" s="450">
        <v>9.4397000000000004E-6</v>
      </c>
      <c r="Q57" s="537" t="s">
        <v>2367</v>
      </c>
      <c r="R57" s="543"/>
      <c r="S57" s="540"/>
      <c r="T57" s="543" t="s">
        <v>2035</v>
      </c>
      <c r="U57" s="540"/>
      <c r="V57" s="451" t="s">
        <v>2024</v>
      </c>
      <c r="W57" s="540"/>
      <c r="X57" s="449">
        <v>375.3</v>
      </c>
      <c r="Y57" s="455" t="s">
        <v>414</v>
      </c>
      <c r="Z57" s="455" t="s">
        <v>2203</v>
      </c>
      <c r="AA57" s="455" t="s">
        <v>43</v>
      </c>
      <c r="AB57" s="455" t="s">
        <v>2203</v>
      </c>
      <c r="AC57" s="455" t="s">
        <v>43</v>
      </c>
      <c r="AD57" s="452" t="s">
        <v>1731</v>
      </c>
      <c r="AE57" s="452" t="s">
        <v>1731</v>
      </c>
      <c r="AF57" s="484"/>
      <c r="AG57" s="452"/>
      <c r="AH57" s="550"/>
    </row>
    <row r="58" spans="1:34" s="439" customFormat="1" ht="15">
      <c r="A58" s="453" t="s">
        <v>2486</v>
      </c>
      <c r="B58" s="453" t="s">
        <v>2493</v>
      </c>
      <c r="C58" s="448">
        <v>175</v>
      </c>
      <c r="D58" s="448" t="s">
        <v>1801</v>
      </c>
      <c r="E58" s="449">
        <v>2.84</v>
      </c>
      <c r="F58" s="449" t="s">
        <v>1801</v>
      </c>
      <c r="G58" s="450">
        <f t="shared" si="1"/>
        <v>26735378.921547528</v>
      </c>
      <c r="H58" s="450" t="s">
        <v>2207</v>
      </c>
      <c r="I58" s="450">
        <v>136.4</v>
      </c>
      <c r="J58" s="448" t="s">
        <v>1801</v>
      </c>
      <c r="K58" s="449">
        <v>2.5000000000000001E-3</v>
      </c>
      <c r="L58" s="449" t="s">
        <v>1801</v>
      </c>
      <c r="M58" s="922">
        <v>0.1022077</v>
      </c>
      <c r="N58" s="450">
        <v>4.4806899999999997E-2</v>
      </c>
      <c r="O58" s="537" t="s">
        <v>2367</v>
      </c>
      <c r="P58" s="450">
        <v>9.0527000000000006E-6</v>
      </c>
      <c r="Q58" s="537" t="s">
        <v>2367</v>
      </c>
      <c r="R58" s="543"/>
      <c r="S58" s="540"/>
      <c r="T58" s="543" t="s">
        <v>2035</v>
      </c>
      <c r="U58" s="540"/>
      <c r="V58" s="451" t="s">
        <v>2024</v>
      </c>
      <c r="W58" s="540"/>
      <c r="X58" s="449">
        <v>375.3</v>
      </c>
      <c r="Y58" s="455" t="s">
        <v>414</v>
      </c>
      <c r="Z58" s="455" t="s">
        <v>2203</v>
      </c>
      <c r="AA58" s="455" t="s">
        <v>43</v>
      </c>
      <c r="AB58" s="455" t="s">
        <v>2203</v>
      </c>
      <c r="AC58" s="455" t="s">
        <v>43</v>
      </c>
      <c r="AD58" s="452" t="s">
        <v>1731</v>
      </c>
      <c r="AE58" s="452" t="s">
        <v>1731</v>
      </c>
      <c r="AF58" s="484"/>
      <c r="AG58" s="452"/>
      <c r="AH58" s="550"/>
    </row>
    <row r="59" spans="1:34" s="439" customFormat="1" ht="15">
      <c r="A59" s="453" t="s">
        <v>2487</v>
      </c>
      <c r="B59" s="453" t="s">
        <v>2494</v>
      </c>
      <c r="C59" s="448">
        <v>122.99</v>
      </c>
      <c r="D59" s="448" t="s">
        <v>414</v>
      </c>
      <c r="E59" s="449">
        <v>110.8</v>
      </c>
      <c r="F59" s="449" t="s">
        <v>414</v>
      </c>
      <c r="G59" s="450">
        <f t="shared" si="1"/>
        <v>733059990.53234076</v>
      </c>
      <c r="H59" s="450" t="s">
        <v>2207</v>
      </c>
      <c r="I59" s="450">
        <v>2450</v>
      </c>
      <c r="J59" s="448" t="s">
        <v>414</v>
      </c>
      <c r="K59" s="449">
        <v>7.3200000000000001E-3</v>
      </c>
      <c r="L59" s="449" t="s">
        <v>414</v>
      </c>
      <c r="M59" s="922">
        <v>0.29926000000000003</v>
      </c>
      <c r="N59" s="450">
        <v>7.1693400000000004E-2</v>
      </c>
      <c r="O59" s="537" t="s">
        <v>2367</v>
      </c>
      <c r="P59" s="450">
        <v>1.01E-5</v>
      </c>
      <c r="Q59" s="537" t="s">
        <v>2367</v>
      </c>
      <c r="R59" s="543"/>
      <c r="S59" s="540"/>
      <c r="T59" s="543" t="s">
        <v>2035</v>
      </c>
      <c r="U59" s="540"/>
      <c r="V59" s="451" t="s">
        <v>2024</v>
      </c>
      <c r="W59" s="540"/>
      <c r="X59" s="449">
        <v>39.6</v>
      </c>
      <c r="Y59" s="455" t="s">
        <v>414</v>
      </c>
      <c r="Z59" s="455" t="s">
        <v>2203</v>
      </c>
      <c r="AA59" s="455" t="s">
        <v>43</v>
      </c>
      <c r="AB59" s="455">
        <v>0.1</v>
      </c>
      <c r="AC59" s="455" t="s">
        <v>18</v>
      </c>
      <c r="AD59" s="452" t="s">
        <v>1731</v>
      </c>
      <c r="AE59" s="452" t="s">
        <v>1731</v>
      </c>
      <c r="AF59" s="484"/>
      <c r="AG59" s="452" t="s">
        <v>52</v>
      </c>
      <c r="AH59" s="550"/>
    </row>
    <row r="60" spans="1:34" s="439" customFormat="1" ht="15">
      <c r="A60" s="453" t="s">
        <v>2488</v>
      </c>
      <c r="B60" s="453" t="s">
        <v>2495</v>
      </c>
      <c r="C60" s="448">
        <v>80.078000000000003</v>
      </c>
      <c r="D60" s="448" t="s">
        <v>1801</v>
      </c>
      <c r="E60" s="449">
        <v>1800</v>
      </c>
      <c r="F60" s="449" t="s">
        <v>1801</v>
      </c>
      <c r="G60" s="450">
        <f t="shared" si="1"/>
        <v>7753819339.8459358</v>
      </c>
      <c r="H60" s="450" t="s">
        <v>2207</v>
      </c>
      <c r="I60" s="450">
        <v>159.19999999999999</v>
      </c>
      <c r="J60" s="448" t="s">
        <v>1801</v>
      </c>
      <c r="K60" s="449">
        <v>0.51400000000000001</v>
      </c>
      <c r="L60" s="449" t="s">
        <v>1801</v>
      </c>
      <c r="M60" s="922">
        <v>21.0139</v>
      </c>
      <c r="N60" s="450">
        <v>8.9702400000000002E-2</v>
      </c>
      <c r="O60" s="537" t="s">
        <v>2367</v>
      </c>
      <c r="P60" s="450">
        <v>1.04E-5</v>
      </c>
      <c r="Q60" s="537" t="s">
        <v>2367</v>
      </c>
      <c r="R60" s="543"/>
      <c r="S60" s="540"/>
      <c r="T60" s="543" t="s">
        <v>2035</v>
      </c>
      <c r="U60" s="540"/>
      <c r="V60" s="451" t="s">
        <v>2024</v>
      </c>
      <c r="W60" s="540"/>
      <c r="X60" s="449">
        <v>43.89</v>
      </c>
      <c r="Y60" s="455" t="s">
        <v>414</v>
      </c>
      <c r="Z60" s="455" t="s">
        <v>2203</v>
      </c>
      <c r="AA60" s="455" t="s">
        <v>43</v>
      </c>
      <c r="AB60" s="455">
        <v>30</v>
      </c>
      <c r="AC60" s="455" t="s">
        <v>0</v>
      </c>
      <c r="AD60" s="452" t="s">
        <v>1731</v>
      </c>
      <c r="AE60" s="452" t="s">
        <v>1731</v>
      </c>
      <c r="AF60" s="484"/>
      <c r="AG60" s="452"/>
      <c r="AH60" s="550"/>
    </row>
    <row r="61" spans="1:34" s="439" customFormat="1" ht="15">
      <c r="A61" s="453" t="s">
        <v>2489</v>
      </c>
      <c r="B61" s="453" t="s">
        <v>2496</v>
      </c>
      <c r="C61" s="448">
        <v>170.21</v>
      </c>
      <c r="D61" s="448" t="s">
        <v>414</v>
      </c>
      <c r="E61" s="449">
        <v>2.2499999999999999E-2</v>
      </c>
      <c r="F61" s="449" t="s">
        <v>414</v>
      </c>
      <c r="G61" s="450">
        <f t="shared" si="1"/>
        <v>206014.38438696903</v>
      </c>
      <c r="H61" s="450" t="s">
        <v>2207</v>
      </c>
      <c r="I61" s="450">
        <v>18</v>
      </c>
      <c r="J61" s="448" t="s">
        <v>414</v>
      </c>
      <c r="K61" s="449">
        <v>2.7900000000000001E-4</v>
      </c>
      <c r="L61" s="449" t="s">
        <v>414</v>
      </c>
      <c r="M61" s="922">
        <v>1.1406400000000001E-2</v>
      </c>
      <c r="N61" s="450">
        <v>3.9686300000000001E-2</v>
      </c>
      <c r="O61" s="537" t="s">
        <v>2367</v>
      </c>
      <c r="P61" s="450">
        <v>7.2336999999999999E-6</v>
      </c>
      <c r="Q61" s="537" t="s">
        <v>2367</v>
      </c>
      <c r="R61" s="543"/>
      <c r="S61" s="540"/>
      <c r="T61" s="543" t="s">
        <v>2035</v>
      </c>
      <c r="U61" s="540"/>
      <c r="V61" s="451" t="s">
        <v>2024</v>
      </c>
      <c r="W61" s="540"/>
      <c r="X61" s="449">
        <v>1950</v>
      </c>
      <c r="Y61" s="455" t="s">
        <v>2058</v>
      </c>
      <c r="Z61" s="455" t="s">
        <v>2203</v>
      </c>
      <c r="AA61" s="455" t="s">
        <v>43</v>
      </c>
      <c r="AB61" s="455">
        <v>4.0000000000000002E-4</v>
      </c>
      <c r="AC61" s="455" t="s">
        <v>0</v>
      </c>
      <c r="AD61" s="452" t="s">
        <v>1731</v>
      </c>
      <c r="AE61" s="452" t="s">
        <v>1731</v>
      </c>
      <c r="AF61" s="484"/>
      <c r="AG61" s="452"/>
      <c r="AH61" s="550"/>
    </row>
    <row r="62" spans="1:34" s="439" customFormat="1" ht="15">
      <c r="A62" s="453" t="s">
        <v>2490</v>
      </c>
      <c r="B62" s="453" t="s">
        <v>2497</v>
      </c>
      <c r="C62" s="448">
        <v>114.19</v>
      </c>
      <c r="D62" s="448" t="s">
        <v>1801</v>
      </c>
      <c r="E62" s="449">
        <v>3.52</v>
      </c>
      <c r="F62" s="449" t="s">
        <v>1801</v>
      </c>
      <c r="G62" s="450">
        <f t="shared" si="1"/>
        <v>21622240.392477516</v>
      </c>
      <c r="H62" s="450" t="s">
        <v>2207</v>
      </c>
      <c r="I62" s="450">
        <v>1250</v>
      </c>
      <c r="J62" s="448" t="s">
        <v>1801</v>
      </c>
      <c r="K62" s="449">
        <v>2.7E-4</v>
      </c>
      <c r="L62" s="449" t="s">
        <v>1801</v>
      </c>
      <c r="M62" s="922">
        <v>1.10384E-2</v>
      </c>
      <c r="N62" s="450">
        <v>6.1989299999999997E-2</v>
      </c>
      <c r="O62" s="537" t="s">
        <v>2367</v>
      </c>
      <c r="P62" s="450">
        <v>7.8128999999999993E-6</v>
      </c>
      <c r="Q62" s="537" t="s">
        <v>2367</v>
      </c>
      <c r="R62" s="543"/>
      <c r="S62" s="540"/>
      <c r="T62" s="543" t="s">
        <v>2035</v>
      </c>
      <c r="U62" s="540"/>
      <c r="V62" s="451" t="s">
        <v>2024</v>
      </c>
      <c r="W62" s="540"/>
      <c r="X62" s="449">
        <v>10.85</v>
      </c>
      <c r="Y62" s="455" t="s">
        <v>414</v>
      </c>
      <c r="Z62" s="455" t="s">
        <v>2203</v>
      </c>
      <c r="AA62" s="455" t="s">
        <v>43</v>
      </c>
      <c r="AB62" s="455">
        <v>3.0000000000000001E-3</v>
      </c>
      <c r="AC62" s="455" t="s">
        <v>0</v>
      </c>
      <c r="AD62" s="452" t="s">
        <v>1731</v>
      </c>
      <c r="AE62" s="452" t="s">
        <v>1731</v>
      </c>
      <c r="AF62" s="484"/>
      <c r="AG62" s="452" t="s">
        <v>90</v>
      </c>
      <c r="AH62" s="550"/>
    </row>
    <row r="63" spans="1:34" s="439" customFormat="1" ht="15">
      <c r="A63" s="453" t="s">
        <v>2491</v>
      </c>
      <c r="B63" s="453" t="s">
        <v>2498</v>
      </c>
      <c r="C63" s="448">
        <v>102.18</v>
      </c>
      <c r="D63" s="448" t="s">
        <v>1801</v>
      </c>
      <c r="E63" s="449">
        <v>5.3</v>
      </c>
      <c r="F63" s="449" t="s">
        <v>1801</v>
      </c>
      <c r="G63" s="450">
        <f t="shared" si="1"/>
        <v>29132095.365150403</v>
      </c>
      <c r="H63" s="450" t="s">
        <v>2207</v>
      </c>
      <c r="I63" s="450">
        <v>16400</v>
      </c>
      <c r="J63" s="448" t="s">
        <v>1801</v>
      </c>
      <c r="K63" s="449">
        <v>4.4499999999999997E-5</v>
      </c>
      <c r="L63" s="449" t="s">
        <v>1801</v>
      </c>
      <c r="M63" s="922">
        <v>1.8193E-3</v>
      </c>
      <c r="N63" s="450">
        <v>6.8927299999999997E-2</v>
      </c>
      <c r="O63" s="537" t="s">
        <v>2367</v>
      </c>
      <c r="P63" s="450">
        <v>8.3164000000000005E-6</v>
      </c>
      <c r="Q63" s="537" t="s">
        <v>2367</v>
      </c>
      <c r="R63" s="543"/>
      <c r="S63" s="540"/>
      <c r="T63" s="543" t="s">
        <v>2035</v>
      </c>
      <c r="U63" s="540"/>
      <c r="V63" s="451" t="s">
        <v>2024</v>
      </c>
      <c r="W63" s="540"/>
      <c r="X63" s="449">
        <v>8.1549999999999994</v>
      </c>
      <c r="Y63" s="455" t="s">
        <v>414</v>
      </c>
      <c r="Z63" s="455" t="s">
        <v>2203</v>
      </c>
      <c r="AA63" s="455" t="s">
        <v>43</v>
      </c>
      <c r="AB63" s="455">
        <v>3</v>
      </c>
      <c r="AC63" s="455" t="s">
        <v>0</v>
      </c>
      <c r="AD63" s="452" t="s">
        <v>1731</v>
      </c>
      <c r="AE63" s="452" t="s">
        <v>1731</v>
      </c>
      <c r="AF63" s="484"/>
      <c r="AG63" s="452"/>
      <c r="AH63" s="550"/>
    </row>
    <row r="64" spans="1:34" s="439" customFormat="1" ht="15">
      <c r="A64" s="453" t="s">
        <v>525</v>
      </c>
      <c r="B64" s="447" t="s">
        <v>526</v>
      </c>
      <c r="C64" s="448">
        <v>76.138999999999996</v>
      </c>
      <c r="D64" s="448" t="s">
        <v>1801</v>
      </c>
      <c r="E64" s="449">
        <v>359</v>
      </c>
      <c r="F64" s="449" t="s">
        <v>1801</v>
      </c>
      <c r="G64" s="450">
        <f t="shared" si="1"/>
        <v>1470386721.6077805</v>
      </c>
      <c r="H64" s="450" t="s">
        <v>2207</v>
      </c>
      <c r="I64" s="450">
        <v>2160</v>
      </c>
      <c r="J64" s="448" t="s">
        <v>1801</v>
      </c>
      <c r="K64" s="449">
        <v>1.44E-2</v>
      </c>
      <c r="L64" s="449" t="s">
        <v>1801</v>
      </c>
      <c r="M64" s="922">
        <v>0.58871629999999997</v>
      </c>
      <c r="N64" s="450">
        <v>0.1064373</v>
      </c>
      <c r="O64" s="537" t="s">
        <v>2367</v>
      </c>
      <c r="P64" s="450">
        <v>1.2999999999999999E-5</v>
      </c>
      <c r="Q64" s="537" t="s">
        <v>2367</v>
      </c>
      <c r="R64" s="543">
        <v>319</v>
      </c>
      <c r="S64" s="540" t="s">
        <v>414</v>
      </c>
      <c r="T64" s="543">
        <v>552</v>
      </c>
      <c r="U64" s="540" t="s">
        <v>2180</v>
      </c>
      <c r="V64" s="451">
        <v>6391</v>
      </c>
      <c r="W64" s="540" t="s">
        <v>2180</v>
      </c>
      <c r="X64" s="449">
        <v>21.73</v>
      </c>
      <c r="Y64" s="455" t="s">
        <v>414</v>
      </c>
      <c r="Z64" s="455" t="s">
        <v>2203</v>
      </c>
      <c r="AA64" s="455" t="s">
        <v>43</v>
      </c>
      <c r="AB64" s="455">
        <v>0.7</v>
      </c>
      <c r="AC64" s="455" t="s">
        <v>280</v>
      </c>
      <c r="AD64" s="452" t="s">
        <v>1731</v>
      </c>
      <c r="AE64" s="484" t="s">
        <v>1731</v>
      </c>
      <c r="AF64" s="484" t="s">
        <v>2512</v>
      </c>
      <c r="AG64" s="452"/>
      <c r="AH64" s="550"/>
    </row>
    <row r="65" spans="1:34" s="439" customFormat="1" ht="15">
      <c r="A65" s="453" t="s">
        <v>527</v>
      </c>
      <c r="B65" s="447" t="s">
        <v>528</v>
      </c>
      <c r="C65" s="448">
        <v>153.82</v>
      </c>
      <c r="D65" s="448" t="s">
        <v>1801</v>
      </c>
      <c r="E65" s="449">
        <v>115</v>
      </c>
      <c r="F65" s="449" t="s">
        <v>1801</v>
      </c>
      <c r="G65" s="450">
        <f t="shared" si="1"/>
        <v>951569694.88316047</v>
      </c>
      <c r="H65" s="450" t="s">
        <v>2207</v>
      </c>
      <c r="I65" s="450">
        <v>793</v>
      </c>
      <c r="J65" s="448" t="s">
        <v>1801</v>
      </c>
      <c r="K65" s="449">
        <v>2.76E-2</v>
      </c>
      <c r="L65" s="449" t="s">
        <v>1801</v>
      </c>
      <c r="M65" s="922">
        <v>1.1283729</v>
      </c>
      <c r="N65" s="450">
        <v>5.71435E-2</v>
      </c>
      <c r="O65" s="537" t="s">
        <v>2367</v>
      </c>
      <c r="P65" s="450">
        <v>9.7849000000000001E-6</v>
      </c>
      <c r="Q65" s="537" t="s">
        <v>2367</v>
      </c>
      <c r="R65" s="543">
        <v>349.8</v>
      </c>
      <c r="S65" s="540" t="s">
        <v>414</v>
      </c>
      <c r="T65" s="543">
        <v>556.6</v>
      </c>
      <c r="U65" s="540" t="s">
        <v>2180</v>
      </c>
      <c r="V65" s="451">
        <v>7127</v>
      </c>
      <c r="W65" s="540" t="s">
        <v>2180</v>
      </c>
      <c r="X65" s="449">
        <v>43.89</v>
      </c>
      <c r="Y65" s="455" t="s">
        <v>414</v>
      </c>
      <c r="Z65" s="455">
        <v>6.0000000000000002E-6</v>
      </c>
      <c r="AA65" s="455" t="s">
        <v>280</v>
      </c>
      <c r="AB65" s="455">
        <v>0.1</v>
      </c>
      <c r="AC65" s="455" t="s">
        <v>280</v>
      </c>
      <c r="AD65" s="452" t="s">
        <v>1731</v>
      </c>
      <c r="AE65" s="484" t="s">
        <v>1731</v>
      </c>
      <c r="AF65" s="484" t="s">
        <v>2512</v>
      </c>
      <c r="AG65" s="452"/>
      <c r="AH65" s="550"/>
    </row>
    <row r="66" spans="1:34" s="439" customFormat="1" ht="15">
      <c r="A66" s="453" t="s">
        <v>2193</v>
      </c>
      <c r="B66" s="453" t="s">
        <v>2198</v>
      </c>
      <c r="C66" s="448">
        <v>60.075000000000003</v>
      </c>
      <c r="D66" s="448" t="s">
        <v>1801</v>
      </c>
      <c r="E66" s="449">
        <v>9412</v>
      </c>
      <c r="F66" s="449" t="s">
        <v>1801</v>
      </c>
      <c r="G66" s="450">
        <f t="shared" si="1"/>
        <v>30416248870.336098</v>
      </c>
      <c r="H66" s="450" t="s">
        <v>2207</v>
      </c>
      <c r="I66" s="450">
        <v>1220</v>
      </c>
      <c r="J66" s="448" t="s">
        <v>1801</v>
      </c>
      <c r="K66" s="449">
        <v>0.61</v>
      </c>
      <c r="L66" s="449" t="s">
        <v>414</v>
      </c>
      <c r="M66" s="922">
        <v>24.94</v>
      </c>
      <c r="N66" s="450">
        <v>0.1157542</v>
      </c>
      <c r="O66" s="537" t="s">
        <v>2367</v>
      </c>
      <c r="P66" s="450">
        <v>1.3200000000000001E-5</v>
      </c>
      <c r="Q66" s="537" t="s">
        <v>2367</v>
      </c>
      <c r="R66" s="543">
        <v>223</v>
      </c>
      <c r="S66" s="540" t="s">
        <v>1801</v>
      </c>
      <c r="T66" s="543">
        <v>378.15</v>
      </c>
      <c r="U66" s="540" t="s">
        <v>2503</v>
      </c>
      <c r="V66" s="451">
        <v>4.66</v>
      </c>
      <c r="W66" s="540" t="s">
        <v>2178</v>
      </c>
      <c r="X66" s="449">
        <v>1</v>
      </c>
      <c r="Y66" s="455" t="s">
        <v>414</v>
      </c>
      <c r="Z66" s="455" t="s">
        <v>2203</v>
      </c>
      <c r="AA66" s="455" t="s">
        <v>43</v>
      </c>
      <c r="AB66" s="455">
        <v>0.1</v>
      </c>
      <c r="AC66" s="455" t="s">
        <v>281</v>
      </c>
      <c r="AD66" s="452" t="s">
        <v>1731</v>
      </c>
      <c r="AE66" s="484" t="s">
        <v>1731</v>
      </c>
      <c r="AF66" s="484" t="s">
        <v>2512</v>
      </c>
      <c r="AG66" s="452"/>
      <c r="AH66" s="550"/>
    </row>
    <row r="67" spans="1:34" s="439" customFormat="1" ht="15">
      <c r="A67" s="453" t="s">
        <v>535</v>
      </c>
      <c r="B67" s="453" t="s">
        <v>536</v>
      </c>
      <c r="C67" s="448">
        <v>165.4</v>
      </c>
      <c r="D67" s="448" t="s">
        <v>1801</v>
      </c>
      <c r="E67" s="449">
        <v>14.999000000000001</v>
      </c>
      <c r="F67" s="449" t="s">
        <v>1801</v>
      </c>
      <c r="G67" s="450">
        <f t="shared" si="1"/>
        <v>133452823.08387487</v>
      </c>
      <c r="H67" s="450" t="s">
        <v>2207</v>
      </c>
      <c r="I67" s="450">
        <v>793000</v>
      </c>
      <c r="J67" s="448" t="s">
        <v>1801</v>
      </c>
      <c r="K67" s="449">
        <v>5.7100000000000003E-9</v>
      </c>
      <c r="L67" s="449" t="s">
        <v>1801</v>
      </c>
      <c r="M67" s="922">
        <v>2.3344E-7</v>
      </c>
      <c r="N67" s="450">
        <v>5.4399099999999999E-2</v>
      </c>
      <c r="O67" s="537" t="s">
        <v>2367</v>
      </c>
      <c r="P67" s="450">
        <v>1.04E-5</v>
      </c>
      <c r="Q67" s="537" t="s">
        <v>2367</v>
      </c>
      <c r="R67" s="543">
        <v>371.15</v>
      </c>
      <c r="S67" s="540" t="s">
        <v>414</v>
      </c>
      <c r="T67" s="543">
        <v>556.72499999999991</v>
      </c>
      <c r="U67" s="540" t="s">
        <v>2182</v>
      </c>
      <c r="V67" s="451">
        <v>7520.55</v>
      </c>
      <c r="W67" s="540" t="s">
        <v>2187</v>
      </c>
      <c r="X67" s="449">
        <v>1</v>
      </c>
      <c r="Y67" s="455" t="s">
        <v>414</v>
      </c>
      <c r="Z67" s="455" t="s">
        <v>2203</v>
      </c>
      <c r="AA67" s="455" t="s">
        <v>43</v>
      </c>
      <c r="AB67" s="455" t="s">
        <v>2203</v>
      </c>
      <c r="AC67" s="455" t="s">
        <v>43</v>
      </c>
      <c r="AD67" s="452" t="s">
        <v>1731</v>
      </c>
      <c r="AE67" s="484" t="s">
        <v>1731</v>
      </c>
      <c r="AF67" s="484" t="s">
        <v>2512</v>
      </c>
      <c r="AG67" s="452"/>
      <c r="AH67" s="550"/>
    </row>
    <row r="68" spans="1:34" s="439" customFormat="1" ht="15">
      <c r="A68" s="453" t="s">
        <v>44</v>
      </c>
      <c r="B68" s="447" t="s">
        <v>541</v>
      </c>
      <c r="C68" s="448">
        <v>409.78</v>
      </c>
      <c r="D68" s="448" t="s">
        <v>1801</v>
      </c>
      <c r="E68" s="449">
        <v>9.9799999999999993E-6</v>
      </c>
      <c r="F68" s="449" t="s">
        <v>1801</v>
      </c>
      <c r="G68" s="450">
        <f t="shared" si="1"/>
        <v>219.9942118173602</v>
      </c>
      <c r="H68" s="450" t="s">
        <v>2207</v>
      </c>
      <c r="I68" s="450">
        <v>5.6000000000000001E-2</v>
      </c>
      <c r="J68" s="448" t="s">
        <v>414</v>
      </c>
      <c r="K68" s="449">
        <v>4.8600000000000002E-5</v>
      </c>
      <c r="L68" s="449" t="s">
        <v>414</v>
      </c>
      <c r="M68" s="922">
        <v>1.9869000000000002E-3</v>
      </c>
      <c r="N68" s="450">
        <v>2.1493000000000002E-2</v>
      </c>
      <c r="O68" s="537" t="s">
        <v>2367</v>
      </c>
      <c r="P68" s="450">
        <v>5.4477000000000004E-6</v>
      </c>
      <c r="Q68" s="537" t="s">
        <v>2367</v>
      </c>
      <c r="R68" s="543">
        <v>448.15</v>
      </c>
      <c r="S68" s="540" t="s">
        <v>414</v>
      </c>
      <c r="T68" s="543">
        <v>672.22499999999991</v>
      </c>
      <c r="U68" s="540" t="s">
        <v>2182</v>
      </c>
      <c r="V68" s="451">
        <v>14000</v>
      </c>
      <c r="W68" s="540" t="s">
        <v>2180</v>
      </c>
      <c r="X68" s="449">
        <v>67540</v>
      </c>
      <c r="Y68" s="455" t="s">
        <v>414</v>
      </c>
      <c r="Z68" s="455">
        <v>1E-4</v>
      </c>
      <c r="AA68" s="455" t="s">
        <v>280</v>
      </c>
      <c r="AB68" s="455">
        <v>6.9999999999999999E-4</v>
      </c>
      <c r="AC68" s="455" t="s">
        <v>280</v>
      </c>
      <c r="AD68" s="452" t="s">
        <v>1731</v>
      </c>
      <c r="AE68" s="484" t="s">
        <v>1731</v>
      </c>
      <c r="AF68" s="484" t="s">
        <v>2512</v>
      </c>
      <c r="AG68" s="452"/>
      <c r="AH68" s="550"/>
    </row>
    <row r="69" spans="1:34" s="439" customFormat="1" ht="15">
      <c r="A69" s="453" t="s">
        <v>548</v>
      </c>
      <c r="B69" s="447" t="s">
        <v>549</v>
      </c>
      <c r="C69" s="448">
        <v>70.906000000000006</v>
      </c>
      <c r="D69" s="448" t="s">
        <v>1801</v>
      </c>
      <c r="E69" s="449">
        <v>5854</v>
      </c>
      <c r="F69" s="449" t="s">
        <v>1801</v>
      </c>
      <c r="G69" s="450">
        <f t="shared" si="1"/>
        <v>22328814175.668118</v>
      </c>
      <c r="H69" s="450" t="s">
        <v>2207</v>
      </c>
      <c r="I69" s="450">
        <v>6300</v>
      </c>
      <c r="J69" s="448" t="s">
        <v>1801</v>
      </c>
      <c r="K69" s="449">
        <v>1.17E-2</v>
      </c>
      <c r="L69" s="449" t="s">
        <v>1801</v>
      </c>
      <c r="M69" s="922">
        <v>0.4783</v>
      </c>
      <c r="N69" s="450">
        <v>0.15420880000000001</v>
      </c>
      <c r="O69" s="537" t="s">
        <v>2367</v>
      </c>
      <c r="P69" s="450">
        <v>2.23E-5</v>
      </c>
      <c r="Q69" s="537" t="s">
        <v>2367</v>
      </c>
      <c r="R69" s="543">
        <v>239.09999999999997</v>
      </c>
      <c r="S69" s="540" t="s">
        <v>414</v>
      </c>
      <c r="T69" s="543">
        <v>417.15</v>
      </c>
      <c r="U69" s="540" t="s">
        <v>2174</v>
      </c>
      <c r="V69" s="451">
        <v>68572.686600000001</v>
      </c>
      <c r="W69" s="540" t="s">
        <v>2174</v>
      </c>
      <c r="X69" s="449" t="s">
        <v>1750</v>
      </c>
      <c r="Y69" s="455" t="s">
        <v>43</v>
      </c>
      <c r="Z69" s="455" t="s">
        <v>2203</v>
      </c>
      <c r="AA69" s="455" t="s">
        <v>43</v>
      </c>
      <c r="AB69" s="455">
        <v>1.4999999999999999E-4</v>
      </c>
      <c r="AC69" s="455" t="s">
        <v>18</v>
      </c>
      <c r="AD69" s="452" t="s">
        <v>1731</v>
      </c>
      <c r="AE69" s="484" t="s">
        <v>1731</v>
      </c>
      <c r="AF69" s="484" t="s">
        <v>2512</v>
      </c>
      <c r="AG69" s="452"/>
      <c r="AH69" s="550"/>
    </row>
    <row r="70" spans="1:34" s="439" customFormat="1" ht="15">
      <c r="A70" s="453" t="s">
        <v>550</v>
      </c>
      <c r="B70" s="453" t="s">
        <v>551</v>
      </c>
      <c r="C70" s="448">
        <v>67.45</v>
      </c>
      <c r="D70" s="448" t="s">
        <v>414</v>
      </c>
      <c r="E70" s="449">
        <v>758</v>
      </c>
      <c r="F70" s="449" t="s">
        <v>2167</v>
      </c>
      <c r="G70" s="450">
        <f t="shared" si="1"/>
        <v>2750306623.058054</v>
      </c>
      <c r="H70" s="450" t="s">
        <v>2207</v>
      </c>
      <c r="I70" s="450" t="s">
        <v>2500</v>
      </c>
      <c r="J70" s="448" t="s">
        <v>43</v>
      </c>
      <c r="K70" s="449">
        <v>4.0099999999999997E-2</v>
      </c>
      <c r="L70" s="449" t="s">
        <v>2167</v>
      </c>
      <c r="M70" s="922">
        <v>1.64</v>
      </c>
      <c r="N70" s="450">
        <v>0.156579</v>
      </c>
      <c r="O70" s="537" t="s">
        <v>2367</v>
      </c>
      <c r="P70" s="450">
        <v>2.23E-5</v>
      </c>
      <c r="Q70" s="537" t="s">
        <v>2367</v>
      </c>
      <c r="R70" s="543">
        <v>284.14999999999998</v>
      </c>
      <c r="S70" s="540" t="s">
        <v>1795</v>
      </c>
      <c r="T70" s="543">
        <v>426.22499999999997</v>
      </c>
      <c r="U70" s="540" t="s">
        <v>2182</v>
      </c>
      <c r="V70" s="451">
        <v>7170.17</v>
      </c>
      <c r="W70" s="540" t="s">
        <v>2187</v>
      </c>
      <c r="X70" s="449" t="s">
        <v>1750</v>
      </c>
      <c r="Y70" s="455" t="s">
        <v>43</v>
      </c>
      <c r="Z70" s="455" t="s">
        <v>2203</v>
      </c>
      <c r="AA70" s="455" t="s">
        <v>43</v>
      </c>
      <c r="AB70" s="455">
        <v>2.0000000000000001E-4</v>
      </c>
      <c r="AC70" s="455" t="s">
        <v>280</v>
      </c>
      <c r="AD70" s="452" t="s">
        <v>1731</v>
      </c>
      <c r="AE70" s="484" t="s">
        <v>1731</v>
      </c>
      <c r="AF70" s="484" t="s">
        <v>2512</v>
      </c>
      <c r="AG70" s="452"/>
      <c r="AH70" s="550"/>
    </row>
    <row r="71" spans="1:34" s="439" customFormat="1" ht="15">
      <c r="A71" s="453" t="s">
        <v>554</v>
      </c>
      <c r="B71" s="447" t="s">
        <v>555</v>
      </c>
      <c r="C71" s="448">
        <v>100.5</v>
      </c>
      <c r="D71" s="448" t="s">
        <v>1801</v>
      </c>
      <c r="E71" s="449">
        <v>2544</v>
      </c>
      <c r="F71" s="449" t="s">
        <v>1801</v>
      </c>
      <c r="G71" s="450">
        <f t="shared" si="1"/>
        <v>13753496578.732195</v>
      </c>
      <c r="H71" s="450" t="s">
        <v>2207</v>
      </c>
      <c r="I71" s="450">
        <v>1400</v>
      </c>
      <c r="J71" s="448" t="s">
        <v>1801</v>
      </c>
      <c r="K71" s="449">
        <v>5.8799999999999998E-2</v>
      </c>
      <c r="L71" s="449" t="s">
        <v>1801</v>
      </c>
      <c r="M71" s="922">
        <v>2.4039248</v>
      </c>
      <c r="N71" s="450">
        <v>8.0392500000000006E-2</v>
      </c>
      <c r="O71" s="537" t="s">
        <v>2367</v>
      </c>
      <c r="P71" s="450">
        <v>1.01E-5</v>
      </c>
      <c r="Q71" s="537" t="s">
        <v>2367</v>
      </c>
      <c r="R71" s="543">
        <v>263.3</v>
      </c>
      <c r="S71" s="540" t="s">
        <v>2173</v>
      </c>
      <c r="T71" s="543">
        <v>409.85</v>
      </c>
      <c r="U71" s="540" t="s">
        <v>2174</v>
      </c>
      <c r="V71" s="451">
        <v>53298.46</v>
      </c>
      <c r="W71" s="540" t="s">
        <v>2174</v>
      </c>
      <c r="X71" s="449">
        <v>43.89</v>
      </c>
      <c r="Y71" s="455" t="s">
        <v>414</v>
      </c>
      <c r="Z71" s="455" t="s">
        <v>2203</v>
      </c>
      <c r="AA71" s="455" t="s">
        <v>43</v>
      </c>
      <c r="AB71" s="455">
        <v>50</v>
      </c>
      <c r="AC71" s="455" t="s">
        <v>280</v>
      </c>
      <c r="AD71" s="452" t="s">
        <v>1731</v>
      </c>
      <c r="AE71" s="484" t="s">
        <v>1731</v>
      </c>
      <c r="AF71" s="484" t="s">
        <v>2512</v>
      </c>
      <c r="AG71" s="452"/>
      <c r="AH71" s="550"/>
    </row>
    <row r="72" spans="1:34" s="439" customFormat="1" ht="15">
      <c r="A72" s="453" t="s">
        <v>556</v>
      </c>
      <c r="B72" s="447" t="s">
        <v>557</v>
      </c>
      <c r="C72" s="448">
        <v>88.537000000000006</v>
      </c>
      <c r="D72" s="448" t="s">
        <v>1801</v>
      </c>
      <c r="E72" s="449">
        <v>215.5</v>
      </c>
      <c r="F72" s="449" t="s">
        <v>1801</v>
      </c>
      <c r="G72" s="450">
        <f t="shared" si="1"/>
        <v>1026365467.7884408</v>
      </c>
      <c r="H72" s="450" t="s">
        <v>2207</v>
      </c>
      <c r="I72" s="450">
        <v>874.9</v>
      </c>
      <c r="J72" s="448" t="s">
        <v>1801</v>
      </c>
      <c r="K72" s="449">
        <v>5.6099999999999997E-2</v>
      </c>
      <c r="L72" s="449" t="s">
        <v>1801</v>
      </c>
      <c r="M72" s="922">
        <v>2.2935405000000002</v>
      </c>
      <c r="N72" s="450">
        <v>8.4148899999999999E-2</v>
      </c>
      <c r="O72" s="537" t="s">
        <v>2367</v>
      </c>
      <c r="P72" s="450">
        <v>1.0000000000000001E-5</v>
      </c>
      <c r="Q72" s="537" t="s">
        <v>2367</v>
      </c>
      <c r="R72" s="543">
        <v>332.4</v>
      </c>
      <c r="S72" s="540" t="s">
        <v>414</v>
      </c>
      <c r="T72" s="543">
        <v>525</v>
      </c>
      <c r="U72" s="540" t="s">
        <v>2183</v>
      </c>
      <c r="V72" s="451">
        <v>8074.8480000000009</v>
      </c>
      <c r="W72" s="540" t="s">
        <v>2185</v>
      </c>
      <c r="X72" s="449">
        <v>60.7</v>
      </c>
      <c r="Y72" s="455" t="s">
        <v>414</v>
      </c>
      <c r="Z72" s="455">
        <v>2.9999999999999997E-4</v>
      </c>
      <c r="AA72" s="455" t="s">
        <v>280</v>
      </c>
      <c r="AB72" s="455">
        <v>0.02</v>
      </c>
      <c r="AC72" s="455" t="s">
        <v>280</v>
      </c>
      <c r="AD72" s="452" t="s">
        <v>1731</v>
      </c>
      <c r="AE72" s="484" t="s">
        <v>1731</v>
      </c>
      <c r="AF72" s="484" t="s">
        <v>2512</v>
      </c>
      <c r="AG72" s="452"/>
      <c r="AH72" s="550"/>
    </row>
    <row r="73" spans="1:34" s="439" customFormat="1" ht="15">
      <c r="A73" s="453" t="s">
        <v>560</v>
      </c>
      <c r="B73" s="447" t="s">
        <v>561</v>
      </c>
      <c r="C73" s="448">
        <v>78.498999999999995</v>
      </c>
      <c r="D73" s="448" t="s">
        <v>1801</v>
      </c>
      <c r="E73" s="449">
        <v>64.266000000000005</v>
      </c>
      <c r="F73" s="449" t="s">
        <v>1801</v>
      </c>
      <c r="G73" s="450">
        <f t="shared" si="1"/>
        <v>271378444.61419284</v>
      </c>
      <c r="H73" s="450" t="s">
        <v>2207</v>
      </c>
      <c r="I73" s="450">
        <v>110700</v>
      </c>
      <c r="J73" s="448" t="s">
        <v>1801</v>
      </c>
      <c r="K73" s="449">
        <v>2.3900000000000002E-5</v>
      </c>
      <c r="L73" s="449" t="s">
        <v>1801</v>
      </c>
      <c r="M73" s="922">
        <v>9.7710000000000006E-4</v>
      </c>
      <c r="N73" s="450">
        <v>0.101506</v>
      </c>
      <c r="O73" s="537" t="s">
        <v>2367</v>
      </c>
      <c r="P73" s="450">
        <v>1.2300000000000001E-5</v>
      </c>
      <c r="Q73" s="537" t="s">
        <v>2367</v>
      </c>
      <c r="R73" s="543">
        <v>358.2</v>
      </c>
      <c r="S73" s="540" t="s">
        <v>2178</v>
      </c>
      <c r="T73" s="543">
        <v>514.03</v>
      </c>
      <c r="U73" s="540" t="s">
        <v>2172</v>
      </c>
      <c r="V73" s="451" t="s">
        <v>2024</v>
      </c>
      <c r="W73" s="540"/>
      <c r="X73" s="449">
        <v>1</v>
      </c>
      <c r="Y73" s="455" t="s">
        <v>414</v>
      </c>
      <c r="Z73" s="455" t="s">
        <v>2203</v>
      </c>
      <c r="AA73" s="455" t="s">
        <v>43</v>
      </c>
      <c r="AB73" s="455" t="s">
        <v>2203</v>
      </c>
      <c r="AC73" s="455" t="s">
        <v>43</v>
      </c>
      <c r="AD73" s="452" t="s">
        <v>1731</v>
      </c>
      <c r="AE73" s="484" t="s">
        <v>1731</v>
      </c>
      <c r="AF73" s="484" t="s">
        <v>2512</v>
      </c>
      <c r="AG73" s="452"/>
      <c r="AH73" s="550"/>
    </row>
    <row r="74" spans="1:34" s="439" customFormat="1" ht="15">
      <c r="A74" s="453" t="s">
        <v>96</v>
      </c>
      <c r="B74" s="447" t="s">
        <v>568</v>
      </c>
      <c r="C74" s="448">
        <v>112.56</v>
      </c>
      <c r="D74" s="448" t="s">
        <v>1801</v>
      </c>
      <c r="E74" s="449">
        <v>11.97</v>
      </c>
      <c r="F74" s="449" t="s">
        <v>1801</v>
      </c>
      <c r="G74" s="450">
        <f t="shared" si="1"/>
        <v>72478331.970564187</v>
      </c>
      <c r="H74" s="450" t="s">
        <v>2207</v>
      </c>
      <c r="I74" s="450">
        <v>498</v>
      </c>
      <c r="J74" s="448" t="s">
        <v>1801</v>
      </c>
      <c r="K74" s="449">
        <v>3.1099999999999999E-3</v>
      </c>
      <c r="L74" s="449" t="s">
        <v>1801</v>
      </c>
      <c r="M74" s="922">
        <v>0.12714639999999999</v>
      </c>
      <c r="N74" s="450">
        <v>7.2130600000000003E-2</v>
      </c>
      <c r="O74" s="537" t="s">
        <v>2367</v>
      </c>
      <c r="P74" s="450">
        <v>9.4764999999999998E-6</v>
      </c>
      <c r="Q74" s="537" t="s">
        <v>2367</v>
      </c>
      <c r="R74" s="543">
        <v>404.7</v>
      </c>
      <c r="S74" s="540" t="s">
        <v>414</v>
      </c>
      <c r="T74" s="543">
        <v>632.4</v>
      </c>
      <c r="U74" s="540" t="s">
        <v>2180</v>
      </c>
      <c r="V74" s="451">
        <v>8410</v>
      </c>
      <c r="W74" s="540" t="s">
        <v>2180</v>
      </c>
      <c r="X74" s="449">
        <v>233.9</v>
      </c>
      <c r="Y74" s="455" t="s">
        <v>414</v>
      </c>
      <c r="Z74" s="455" t="s">
        <v>2203</v>
      </c>
      <c r="AA74" s="455" t="s">
        <v>43</v>
      </c>
      <c r="AB74" s="455">
        <v>0.05</v>
      </c>
      <c r="AC74" s="455" t="s">
        <v>281</v>
      </c>
      <c r="AD74" s="452" t="s">
        <v>1731</v>
      </c>
      <c r="AE74" s="484" t="s">
        <v>1731</v>
      </c>
      <c r="AF74" s="484" t="s">
        <v>2512</v>
      </c>
      <c r="AG74" s="452"/>
      <c r="AH74" s="550"/>
    </row>
    <row r="75" spans="1:34" s="439" customFormat="1" ht="15">
      <c r="A75" s="453" t="s">
        <v>573</v>
      </c>
      <c r="B75" s="447" t="s">
        <v>574</v>
      </c>
      <c r="C75" s="448">
        <v>180.56</v>
      </c>
      <c r="D75" s="448" t="s">
        <v>1801</v>
      </c>
      <c r="E75" s="449">
        <v>7.63</v>
      </c>
      <c r="F75" s="449" t="s">
        <v>1801</v>
      </c>
      <c r="G75" s="450">
        <f t="shared" si="1"/>
        <v>74109867.883117452</v>
      </c>
      <c r="H75" s="450" t="s">
        <v>2207</v>
      </c>
      <c r="I75" s="450">
        <v>29</v>
      </c>
      <c r="J75" s="448" t="s">
        <v>1801</v>
      </c>
      <c r="K75" s="449">
        <v>3.4700000000000002E-2</v>
      </c>
      <c r="L75" s="449" t="s">
        <v>1801</v>
      </c>
      <c r="M75" s="922">
        <v>1.4186426999999999</v>
      </c>
      <c r="N75" s="450">
        <v>3.8499499999999999E-2</v>
      </c>
      <c r="O75" s="537" t="s">
        <v>2367</v>
      </c>
      <c r="P75" s="450">
        <v>7.9872000000000004E-6</v>
      </c>
      <c r="Q75" s="537" t="s">
        <v>2367</v>
      </c>
      <c r="R75" s="543">
        <v>411.5</v>
      </c>
      <c r="S75" s="540" t="s">
        <v>2173</v>
      </c>
      <c r="T75" s="543">
        <v>617.25</v>
      </c>
      <c r="U75" s="540" t="s">
        <v>2182</v>
      </c>
      <c r="V75" s="451" t="s">
        <v>2024</v>
      </c>
      <c r="W75" s="540"/>
      <c r="X75" s="449">
        <v>1606</v>
      </c>
      <c r="Y75" s="455" t="s">
        <v>414</v>
      </c>
      <c r="Z75" s="455" t="s">
        <v>2203</v>
      </c>
      <c r="AA75" s="455" t="s">
        <v>43</v>
      </c>
      <c r="AB75" s="455">
        <v>0.3</v>
      </c>
      <c r="AC75" s="455" t="s">
        <v>281</v>
      </c>
      <c r="AD75" s="452" t="s">
        <v>1731</v>
      </c>
      <c r="AE75" s="484" t="s">
        <v>1731</v>
      </c>
      <c r="AF75" s="484" t="s">
        <v>2512</v>
      </c>
      <c r="AG75" s="452"/>
      <c r="AH75" s="550"/>
    </row>
    <row r="76" spans="1:34" s="439" customFormat="1" ht="15">
      <c r="A76" s="453" t="s">
        <v>167</v>
      </c>
      <c r="B76" s="447" t="s">
        <v>575</v>
      </c>
      <c r="C76" s="448">
        <v>92.569000000000003</v>
      </c>
      <c r="D76" s="448" t="s">
        <v>1801</v>
      </c>
      <c r="E76" s="449">
        <v>101.3</v>
      </c>
      <c r="F76" s="449" t="s">
        <v>1801</v>
      </c>
      <c r="G76" s="450">
        <f t="shared" si="1"/>
        <v>504434721.56474578</v>
      </c>
      <c r="H76" s="450" t="s">
        <v>2207</v>
      </c>
      <c r="I76" s="450">
        <v>1100</v>
      </c>
      <c r="J76" s="448" t="s">
        <v>1801</v>
      </c>
      <c r="K76" s="449">
        <v>1.67E-2</v>
      </c>
      <c r="L76" s="449" t="s">
        <v>1801</v>
      </c>
      <c r="M76" s="922">
        <v>0.68274729999999995</v>
      </c>
      <c r="N76" s="450">
        <v>7.8413700000000003E-2</v>
      </c>
      <c r="O76" s="537" t="s">
        <v>2367</v>
      </c>
      <c r="P76" s="450">
        <v>9.3275000000000001E-6</v>
      </c>
      <c r="Q76" s="537" t="s">
        <v>2367</v>
      </c>
      <c r="R76" s="543">
        <v>351.6</v>
      </c>
      <c r="S76" s="540" t="s">
        <v>414</v>
      </c>
      <c r="T76" s="543">
        <v>542</v>
      </c>
      <c r="U76" s="540" t="s">
        <v>2179</v>
      </c>
      <c r="V76" s="451">
        <v>7263.21</v>
      </c>
      <c r="W76" s="540" t="s">
        <v>2181</v>
      </c>
      <c r="X76" s="449">
        <v>72.17</v>
      </c>
      <c r="Y76" s="455" t="s">
        <v>414</v>
      </c>
      <c r="Z76" s="455" t="s">
        <v>2203</v>
      </c>
      <c r="AA76" s="455" t="s">
        <v>43</v>
      </c>
      <c r="AB76" s="455" t="s">
        <v>2203</v>
      </c>
      <c r="AC76" s="455" t="s">
        <v>43</v>
      </c>
      <c r="AD76" s="452" t="s">
        <v>1731</v>
      </c>
      <c r="AE76" s="484" t="s">
        <v>1731</v>
      </c>
      <c r="AF76" s="484" t="s">
        <v>2512</v>
      </c>
      <c r="AG76" s="452" t="s">
        <v>2029</v>
      </c>
      <c r="AH76" s="550"/>
    </row>
    <row r="77" spans="1:34" s="439" customFormat="1" ht="15">
      <c r="A77" s="453" t="s">
        <v>60</v>
      </c>
      <c r="B77" s="447" t="s">
        <v>576</v>
      </c>
      <c r="C77" s="448">
        <v>86.468999999999994</v>
      </c>
      <c r="D77" s="448" t="s">
        <v>1801</v>
      </c>
      <c r="E77" s="449">
        <v>7252</v>
      </c>
      <c r="F77" s="449" t="s">
        <v>1801</v>
      </c>
      <c r="G77" s="450">
        <f t="shared" si="1"/>
        <v>33732473426.001629</v>
      </c>
      <c r="H77" s="450" t="s">
        <v>2207</v>
      </c>
      <c r="I77" s="450">
        <v>2770</v>
      </c>
      <c r="J77" s="448" t="s">
        <v>1801</v>
      </c>
      <c r="K77" s="449">
        <v>4.0599999999999997E-2</v>
      </c>
      <c r="L77" s="449" t="s">
        <v>1801</v>
      </c>
      <c r="M77" s="922">
        <v>1.6598527999999999</v>
      </c>
      <c r="N77" s="450">
        <v>0.10337880000000001</v>
      </c>
      <c r="O77" s="537" t="s">
        <v>2367</v>
      </c>
      <c r="P77" s="450">
        <v>1.33E-5</v>
      </c>
      <c r="Q77" s="537" t="s">
        <v>2367</v>
      </c>
      <c r="R77" s="543">
        <v>232.3</v>
      </c>
      <c r="S77" s="540" t="s">
        <v>414</v>
      </c>
      <c r="T77" s="543">
        <v>369.3</v>
      </c>
      <c r="U77" s="540" t="s">
        <v>2181</v>
      </c>
      <c r="V77" s="451">
        <v>4835.9212200000002</v>
      </c>
      <c r="W77" s="540" t="s">
        <v>2179</v>
      </c>
      <c r="X77" s="449">
        <v>31.82</v>
      </c>
      <c r="Y77" s="455" t="s">
        <v>414</v>
      </c>
      <c r="Z77" s="455" t="s">
        <v>2203</v>
      </c>
      <c r="AA77" s="455" t="s">
        <v>43</v>
      </c>
      <c r="AB77" s="455">
        <v>50</v>
      </c>
      <c r="AC77" s="455" t="s">
        <v>280</v>
      </c>
      <c r="AD77" s="452" t="s">
        <v>1731</v>
      </c>
      <c r="AE77" s="484" t="s">
        <v>1731</v>
      </c>
      <c r="AF77" s="484" t="s">
        <v>2512</v>
      </c>
      <c r="AG77" s="452" t="s">
        <v>2030</v>
      </c>
      <c r="AH77" s="550" t="s">
        <v>2031</v>
      </c>
    </row>
    <row r="78" spans="1:34" s="439" customFormat="1" ht="15">
      <c r="A78" s="453" t="s">
        <v>1814</v>
      </c>
      <c r="B78" s="453" t="s">
        <v>1815</v>
      </c>
      <c r="C78" s="448">
        <v>80.515000000000001</v>
      </c>
      <c r="D78" s="448" t="s">
        <v>1801</v>
      </c>
      <c r="E78" s="449">
        <v>7.18</v>
      </c>
      <c r="F78" s="449" t="s">
        <v>1801</v>
      </c>
      <c r="G78" s="450">
        <f t="shared" si="1"/>
        <v>31097909.583853334</v>
      </c>
      <c r="H78" s="450" t="s">
        <v>2207</v>
      </c>
      <c r="I78" s="450">
        <v>1000000</v>
      </c>
      <c r="J78" s="448" t="s">
        <v>1801</v>
      </c>
      <c r="K78" s="449">
        <v>7.61E-7</v>
      </c>
      <c r="L78" s="449" t="s">
        <v>414</v>
      </c>
      <c r="M78" s="922">
        <v>3.1099999999999997E-5</v>
      </c>
      <c r="N78" s="450">
        <v>9.9981299999999995E-2</v>
      </c>
      <c r="O78" s="537" t="s">
        <v>2367</v>
      </c>
      <c r="P78" s="450">
        <v>1.22E-5</v>
      </c>
      <c r="Q78" s="537" t="s">
        <v>2367</v>
      </c>
      <c r="R78" s="543">
        <v>401.75</v>
      </c>
      <c r="S78" s="540" t="s">
        <v>414</v>
      </c>
      <c r="T78" s="543">
        <v>602.625</v>
      </c>
      <c r="U78" s="540" t="s">
        <v>2182</v>
      </c>
      <c r="V78" s="451">
        <v>9956.9699999999993</v>
      </c>
      <c r="W78" s="540" t="s">
        <v>2187</v>
      </c>
      <c r="X78" s="449">
        <v>1.9039999999999999</v>
      </c>
      <c r="Y78" s="455" t="s">
        <v>414</v>
      </c>
      <c r="Z78" s="455" t="s">
        <v>2203</v>
      </c>
      <c r="AA78" s="455" t="s">
        <v>43</v>
      </c>
      <c r="AB78" s="455" t="s">
        <v>2203</v>
      </c>
      <c r="AC78" s="455" t="s">
        <v>43</v>
      </c>
      <c r="AD78" s="452" t="s">
        <v>1731</v>
      </c>
      <c r="AE78" s="484" t="s">
        <v>1731</v>
      </c>
      <c r="AF78" s="484" t="s">
        <v>2512</v>
      </c>
      <c r="AG78" s="452"/>
      <c r="AH78" s="550"/>
    </row>
    <row r="79" spans="1:34" s="439" customFormat="1" ht="15">
      <c r="A79" s="453" t="s">
        <v>47</v>
      </c>
      <c r="B79" s="447" t="s">
        <v>577</v>
      </c>
      <c r="C79" s="448">
        <v>119.38</v>
      </c>
      <c r="D79" s="448" t="s">
        <v>1801</v>
      </c>
      <c r="E79" s="449">
        <v>197</v>
      </c>
      <c r="F79" s="449" t="s">
        <v>1801</v>
      </c>
      <c r="G79" s="450">
        <f t="shared" si="1"/>
        <v>1265108447.7342169</v>
      </c>
      <c r="H79" s="450" t="s">
        <v>2207</v>
      </c>
      <c r="I79" s="450">
        <v>7950</v>
      </c>
      <c r="J79" s="448" t="s">
        <v>1801</v>
      </c>
      <c r="K79" s="449">
        <v>3.6700000000000001E-3</v>
      </c>
      <c r="L79" s="449" t="s">
        <v>1801</v>
      </c>
      <c r="M79" s="922">
        <v>0.1500409</v>
      </c>
      <c r="N79" s="450">
        <v>7.6919699999999994E-2</v>
      </c>
      <c r="O79" s="537" t="s">
        <v>2367</v>
      </c>
      <c r="P79" s="450">
        <v>1.0900000000000001E-5</v>
      </c>
      <c r="Q79" s="537" t="s">
        <v>2367</v>
      </c>
      <c r="R79" s="543">
        <v>334.1</v>
      </c>
      <c r="S79" s="540" t="s">
        <v>414</v>
      </c>
      <c r="T79" s="543">
        <v>536.4</v>
      </c>
      <c r="U79" s="540" t="s">
        <v>2180</v>
      </c>
      <c r="V79" s="451">
        <v>6988</v>
      </c>
      <c r="W79" s="540" t="s">
        <v>2180</v>
      </c>
      <c r="X79" s="449">
        <v>31.82</v>
      </c>
      <c r="Y79" s="455" t="s">
        <v>414</v>
      </c>
      <c r="Z79" s="455">
        <v>2.3E-5</v>
      </c>
      <c r="AA79" s="455" t="s">
        <v>280</v>
      </c>
      <c r="AB79" s="455">
        <v>9.8000000000000004E-2</v>
      </c>
      <c r="AC79" s="455" t="s">
        <v>18</v>
      </c>
      <c r="AD79" s="452" t="s">
        <v>1731</v>
      </c>
      <c r="AE79" s="484" t="s">
        <v>1731</v>
      </c>
      <c r="AF79" s="484" t="s">
        <v>2512</v>
      </c>
      <c r="AG79" s="452"/>
      <c r="AH79" s="550"/>
    </row>
    <row r="80" spans="1:34" s="439" customFormat="1" ht="15">
      <c r="A80" s="453" t="s">
        <v>578</v>
      </c>
      <c r="B80" s="447" t="s">
        <v>579</v>
      </c>
      <c r="C80" s="448">
        <v>50.488</v>
      </c>
      <c r="D80" s="448" t="s">
        <v>1801</v>
      </c>
      <c r="E80" s="449">
        <v>4300</v>
      </c>
      <c r="F80" s="449" t="s">
        <v>1801</v>
      </c>
      <c r="G80" s="450">
        <f t="shared" si="1"/>
        <v>11678486895.898781</v>
      </c>
      <c r="H80" s="450" t="s">
        <v>2207</v>
      </c>
      <c r="I80" s="450">
        <v>5320</v>
      </c>
      <c r="J80" s="448" t="s">
        <v>1801</v>
      </c>
      <c r="K80" s="449">
        <v>8.8199999999999997E-3</v>
      </c>
      <c r="L80" s="449" t="s">
        <v>1801</v>
      </c>
      <c r="M80" s="922">
        <v>0.36058869999999998</v>
      </c>
      <c r="N80" s="450">
        <v>0.12396509999999999</v>
      </c>
      <c r="O80" s="537" t="s">
        <v>2367</v>
      </c>
      <c r="P80" s="450">
        <v>1.36E-5</v>
      </c>
      <c r="Q80" s="537" t="s">
        <v>2367</v>
      </c>
      <c r="R80" s="543">
        <v>249</v>
      </c>
      <c r="S80" s="540" t="s">
        <v>414</v>
      </c>
      <c r="T80" s="543">
        <v>416.25</v>
      </c>
      <c r="U80" s="540" t="s">
        <v>2181</v>
      </c>
      <c r="V80" s="451">
        <v>5114.6000000000004</v>
      </c>
      <c r="W80" s="540" t="s">
        <v>2181</v>
      </c>
      <c r="X80" s="449">
        <v>13.22</v>
      </c>
      <c r="Y80" s="455" t="s">
        <v>414</v>
      </c>
      <c r="Z80" s="455" t="s">
        <v>2203</v>
      </c>
      <c r="AA80" s="455" t="s">
        <v>43</v>
      </c>
      <c r="AB80" s="455">
        <v>0.09</v>
      </c>
      <c r="AC80" s="455" t="s">
        <v>280</v>
      </c>
      <c r="AD80" s="452" t="s">
        <v>1731</v>
      </c>
      <c r="AE80" s="484" t="s">
        <v>1731</v>
      </c>
      <c r="AF80" s="484" t="s">
        <v>2512</v>
      </c>
      <c r="AG80" s="452" t="s">
        <v>2032</v>
      </c>
      <c r="AH80" s="550"/>
    </row>
    <row r="81" spans="1:34" s="439" customFormat="1" ht="15">
      <c r="A81" s="453" t="s">
        <v>580</v>
      </c>
      <c r="B81" s="447" t="s">
        <v>581</v>
      </c>
      <c r="C81" s="448">
        <v>80.515000000000001</v>
      </c>
      <c r="D81" s="448" t="s">
        <v>1801</v>
      </c>
      <c r="E81" s="449">
        <v>30</v>
      </c>
      <c r="F81" s="449" t="s">
        <v>1801</v>
      </c>
      <c r="G81" s="450">
        <f t="shared" si="1"/>
        <v>129935555.36428969</v>
      </c>
      <c r="H81" s="450" t="s">
        <v>2207</v>
      </c>
      <c r="I81" s="450">
        <v>69440</v>
      </c>
      <c r="J81" s="448" t="s">
        <v>1801</v>
      </c>
      <c r="K81" s="449">
        <v>3.0400000000000002E-4</v>
      </c>
      <c r="L81" s="449" t="s">
        <v>1801</v>
      </c>
      <c r="M81" s="922">
        <v>1.24285E-2</v>
      </c>
      <c r="N81" s="450">
        <v>9.4968300000000005E-2</v>
      </c>
      <c r="O81" s="537" t="s">
        <v>2367</v>
      </c>
      <c r="P81" s="450">
        <v>1.13E-5</v>
      </c>
      <c r="Q81" s="537" t="s">
        <v>2367</v>
      </c>
      <c r="R81" s="543">
        <v>332.5</v>
      </c>
      <c r="S81" s="540" t="s">
        <v>2173</v>
      </c>
      <c r="T81" s="543">
        <v>498.75</v>
      </c>
      <c r="U81" s="540" t="s">
        <v>2182</v>
      </c>
      <c r="V81" s="451" t="s">
        <v>2024</v>
      </c>
      <c r="W81" s="540"/>
      <c r="X81" s="449">
        <v>5.3220000000000001</v>
      </c>
      <c r="Y81" s="455" t="s">
        <v>414</v>
      </c>
      <c r="Z81" s="455">
        <v>6.8999999999999997E-4</v>
      </c>
      <c r="AA81" s="455" t="s">
        <v>2507</v>
      </c>
      <c r="AB81" s="455" t="s">
        <v>2203</v>
      </c>
      <c r="AC81" s="455" t="s">
        <v>43</v>
      </c>
      <c r="AD81" s="452" t="s">
        <v>1731</v>
      </c>
      <c r="AE81" s="484" t="s">
        <v>1731</v>
      </c>
      <c r="AF81" s="484" t="s">
        <v>2512</v>
      </c>
      <c r="AG81" s="452"/>
      <c r="AH81" s="550"/>
    </row>
    <row r="82" spans="1:34" s="439" customFormat="1" ht="15">
      <c r="A82" s="453" t="s">
        <v>2151</v>
      </c>
      <c r="B82" s="447" t="s">
        <v>582</v>
      </c>
      <c r="C82" s="448">
        <v>162.62</v>
      </c>
      <c r="D82" s="448" t="s">
        <v>1801</v>
      </c>
      <c r="E82" s="449">
        <v>1.2200000000000001E-2</v>
      </c>
      <c r="F82" s="449" t="s">
        <v>414</v>
      </c>
      <c r="G82" s="450">
        <f t="shared" si="1"/>
        <v>106724.40504368035</v>
      </c>
      <c r="H82" s="450" t="s">
        <v>2207</v>
      </c>
      <c r="I82" s="450">
        <v>11.7</v>
      </c>
      <c r="J82" s="448" t="s">
        <v>1801</v>
      </c>
      <c r="K82" s="449">
        <v>3.2000000000000003E-4</v>
      </c>
      <c r="L82" s="449" t="s">
        <v>1801</v>
      </c>
      <c r="M82" s="922">
        <v>1.30826E-2</v>
      </c>
      <c r="N82" s="450">
        <v>4.4691399999999999E-2</v>
      </c>
      <c r="O82" s="537" t="s">
        <v>2367</v>
      </c>
      <c r="P82" s="450">
        <v>7.7301000000000007E-6</v>
      </c>
      <c r="Q82" s="537" t="s">
        <v>2367</v>
      </c>
      <c r="R82" s="543">
        <v>529</v>
      </c>
      <c r="S82" s="540" t="s">
        <v>414</v>
      </c>
      <c r="T82" s="543">
        <v>793.5</v>
      </c>
      <c r="U82" s="540" t="s">
        <v>2182</v>
      </c>
      <c r="V82" s="451">
        <v>11311.936</v>
      </c>
      <c r="W82" s="540" t="s">
        <v>2186</v>
      </c>
      <c r="X82" s="449">
        <v>2478</v>
      </c>
      <c r="Y82" s="455" t="s">
        <v>414</v>
      </c>
      <c r="Z82" s="455" t="s">
        <v>2203</v>
      </c>
      <c r="AA82" s="455" t="s">
        <v>43</v>
      </c>
      <c r="AB82" s="455" t="s">
        <v>2203</v>
      </c>
      <c r="AC82" s="455" t="s">
        <v>43</v>
      </c>
      <c r="AD82" s="452" t="s">
        <v>1731</v>
      </c>
      <c r="AE82" s="484" t="s">
        <v>1731</v>
      </c>
      <c r="AF82" s="484" t="s">
        <v>2512</v>
      </c>
      <c r="AG82" s="452"/>
      <c r="AH82" s="550"/>
    </row>
    <row r="83" spans="1:34" s="439" customFormat="1" ht="15">
      <c r="A83" s="453" t="s">
        <v>168</v>
      </c>
      <c r="B83" s="447" t="s">
        <v>587</v>
      </c>
      <c r="C83" s="448">
        <v>128.56</v>
      </c>
      <c r="D83" s="448" t="s">
        <v>1801</v>
      </c>
      <c r="E83" s="449">
        <v>2.5299999999999998</v>
      </c>
      <c r="F83" s="449" t="s">
        <v>1801</v>
      </c>
      <c r="G83" s="450">
        <f t="shared" si="1"/>
        <v>17496707.83663984</v>
      </c>
      <c r="H83" s="450" t="s">
        <v>2207</v>
      </c>
      <c r="I83" s="450">
        <v>11300</v>
      </c>
      <c r="J83" s="448" t="s">
        <v>1801</v>
      </c>
      <c r="K83" s="449">
        <v>1.1199999999999999E-5</v>
      </c>
      <c r="L83" s="449" t="s">
        <v>1801</v>
      </c>
      <c r="M83" s="922">
        <v>4.5790000000000002E-4</v>
      </c>
      <c r="N83" s="450">
        <v>6.6117499999999996E-2</v>
      </c>
      <c r="O83" s="537" t="s">
        <v>2367</v>
      </c>
      <c r="P83" s="450">
        <v>9.4784000000000006E-6</v>
      </c>
      <c r="Q83" s="537" t="s">
        <v>2367</v>
      </c>
      <c r="R83" s="543">
        <v>447.9</v>
      </c>
      <c r="S83" s="540" t="s">
        <v>414</v>
      </c>
      <c r="T83" s="543">
        <v>675</v>
      </c>
      <c r="U83" s="540" t="s">
        <v>2180</v>
      </c>
      <c r="V83" s="451">
        <v>9572</v>
      </c>
      <c r="W83" s="540" t="s">
        <v>2180</v>
      </c>
      <c r="X83" s="449">
        <v>388</v>
      </c>
      <c r="Y83" s="455" t="s">
        <v>1078</v>
      </c>
      <c r="Z83" s="455" t="s">
        <v>2203</v>
      </c>
      <c r="AA83" s="455" t="s">
        <v>43</v>
      </c>
      <c r="AB83" s="455" t="s">
        <v>2203</v>
      </c>
      <c r="AC83" s="455" t="s">
        <v>43</v>
      </c>
      <c r="AD83" s="452" t="s">
        <v>1731</v>
      </c>
      <c r="AE83" s="484" t="s">
        <v>1731</v>
      </c>
      <c r="AF83" s="484" t="s">
        <v>2512</v>
      </c>
      <c r="AG83" s="452"/>
      <c r="AH83" s="550"/>
    </row>
    <row r="84" spans="1:34" s="439" customFormat="1" ht="15">
      <c r="A84" s="453" t="s">
        <v>588</v>
      </c>
      <c r="B84" s="447" t="s">
        <v>589</v>
      </c>
      <c r="C84" s="448">
        <v>164.38</v>
      </c>
      <c r="D84" s="448" t="s">
        <v>1801</v>
      </c>
      <c r="E84" s="449">
        <v>24</v>
      </c>
      <c r="F84" s="449" t="s">
        <v>1801</v>
      </c>
      <c r="G84" s="450">
        <f t="shared" si="1"/>
        <v>212221887.50699317</v>
      </c>
      <c r="H84" s="450" t="s">
        <v>2207</v>
      </c>
      <c r="I84" s="450">
        <v>1620</v>
      </c>
      <c r="J84" s="448" t="s">
        <v>1801</v>
      </c>
      <c r="K84" s="449">
        <v>2.0500000000000002E-3</v>
      </c>
      <c r="L84" s="449" t="s">
        <v>1801</v>
      </c>
      <c r="M84" s="922">
        <v>8.3810300000000004E-2</v>
      </c>
      <c r="N84" s="450">
        <v>5.1763700000000003E-2</v>
      </c>
      <c r="O84" s="537" t="s">
        <v>2367</v>
      </c>
      <c r="P84" s="450">
        <v>9.6198000000000006E-6</v>
      </c>
      <c r="Q84" s="537" t="s">
        <v>2367</v>
      </c>
      <c r="R84" s="543">
        <v>385</v>
      </c>
      <c r="S84" s="540" t="s">
        <v>2173</v>
      </c>
      <c r="T84" s="543">
        <v>577.5</v>
      </c>
      <c r="U84" s="540" t="s">
        <v>2182</v>
      </c>
      <c r="V84" s="451" t="s">
        <v>2024</v>
      </c>
      <c r="W84" s="540"/>
      <c r="X84" s="449">
        <v>44.19</v>
      </c>
      <c r="Y84" s="455" t="s">
        <v>414</v>
      </c>
      <c r="Z84" s="455" t="s">
        <v>2203</v>
      </c>
      <c r="AA84" s="455" t="s">
        <v>43</v>
      </c>
      <c r="AB84" s="455">
        <v>4.0000000000000002E-4</v>
      </c>
      <c r="AC84" s="455" t="s">
        <v>2507</v>
      </c>
      <c r="AD84" s="452" t="s">
        <v>1731</v>
      </c>
      <c r="AE84" s="484" t="s">
        <v>1731</v>
      </c>
      <c r="AF84" s="484" t="s">
        <v>2512</v>
      </c>
      <c r="AG84" s="452"/>
      <c r="AH84" s="550"/>
    </row>
    <row r="85" spans="1:34" s="439" customFormat="1" ht="15">
      <c r="A85" s="453" t="s">
        <v>592</v>
      </c>
      <c r="B85" s="447" t="s">
        <v>593</v>
      </c>
      <c r="C85" s="448">
        <v>126.59</v>
      </c>
      <c r="D85" s="448" t="s">
        <v>1801</v>
      </c>
      <c r="E85" s="449">
        <v>3.43</v>
      </c>
      <c r="F85" s="449" t="s">
        <v>1801</v>
      </c>
      <c r="G85" s="450">
        <f t="shared" si="1"/>
        <v>23357344.967078369</v>
      </c>
      <c r="H85" s="450" t="s">
        <v>2207</v>
      </c>
      <c r="I85" s="450">
        <v>374</v>
      </c>
      <c r="J85" s="448" t="s">
        <v>1801</v>
      </c>
      <c r="K85" s="449">
        <v>3.5699999999999998E-3</v>
      </c>
      <c r="L85" s="449" t="s">
        <v>1801</v>
      </c>
      <c r="M85" s="922">
        <v>0.14595259999999999</v>
      </c>
      <c r="N85" s="450">
        <v>6.29025E-2</v>
      </c>
      <c r="O85" s="537" t="s">
        <v>2367</v>
      </c>
      <c r="P85" s="450">
        <v>8.7193999999999999E-6</v>
      </c>
      <c r="Q85" s="537" t="s">
        <v>2367</v>
      </c>
      <c r="R85" s="543">
        <v>432</v>
      </c>
      <c r="S85" s="540" t="s">
        <v>2173</v>
      </c>
      <c r="T85" s="543">
        <v>654.1</v>
      </c>
      <c r="U85" s="540" t="s">
        <v>2174</v>
      </c>
      <c r="V85" s="451">
        <v>9950.5</v>
      </c>
      <c r="W85" s="540" t="s">
        <v>2174</v>
      </c>
      <c r="X85" s="449">
        <v>382.9</v>
      </c>
      <c r="Y85" s="455" t="s">
        <v>414</v>
      </c>
      <c r="Z85" s="455" t="s">
        <v>2203</v>
      </c>
      <c r="AA85" s="455" t="s">
        <v>43</v>
      </c>
      <c r="AB85" s="455" t="s">
        <v>2203</v>
      </c>
      <c r="AC85" s="455" t="s">
        <v>43</v>
      </c>
      <c r="AD85" s="452" t="s">
        <v>1731</v>
      </c>
      <c r="AE85" s="484" t="s">
        <v>1731</v>
      </c>
      <c r="AF85" s="484" t="s">
        <v>2512</v>
      </c>
      <c r="AG85" s="452" t="s">
        <v>2033</v>
      </c>
      <c r="AH85" s="550"/>
    </row>
    <row r="86" spans="1:34" s="439" customFormat="1" ht="15">
      <c r="A86" s="453" t="s">
        <v>594</v>
      </c>
      <c r="B86" s="447" t="s">
        <v>595</v>
      </c>
      <c r="C86" s="448">
        <v>126.59</v>
      </c>
      <c r="D86" s="448" t="s">
        <v>1801</v>
      </c>
      <c r="E86" s="449">
        <v>2.69</v>
      </c>
      <c r="F86" s="449" t="s">
        <v>1801</v>
      </c>
      <c r="G86" s="450">
        <f t="shared" ref="G86:G151" si="2">E86/760*1000000000*C86/24.46</f>
        <v>18318151.009166416</v>
      </c>
      <c r="H86" s="450" t="s">
        <v>2207</v>
      </c>
      <c r="I86" s="450">
        <v>106</v>
      </c>
      <c r="J86" s="448" t="s">
        <v>1801</v>
      </c>
      <c r="K86" s="449">
        <v>4.3800000000000002E-3</v>
      </c>
      <c r="L86" s="449" t="s">
        <v>414</v>
      </c>
      <c r="M86" s="922">
        <v>0.1790679</v>
      </c>
      <c r="N86" s="450">
        <v>6.2571000000000002E-2</v>
      </c>
      <c r="O86" s="537" t="s">
        <v>2367</v>
      </c>
      <c r="P86" s="450">
        <v>8.6573999999999995E-6</v>
      </c>
      <c r="Q86" s="537" t="s">
        <v>2367</v>
      </c>
      <c r="R86" s="543">
        <v>435.4</v>
      </c>
      <c r="S86" s="540" t="s">
        <v>2173</v>
      </c>
      <c r="T86" s="543">
        <v>658.7</v>
      </c>
      <c r="U86" s="540" t="s">
        <v>2174</v>
      </c>
      <c r="V86" s="451">
        <v>10144.98</v>
      </c>
      <c r="W86" s="540" t="s">
        <v>2174</v>
      </c>
      <c r="X86" s="449">
        <v>375.3</v>
      </c>
      <c r="Y86" s="455" t="s">
        <v>414</v>
      </c>
      <c r="Z86" s="455" t="s">
        <v>2203</v>
      </c>
      <c r="AA86" s="455" t="s">
        <v>43</v>
      </c>
      <c r="AB86" s="455" t="s">
        <v>2203</v>
      </c>
      <c r="AC86" s="455" t="s">
        <v>43</v>
      </c>
      <c r="AD86" s="452" t="s">
        <v>1731</v>
      </c>
      <c r="AE86" s="484" t="s">
        <v>1731</v>
      </c>
      <c r="AF86" s="484" t="s">
        <v>2512</v>
      </c>
      <c r="AG86" s="452"/>
      <c r="AH86" s="550"/>
    </row>
    <row r="87" spans="1:34" s="439" customFormat="1" ht="15">
      <c r="A87" s="453" t="s">
        <v>616</v>
      </c>
      <c r="B87" s="447" t="s">
        <v>617</v>
      </c>
      <c r="C87" s="448" t="s">
        <v>2499</v>
      </c>
      <c r="D87" s="448" t="s">
        <v>43</v>
      </c>
      <c r="E87" s="449">
        <v>95</v>
      </c>
      <c r="F87" s="449" t="s">
        <v>2167</v>
      </c>
      <c r="G87" s="450" t="e">
        <f t="shared" si="2"/>
        <v>#VALUE!</v>
      </c>
      <c r="H87" s="450" t="s">
        <v>2207</v>
      </c>
      <c r="I87" s="450" t="s">
        <v>2500</v>
      </c>
      <c r="J87" s="448" t="s">
        <v>43</v>
      </c>
      <c r="K87" s="449">
        <v>1.0999999999999999E-2</v>
      </c>
      <c r="L87" s="449" t="s">
        <v>2167</v>
      </c>
      <c r="M87" s="922">
        <v>0.45</v>
      </c>
      <c r="N87" s="450">
        <v>0.1039798</v>
      </c>
      <c r="O87" s="537" t="s">
        <v>2367</v>
      </c>
      <c r="P87" s="450">
        <v>1.2099999999999999E-5</v>
      </c>
      <c r="Q87" s="537" t="s">
        <v>2367</v>
      </c>
      <c r="R87" s="543">
        <v>353.15</v>
      </c>
      <c r="S87" s="540" t="s">
        <v>414</v>
      </c>
      <c r="T87" s="543">
        <v>529.72499999999991</v>
      </c>
      <c r="U87" s="540" t="s">
        <v>2184</v>
      </c>
      <c r="V87" s="451" t="s">
        <v>2024</v>
      </c>
      <c r="W87" s="540"/>
      <c r="X87" s="449">
        <v>16000</v>
      </c>
      <c r="Y87" s="455" t="s">
        <v>43</v>
      </c>
      <c r="Z87" s="455">
        <v>6.2E-4</v>
      </c>
      <c r="AA87" s="455" t="s">
        <v>280</v>
      </c>
      <c r="AB87" s="455" t="s">
        <v>2203</v>
      </c>
      <c r="AC87" s="455" t="s">
        <v>43</v>
      </c>
      <c r="AD87" s="452" t="s">
        <v>2513</v>
      </c>
      <c r="AE87" s="484" t="s">
        <v>1731</v>
      </c>
      <c r="AF87" s="484" t="s">
        <v>2512</v>
      </c>
      <c r="AG87" s="452"/>
      <c r="AH87" s="550"/>
    </row>
    <row r="88" spans="1:34" s="439" customFormat="1" ht="15">
      <c r="A88" s="453" t="s">
        <v>630</v>
      </c>
      <c r="B88" s="447" t="s">
        <v>631</v>
      </c>
      <c r="C88" s="448">
        <v>70.091999999999999</v>
      </c>
      <c r="D88" s="448" t="s">
        <v>1801</v>
      </c>
      <c r="E88" s="449">
        <v>30</v>
      </c>
      <c r="F88" s="449" t="s">
        <v>1801</v>
      </c>
      <c r="G88" s="450">
        <f t="shared" si="2"/>
        <v>113114859.92167662</v>
      </c>
      <c r="H88" s="450" t="s">
        <v>2207</v>
      </c>
      <c r="I88" s="450">
        <v>150000</v>
      </c>
      <c r="J88" s="448" t="s">
        <v>1801</v>
      </c>
      <c r="K88" s="449">
        <v>1.9400000000000001E-5</v>
      </c>
      <c r="L88" s="449" t="s">
        <v>1801</v>
      </c>
      <c r="M88" s="922">
        <v>7.9310000000000003E-4</v>
      </c>
      <c r="N88" s="450">
        <v>9.5923499999999995E-2</v>
      </c>
      <c r="O88" s="537" t="s">
        <v>2367</v>
      </c>
      <c r="P88" s="450">
        <v>1.08E-5</v>
      </c>
      <c r="Q88" s="537" t="s">
        <v>2367</v>
      </c>
      <c r="R88" s="543">
        <v>377</v>
      </c>
      <c r="S88" s="540" t="s">
        <v>414</v>
      </c>
      <c r="T88" s="543">
        <v>568</v>
      </c>
      <c r="U88" s="540" t="s">
        <v>2185</v>
      </c>
      <c r="V88" s="451">
        <v>8.6199999999999992</v>
      </c>
      <c r="W88" s="540" t="s">
        <v>2189</v>
      </c>
      <c r="X88" s="449">
        <v>1.7929999999999999</v>
      </c>
      <c r="Y88" s="455" t="s">
        <v>414</v>
      </c>
      <c r="Z88" s="455" t="s">
        <v>2203</v>
      </c>
      <c r="AA88" s="455" t="s">
        <v>43</v>
      </c>
      <c r="AB88" s="455" t="s">
        <v>2203</v>
      </c>
      <c r="AC88" s="455" t="s">
        <v>43</v>
      </c>
      <c r="AD88" s="452" t="s">
        <v>1731</v>
      </c>
      <c r="AE88" s="484" t="s">
        <v>1731</v>
      </c>
      <c r="AF88" s="484" t="s">
        <v>2512</v>
      </c>
      <c r="AG88" s="452"/>
      <c r="AH88" s="550"/>
    </row>
    <row r="89" spans="1:34" s="439" customFormat="1" ht="15">
      <c r="A89" s="453" t="s">
        <v>81</v>
      </c>
      <c r="B89" s="447" t="s">
        <v>632</v>
      </c>
      <c r="C89" s="448">
        <v>120.2</v>
      </c>
      <c r="D89" s="448" t="s">
        <v>1801</v>
      </c>
      <c r="E89" s="449">
        <v>4.5</v>
      </c>
      <c r="F89" s="449" t="s">
        <v>1801</v>
      </c>
      <c r="G89" s="450">
        <f t="shared" si="2"/>
        <v>29096914.403752636</v>
      </c>
      <c r="H89" s="450" t="s">
        <v>2207</v>
      </c>
      <c r="I89" s="450">
        <v>61.3</v>
      </c>
      <c r="J89" s="448" t="s">
        <v>1801</v>
      </c>
      <c r="K89" s="449">
        <v>1.15E-2</v>
      </c>
      <c r="L89" s="449" t="s">
        <v>1801</v>
      </c>
      <c r="M89" s="922">
        <v>0.4701554</v>
      </c>
      <c r="N89" s="450">
        <v>6.0304400000000001E-2</v>
      </c>
      <c r="O89" s="537" t="s">
        <v>2367</v>
      </c>
      <c r="P89" s="450">
        <v>7.8566000000000003E-6</v>
      </c>
      <c r="Q89" s="537" t="s">
        <v>2367</v>
      </c>
      <c r="R89" s="543">
        <v>425.4</v>
      </c>
      <c r="S89" s="540" t="s">
        <v>414</v>
      </c>
      <c r="T89" s="543">
        <v>631.1</v>
      </c>
      <c r="U89" s="540" t="s">
        <v>2181</v>
      </c>
      <c r="V89" s="451">
        <v>10335.299999999999</v>
      </c>
      <c r="W89" s="540" t="s">
        <v>2179</v>
      </c>
      <c r="X89" s="449">
        <v>697.8</v>
      </c>
      <c r="Y89" s="455" t="s">
        <v>414</v>
      </c>
      <c r="Z89" s="455" t="s">
        <v>2203</v>
      </c>
      <c r="AA89" s="455" t="s">
        <v>43</v>
      </c>
      <c r="AB89" s="455">
        <v>0.4</v>
      </c>
      <c r="AC89" s="455" t="s">
        <v>280</v>
      </c>
      <c r="AD89" s="452" t="s">
        <v>1731</v>
      </c>
      <c r="AE89" s="484" t="s">
        <v>1731</v>
      </c>
      <c r="AF89" s="484" t="s">
        <v>2512</v>
      </c>
      <c r="AG89" s="452"/>
      <c r="AH89" s="550"/>
    </row>
    <row r="90" spans="1:34" s="439" customFormat="1" ht="15">
      <c r="A90" s="453" t="s">
        <v>2065</v>
      </c>
      <c r="B90" s="447" t="s">
        <v>643</v>
      </c>
      <c r="C90" s="448">
        <v>26.018000000000001</v>
      </c>
      <c r="D90" s="448" t="s">
        <v>1801</v>
      </c>
      <c r="E90" s="449">
        <v>308</v>
      </c>
      <c r="F90" s="449" t="s">
        <v>1801</v>
      </c>
      <c r="G90" s="450">
        <f t="shared" si="2"/>
        <v>431076731.07543999</v>
      </c>
      <c r="H90" s="450" t="s">
        <v>2207</v>
      </c>
      <c r="I90" s="450">
        <v>95400</v>
      </c>
      <c r="J90" s="448" t="s">
        <v>1801</v>
      </c>
      <c r="K90" s="449">
        <v>1.01E-4</v>
      </c>
      <c r="L90" s="449" t="s">
        <v>2368</v>
      </c>
      <c r="M90" s="922">
        <v>4.15E-3</v>
      </c>
      <c r="N90" s="450">
        <v>0.2109549</v>
      </c>
      <c r="O90" s="537" t="s">
        <v>2367</v>
      </c>
      <c r="P90" s="450">
        <v>2.4600000000000002E-5</v>
      </c>
      <c r="Q90" s="537" t="s">
        <v>2367</v>
      </c>
      <c r="R90" s="543" t="s">
        <v>2034</v>
      </c>
      <c r="S90" s="540"/>
      <c r="T90" s="543" t="s">
        <v>2035</v>
      </c>
      <c r="U90" s="540"/>
      <c r="V90" s="451" t="s">
        <v>2024</v>
      </c>
      <c r="W90" s="540"/>
      <c r="X90" s="449" t="s">
        <v>1750</v>
      </c>
      <c r="Y90" s="455" t="s">
        <v>43</v>
      </c>
      <c r="Z90" s="455" t="s">
        <v>2203</v>
      </c>
      <c r="AA90" s="455" t="s">
        <v>43</v>
      </c>
      <c r="AB90" s="455">
        <v>8.0000000000000004E-4</v>
      </c>
      <c r="AC90" s="455" t="s">
        <v>14</v>
      </c>
      <c r="AD90" s="452" t="s">
        <v>1731</v>
      </c>
      <c r="AE90" s="484" t="s">
        <v>1731</v>
      </c>
      <c r="AF90" s="484" t="s">
        <v>2512</v>
      </c>
      <c r="AG90" s="452"/>
      <c r="AH90" s="550"/>
    </row>
    <row r="91" spans="1:34" s="439" customFormat="1" ht="15">
      <c r="A91" s="453" t="s">
        <v>2152</v>
      </c>
      <c r="B91" s="447" t="s">
        <v>645</v>
      </c>
      <c r="C91" s="448">
        <v>52.036000000000001</v>
      </c>
      <c r="D91" s="448" t="s">
        <v>1801</v>
      </c>
      <c r="E91" s="449">
        <v>4302</v>
      </c>
      <c r="F91" s="449" t="s">
        <v>1801</v>
      </c>
      <c r="G91" s="450">
        <f t="shared" si="2"/>
        <v>12042156474.587942</v>
      </c>
      <c r="H91" s="450" t="s">
        <v>2207</v>
      </c>
      <c r="I91" s="450">
        <v>8000</v>
      </c>
      <c r="J91" s="448" t="s">
        <v>1796</v>
      </c>
      <c r="K91" s="449">
        <v>5.4000000000000003E-3</v>
      </c>
      <c r="L91" s="449" t="s">
        <v>414</v>
      </c>
      <c r="M91" s="922">
        <v>0.22076860000000001</v>
      </c>
      <c r="N91" s="450">
        <v>0.1237533</v>
      </c>
      <c r="O91" s="537" t="s">
        <v>2367</v>
      </c>
      <c r="P91" s="450">
        <v>1.38E-5</v>
      </c>
      <c r="Q91" s="537" t="s">
        <v>2367</v>
      </c>
      <c r="R91" s="543">
        <v>251.9</v>
      </c>
      <c r="S91" s="540" t="s">
        <v>2173</v>
      </c>
      <c r="T91" s="543">
        <v>401.3</v>
      </c>
      <c r="U91" s="540" t="s">
        <v>2174</v>
      </c>
      <c r="V91" s="451">
        <v>5778</v>
      </c>
      <c r="W91" s="540" t="s">
        <v>2179</v>
      </c>
      <c r="X91" s="449" t="s">
        <v>1750</v>
      </c>
      <c r="Y91" s="455" t="s">
        <v>43</v>
      </c>
      <c r="Z91" s="455" t="s">
        <v>2203</v>
      </c>
      <c r="AA91" s="455" t="s">
        <v>43</v>
      </c>
      <c r="AB91" s="455" t="s">
        <v>2203</v>
      </c>
      <c r="AC91" s="455" t="s">
        <v>43</v>
      </c>
      <c r="AD91" s="452" t="s">
        <v>1731</v>
      </c>
      <c r="AE91" s="484" t="s">
        <v>1731</v>
      </c>
      <c r="AF91" s="484" t="s">
        <v>2512</v>
      </c>
      <c r="AG91" s="452"/>
      <c r="AH91" s="550"/>
    </row>
    <row r="92" spans="1:34" s="439" customFormat="1" ht="15">
      <c r="A92" s="453" t="s">
        <v>2156</v>
      </c>
      <c r="B92" s="447" t="s">
        <v>647</v>
      </c>
      <c r="C92" s="448">
        <v>105.93</v>
      </c>
      <c r="D92" s="448" t="s">
        <v>1801</v>
      </c>
      <c r="E92" s="449">
        <v>121.56</v>
      </c>
      <c r="F92" s="449" t="s">
        <v>1801</v>
      </c>
      <c r="G92" s="450">
        <f t="shared" si="2"/>
        <v>692691117.61414981</v>
      </c>
      <c r="H92" s="450" t="s">
        <v>2207</v>
      </c>
      <c r="I92" s="450" t="s">
        <v>2500</v>
      </c>
      <c r="J92" s="448" t="s">
        <v>43</v>
      </c>
      <c r="K92" s="449">
        <v>2.4500000000000001E-2</v>
      </c>
      <c r="L92" s="449" t="s">
        <v>414</v>
      </c>
      <c r="M92" s="922">
        <v>1</v>
      </c>
      <c r="N92" s="450">
        <v>9.8406499999999994E-2</v>
      </c>
      <c r="O92" s="537" t="s">
        <v>2367</v>
      </c>
      <c r="P92" s="450">
        <v>1.4100000000000001E-5</v>
      </c>
      <c r="Q92" s="537" t="s">
        <v>2367</v>
      </c>
      <c r="R92" s="543">
        <v>334.5</v>
      </c>
      <c r="S92" s="540" t="s">
        <v>2173</v>
      </c>
      <c r="T92" s="543">
        <v>501.75</v>
      </c>
      <c r="U92" s="540" t="s">
        <v>2182</v>
      </c>
      <c r="V92" s="451">
        <v>8077.77</v>
      </c>
      <c r="W92" s="540" t="s">
        <v>2174</v>
      </c>
      <c r="X92" s="449" t="s">
        <v>1750</v>
      </c>
      <c r="Y92" s="455" t="s">
        <v>43</v>
      </c>
      <c r="Z92" s="455" t="s">
        <v>2203</v>
      </c>
      <c r="AA92" s="455" t="s">
        <v>43</v>
      </c>
      <c r="AB92" s="455" t="s">
        <v>2203</v>
      </c>
      <c r="AC92" s="455" t="s">
        <v>43</v>
      </c>
      <c r="AD92" s="452" t="s">
        <v>1731</v>
      </c>
      <c r="AE92" s="484" t="s">
        <v>1731</v>
      </c>
      <c r="AF92" s="484" t="s">
        <v>2512</v>
      </c>
      <c r="AG92" s="452"/>
      <c r="AH92" s="550"/>
    </row>
    <row r="93" spans="1:34" s="439" customFormat="1" ht="15">
      <c r="A93" s="453" t="s">
        <v>2153</v>
      </c>
      <c r="B93" s="447" t="s">
        <v>649</v>
      </c>
      <c r="C93" s="448">
        <v>61.470999999999997</v>
      </c>
      <c r="D93" s="448" t="s">
        <v>1801</v>
      </c>
      <c r="E93" s="449">
        <v>1225</v>
      </c>
      <c r="F93" s="449" t="s">
        <v>1801</v>
      </c>
      <c r="G93" s="450">
        <f t="shared" si="2"/>
        <v>4050758219.6496968</v>
      </c>
      <c r="H93" s="450" t="s">
        <v>2207</v>
      </c>
      <c r="I93" s="450">
        <v>60000</v>
      </c>
      <c r="J93" s="448" t="s">
        <v>1801</v>
      </c>
      <c r="K93" s="449">
        <v>1.9411999999999999E-3</v>
      </c>
      <c r="L93" s="449" t="s">
        <v>1816</v>
      </c>
      <c r="M93" s="922">
        <v>7.87186E-2</v>
      </c>
      <c r="N93" s="450">
        <v>0.1207454</v>
      </c>
      <c r="O93" s="537" t="s">
        <v>2367</v>
      </c>
      <c r="P93" s="450">
        <v>1.42E-5</v>
      </c>
      <c r="Q93" s="537" t="s">
        <v>2367</v>
      </c>
      <c r="R93" s="543">
        <v>286</v>
      </c>
      <c r="S93" s="540" t="s">
        <v>2173</v>
      </c>
      <c r="T93" s="543">
        <v>429</v>
      </c>
      <c r="U93" s="540" t="s">
        <v>2182</v>
      </c>
      <c r="V93" s="451">
        <v>6389.13</v>
      </c>
      <c r="W93" s="540" t="s">
        <v>2174</v>
      </c>
      <c r="X93" s="449" t="s">
        <v>1750</v>
      </c>
      <c r="Y93" s="455" t="s">
        <v>43</v>
      </c>
      <c r="Z93" s="455" t="s">
        <v>2203</v>
      </c>
      <c r="AA93" s="455" t="s">
        <v>43</v>
      </c>
      <c r="AB93" s="455" t="s">
        <v>2203</v>
      </c>
      <c r="AC93" s="455" t="s">
        <v>43</v>
      </c>
      <c r="AD93" s="452" t="s">
        <v>1731</v>
      </c>
      <c r="AE93" s="484" t="s">
        <v>1731</v>
      </c>
      <c r="AF93" s="484" t="s">
        <v>2512</v>
      </c>
      <c r="AG93" s="452"/>
      <c r="AH93" s="550"/>
    </row>
    <row r="94" spans="1:34" s="439" customFormat="1" ht="15">
      <c r="A94" s="453" t="s">
        <v>663</v>
      </c>
      <c r="B94" s="447" t="s">
        <v>664</v>
      </c>
      <c r="C94" s="448">
        <v>84.162999999999997</v>
      </c>
      <c r="D94" s="448" t="s">
        <v>1801</v>
      </c>
      <c r="E94" s="449">
        <v>96.86</v>
      </c>
      <c r="F94" s="449" t="s">
        <v>1801</v>
      </c>
      <c r="G94" s="450">
        <f t="shared" si="2"/>
        <v>438526282.43749195</v>
      </c>
      <c r="H94" s="450" t="s">
        <v>2207</v>
      </c>
      <c r="I94" s="450">
        <v>55</v>
      </c>
      <c r="J94" s="448" t="s">
        <v>1801</v>
      </c>
      <c r="K94" s="449">
        <v>0.15</v>
      </c>
      <c r="L94" s="449" t="s">
        <v>1801</v>
      </c>
      <c r="M94" s="922">
        <v>6.1324611999999998</v>
      </c>
      <c r="N94" s="450">
        <v>7.99729E-2</v>
      </c>
      <c r="O94" s="537" t="s">
        <v>2367</v>
      </c>
      <c r="P94" s="450">
        <v>9.1076999999999992E-6</v>
      </c>
      <c r="Q94" s="537" t="s">
        <v>2367</v>
      </c>
      <c r="R94" s="543">
        <v>353.7</v>
      </c>
      <c r="S94" s="540" t="s">
        <v>2173</v>
      </c>
      <c r="T94" s="543">
        <v>553.4</v>
      </c>
      <c r="U94" s="540" t="s">
        <v>2174</v>
      </c>
      <c r="V94" s="451">
        <v>7153.6</v>
      </c>
      <c r="W94" s="540" t="s">
        <v>2174</v>
      </c>
      <c r="X94" s="449">
        <v>145.80000000000001</v>
      </c>
      <c r="Y94" s="455" t="s">
        <v>414</v>
      </c>
      <c r="Z94" s="455" t="s">
        <v>2203</v>
      </c>
      <c r="AA94" s="455" t="s">
        <v>43</v>
      </c>
      <c r="AB94" s="455">
        <v>6</v>
      </c>
      <c r="AC94" s="455" t="s">
        <v>280</v>
      </c>
      <c r="AD94" s="452" t="s">
        <v>1731</v>
      </c>
      <c r="AE94" s="484" t="s">
        <v>2513</v>
      </c>
      <c r="AF94" s="484" t="s">
        <v>2514</v>
      </c>
      <c r="AG94" s="452"/>
      <c r="AH94" s="550"/>
    </row>
    <row r="95" spans="1:34" s="439" customFormat="1" ht="15">
      <c r="A95" s="453" t="s">
        <v>667</v>
      </c>
      <c r="B95" s="447" t="s">
        <v>668</v>
      </c>
      <c r="C95" s="448">
        <v>98.146000000000001</v>
      </c>
      <c r="D95" s="448" t="s">
        <v>1801</v>
      </c>
      <c r="E95" s="449">
        <v>4.33</v>
      </c>
      <c r="F95" s="449" t="s">
        <v>1801</v>
      </c>
      <c r="G95" s="450">
        <f t="shared" si="2"/>
        <v>22860749.020957954</v>
      </c>
      <c r="H95" s="450" t="s">
        <v>2207</v>
      </c>
      <c r="I95" s="450">
        <v>25000</v>
      </c>
      <c r="J95" s="448" t="s">
        <v>1801</v>
      </c>
      <c r="K95" s="449">
        <v>9.0000000000000002E-6</v>
      </c>
      <c r="L95" s="449" t="s">
        <v>1801</v>
      </c>
      <c r="M95" s="922">
        <v>3.679E-4</v>
      </c>
      <c r="N95" s="450">
        <v>7.6759900000000006E-2</v>
      </c>
      <c r="O95" s="537" t="s">
        <v>2367</v>
      </c>
      <c r="P95" s="450">
        <v>9.3795000000000006E-6</v>
      </c>
      <c r="Q95" s="537" t="s">
        <v>2367</v>
      </c>
      <c r="R95" s="543">
        <v>428.54999999999995</v>
      </c>
      <c r="S95" s="540" t="s">
        <v>414</v>
      </c>
      <c r="T95" s="543">
        <v>629</v>
      </c>
      <c r="U95" s="540" t="s">
        <v>2179</v>
      </c>
      <c r="V95" s="451">
        <v>10762.40076</v>
      </c>
      <c r="W95" s="540" t="s">
        <v>2174</v>
      </c>
      <c r="X95" s="449">
        <v>17.38</v>
      </c>
      <c r="Y95" s="455" t="s">
        <v>414</v>
      </c>
      <c r="Z95" s="455" t="s">
        <v>2203</v>
      </c>
      <c r="AA95" s="455" t="s">
        <v>43</v>
      </c>
      <c r="AB95" s="455">
        <v>0.7</v>
      </c>
      <c r="AC95" s="455" t="s">
        <v>281</v>
      </c>
      <c r="AD95" s="452" t="s">
        <v>1731</v>
      </c>
      <c r="AE95" s="484" t="s">
        <v>1731</v>
      </c>
      <c r="AF95" s="484" t="s">
        <v>2512</v>
      </c>
      <c r="AG95" s="452"/>
      <c r="AH95" s="550"/>
    </row>
    <row r="96" spans="1:34" s="439" customFormat="1" ht="15">
      <c r="A96" s="453" t="s">
        <v>1817</v>
      </c>
      <c r="B96" s="447" t="s">
        <v>1818</v>
      </c>
      <c r="C96" s="448">
        <v>82.147000000000006</v>
      </c>
      <c r="D96" s="448" t="s">
        <v>1801</v>
      </c>
      <c r="E96" s="449">
        <v>89</v>
      </c>
      <c r="F96" s="449" t="s">
        <v>1801</v>
      </c>
      <c r="G96" s="450">
        <f t="shared" si="2"/>
        <v>393288881.95550203</v>
      </c>
      <c r="H96" s="450" t="s">
        <v>2207</v>
      </c>
      <c r="I96" s="450">
        <v>213</v>
      </c>
      <c r="J96" s="448" t="s">
        <v>1801</v>
      </c>
      <c r="K96" s="449">
        <v>4.5499999999999999E-2</v>
      </c>
      <c r="L96" s="449" t="s">
        <v>1801</v>
      </c>
      <c r="M96" s="922">
        <v>1.8601799000000001</v>
      </c>
      <c r="N96" s="450">
        <v>8.31876E-2</v>
      </c>
      <c r="O96" s="537" t="s">
        <v>2367</v>
      </c>
      <c r="P96" s="450">
        <v>9.4975000000000001E-6</v>
      </c>
      <c r="Q96" s="537" t="s">
        <v>2367</v>
      </c>
      <c r="R96" s="543">
        <v>356.15</v>
      </c>
      <c r="S96" s="540" t="s">
        <v>2179</v>
      </c>
      <c r="T96" s="543">
        <v>560.54999999999995</v>
      </c>
      <c r="U96" s="540" t="s">
        <v>2179</v>
      </c>
      <c r="V96" s="451">
        <v>7279.94</v>
      </c>
      <c r="W96" s="540" t="s">
        <v>2174</v>
      </c>
      <c r="X96" s="449">
        <v>145.80000000000001</v>
      </c>
      <c r="Y96" s="455" t="s">
        <v>414</v>
      </c>
      <c r="Z96" s="455" t="s">
        <v>2203</v>
      </c>
      <c r="AA96" s="455" t="s">
        <v>43</v>
      </c>
      <c r="AB96" s="455">
        <v>1</v>
      </c>
      <c r="AC96" s="455" t="s">
        <v>0</v>
      </c>
      <c r="AD96" s="452" t="s">
        <v>1731</v>
      </c>
      <c r="AE96" s="484" t="s">
        <v>2513</v>
      </c>
      <c r="AF96" s="484" t="s">
        <v>2514</v>
      </c>
      <c r="AG96" s="452"/>
      <c r="AH96" s="550"/>
    </row>
    <row r="97" spans="1:34" s="439" customFormat="1" ht="15">
      <c r="A97" s="453" t="s">
        <v>669</v>
      </c>
      <c r="B97" s="453" t="s">
        <v>670</v>
      </c>
      <c r="C97" s="448">
        <v>99.177000000000007</v>
      </c>
      <c r="D97" s="448" t="s">
        <v>1801</v>
      </c>
      <c r="E97" s="449">
        <v>10.1</v>
      </c>
      <c r="F97" s="449" t="s">
        <v>1801</v>
      </c>
      <c r="G97" s="450">
        <f t="shared" si="2"/>
        <v>53884306.278779529</v>
      </c>
      <c r="H97" s="450" t="s">
        <v>2207</v>
      </c>
      <c r="I97" s="450">
        <v>1000000</v>
      </c>
      <c r="J97" s="448" t="s">
        <v>1801</v>
      </c>
      <c r="K97" s="449">
        <v>4.16E-6</v>
      </c>
      <c r="L97" s="449" t="s">
        <v>1801</v>
      </c>
      <c r="M97" s="922">
        <v>1.7009999999999999E-4</v>
      </c>
      <c r="N97" s="450">
        <v>7.1294499999999997E-2</v>
      </c>
      <c r="O97" s="537" t="s">
        <v>2367</v>
      </c>
      <c r="P97" s="450">
        <v>8.5393999999999999E-6</v>
      </c>
      <c r="Q97" s="537" t="s">
        <v>2367</v>
      </c>
      <c r="R97" s="543">
        <v>407.15</v>
      </c>
      <c r="S97" s="540" t="s">
        <v>414</v>
      </c>
      <c r="T97" s="543">
        <v>610.72499999999991</v>
      </c>
      <c r="U97" s="540" t="s">
        <v>2182</v>
      </c>
      <c r="V97" s="451">
        <v>10444.549999999999</v>
      </c>
      <c r="W97" s="540" t="s">
        <v>2178</v>
      </c>
      <c r="X97" s="449">
        <v>32.17</v>
      </c>
      <c r="Y97" s="455" t="s">
        <v>414</v>
      </c>
      <c r="Z97" s="455" t="s">
        <v>2203</v>
      </c>
      <c r="AA97" s="455" t="s">
        <v>43</v>
      </c>
      <c r="AB97" s="455" t="s">
        <v>2203</v>
      </c>
      <c r="AC97" s="455" t="s">
        <v>43</v>
      </c>
      <c r="AD97" s="452" t="s">
        <v>1731</v>
      </c>
      <c r="AE97" s="484" t="s">
        <v>1731</v>
      </c>
      <c r="AF97" s="484" t="s">
        <v>2512</v>
      </c>
      <c r="AG97" s="452"/>
      <c r="AH97" s="550"/>
    </row>
    <row r="98" spans="1:34" s="439" customFormat="1" ht="15">
      <c r="A98" s="453" t="s">
        <v>678</v>
      </c>
      <c r="B98" s="447" t="s">
        <v>679</v>
      </c>
      <c r="C98" s="448">
        <v>318.02999999999997</v>
      </c>
      <c r="D98" s="448" t="s">
        <v>1801</v>
      </c>
      <c r="E98" s="449">
        <v>6.0000000000000002E-6</v>
      </c>
      <c r="F98" s="449" t="s">
        <v>414</v>
      </c>
      <c r="G98" s="450">
        <f t="shared" si="2"/>
        <v>102.64771700305546</v>
      </c>
      <c r="H98" s="450" t="s">
        <v>2207</v>
      </c>
      <c r="I98" s="450">
        <v>0.04</v>
      </c>
      <c r="J98" s="448" t="s">
        <v>1801</v>
      </c>
      <c r="K98" s="449">
        <v>4.1600000000000002E-5</v>
      </c>
      <c r="L98" s="449" t="s">
        <v>1801</v>
      </c>
      <c r="M98" s="922">
        <v>1.7007000000000001E-3</v>
      </c>
      <c r="N98" s="450">
        <v>2.29959E-2</v>
      </c>
      <c r="O98" s="537" t="s">
        <v>2367</v>
      </c>
      <c r="P98" s="450">
        <v>5.8591999999999997E-6</v>
      </c>
      <c r="Q98" s="537" t="s">
        <v>2367</v>
      </c>
      <c r="R98" s="543">
        <v>609.15</v>
      </c>
      <c r="S98" s="540" t="s">
        <v>414</v>
      </c>
      <c r="T98" s="543">
        <v>913.72499999999991</v>
      </c>
      <c r="U98" s="540" t="s">
        <v>2182</v>
      </c>
      <c r="V98" s="451">
        <v>15000</v>
      </c>
      <c r="W98" s="540" t="s">
        <v>2180</v>
      </c>
      <c r="X98" s="449">
        <v>117500</v>
      </c>
      <c r="Y98" s="455" t="s">
        <v>414</v>
      </c>
      <c r="Z98" s="455">
        <v>9.7E-5</v>
      </c>
      <c r="AA98" s="455" t="s">
        <v>2507</v>
      </c>
      <c r="AB98" s="455" t="s">
        <v>2203</v>
      </c>
      <c r="AC98" s="455" t="s">
        <v>43</v>
      </c>
      <c r="AD98" s="452" t="s">
        <v>1731</v>
      </c>
      <c r="AE98" s="484" t="s">
        <v>1731</v>
      </c>
      <c r="AF98" s="484" t="s">
        <v>2512</v>
      </c>
      <c r="AG98" s="452"/>
      <c r="AH98" s="550"/>
    </row>
    <row r="99" spans="1:34" s="439" customFormat="1" ht="15">
      <c r="A99" s="453" t="s">
        <v>107</v>
      </c>
      <c r="B99" s="447" t="s">
        <v>939</v>
      </c>
      <c r="C99" s="448">
        <v>168.2</v>
      </c>
      <c r="D99" s="448" t="s">
        <v>1801</v>
      </c>
      <c r="E99" s="449">
        <v>2.48E-3</v>
      </c>
      <c r="F99" s="449" t="s">
        <v>1801</v>
      </c>
      <c r="G99" s="450">
        <f t="shared" si="2"/>
        <v>22439.213323578773</v>
      </c>
      <c r="H99" s="450" t="s">
        <v>2207</v>
      </c>
      <c r="I99" s="450">
        <v>3.1</v>
      </c>
      <c r="J99" s="448" t="s">
        <v>1801</v>
      </c>
      <c r="K99" s="449">
        <v>2.13E-4</v>
      </c>
      <c r="L99" s="449" t="s">
        <v>414</v>
      </c>
      <c r="M99" s="922">
        <v>8.7080999999999999E-3</v>
      </c>
      <c r="N99" s="450">
        <v>6.5066299999999994E-2</v>
      </c>
      <c r="O99" s="537" t="s">
        <v>2367</v>
      </c>
      <c r="P99" s="450">
        <v>7.3772999999999997E-6</v>
      </c>
      <c r="Q99" s="537" t="s">
        <v>2367</v>
      </c>
      <c r="R99" s="543">
        <v>560</v>
      </c>
      <c r="S99" s="540" t="s">
        <v>414</v>
      </c>
      <c r="T99" s="543">
        <v>824</v>
      </c>
      <c r="U99" s="540" t="s">
        <v>2179</v>
      </c>
      <c r="V99" s="451">
        <v>66400</v>
      </c>
      <c r="W99" s="540" t="s">
        <v>2179</v>
      </c>
      <c r="X99" s="449">
        <v>9161</v>
      </c>
      <c r="Y99" s="455" t="s">
        <v>414</v>
      </c>
      <c r="Z99" s="455" t="s">
        <v>2203</v>
      </c>
      <c r="AA99" s="455" t="s">
        <v>43</v>
      </c>
      <c r="AB99" s="455" t="s">
        <v>2203</v>
      </c>
      <c r="AC99" s="455" t="s">
        <v>43</v>
      </c>
      <c r="AD99" s="452" t="s">
        <v>1731</v>
      </c>
      <c r="AE99" s="484" t="s">
        <v>1731</v>
      </c>
      <c r="AF99" s="484" t="s">
        <v>2512</v>
      </c>
      <c r="AG99" s="452"/>
      <c r="AH99" s="550"/>
    </row>
    <row r="100" spans="1:34" s="439" customFormat="1" ht="15">
      <c r="A100" s="453" t="s">
        <v>2108</v>
      </c>
      <c r="B100" s="447" t="s">
        <v>2109</v>
      </c>
      <c r="C100" s="448">
        <v>184.26</v>
      </c>
      <c r="D100" s="448" t="s">
        <v>1801</v>
      </c>
      <c r="E100" s="449">
        <v>2.05E-4</v>
      </c>
      <c r="F100" s="449" t="s">
        <v>414</v>
      </c>
      <c r="G100" s="450">
        <f t="shared" si="2"/>
        <v>2031.9587296122563</v>
      </c>
      <c r="H100" s="450" t="s">
        <v>2207</v>
      </c>
      <c r="I100" s="450">
        <v>1.47</v>
      </c>
      <c r="J100" s="448" t="s">
        <v>1801</v>
      </c>
      <c r="K100" s="449">
        <v>3.3800000000000002E-5</v>
      </c>
      <c r="L100" s="449" t="s">
        <v>414</v>
      </c>
      <c r="M100" s="922">
        <v>1.3818000000000001E-3</v>
      </c>
      <c r="N100" s="450">
        <v>3.5547500000000003E-2</v>
      </c>
      <c r="O100" s="537" t="s">
        <v>2367</v>
      </c>
      <c r="P100" s="450">
        <v>7.5958000000000002E-6</v>
      </c>
      <c r="Q100" s="537" t="s">
        <v>2367</v>
      </c>
      <c r="R100" s="543">
        <v>605.65</v>
      </c>
      <c r="S100" s="540" t="s">
        <v>414</v>
      </c>
      <c r="T100" s="543">
        <v>908.47499999999991</v>
      </c>
      <c r="U100" s="540" t="s">
        <v>2174</v>
      </c>
      <c r="V100" s="451">
        <v>22299.235181644359</v>
      </c>
      <c r="W100" s="540" t="s">
        <v>2188</v>
      </c>
      <c r="X100" s="449">
        <v>9161</v>
      </c>
      <c r="Y100" s="455" t="s">
        <v>414</v>
      </c>
      <c r="Z100" s="455" t="s">
        <v>2203</v>
      </c>
      <c r="AA100" s="455" t="s">
        <v>43</v>
      </c>
      <c r="AB100" s="455" t="s">
        <v>2203</v>
      </c>
      <c r="AC100" s="455" t="s">
        <v>43</v>
      </c>
      <c r="AD100" s="452" t="s">
        <v>1731</v>
      </c>
      <c r="AE100" s="484" t="s">
        <v>1731</v>
      </c>
      <c r="AF100" s="484" t="s">
        <v>2512</v>
      </c>
      <c r="AG100" s="452"/>
      <c r="AH100" s="550"/>
    </row>
    <row r="101" spans="1:34" s="439" customFormat="1" ht="15">
      <c r="A101" s="453" t="s">
        <v>695</v>
      </c>
      <c r="B101" s="447" t="s">
        <v>696</v>
      </c>
      <c r="C101" s="448">
        <v>236.33</v>
      </c>
      <c r="D101" s="448" t="s">
        <v>1801</v>
      </c>
      <c r="E101" s="449">
        <v>0.57999999999999996</v>
      </c>
      <c r="F101" s="449" t="s">
        <v>1801</v>
      </c>
      <c r="G101" s="450">
        <f t="shared" si="2"/>
        <v>7373552.9543400602</v>
      </c>
      <c r="H101" s="450" t="s">
        <v>2207</v>
      </c>
      <c r="I101" s="450">
        <v>1230</v>
      </c>
      <c r="J101" s="448" t="s">
        <v>1801</v>
      </c>
      <c r="K101" s="449">
        <v>1.47E-4</v>
      </c>
      <c r="L101" s="449" t="s">
        <v>414</v>
      </c>
      <c r="M101" s="922">
        <v>6.0098E-3</v>
      </c>
      <c r="N101" s="450">
        <v>3.21351E-2</v>
      </c>
      <c r="O101" s="537" t="s">
        <v>2367</v>
      </c>
      <c r="P101" s="450">
        <v>8.9047999999999999E-6</v>
      </c>
      <c r="Q101" s="537" t="s">
        <v>2367</v>
      </c>
      <c r="R101" s="543">
        <v>469</v>
      </c>
      <c r="S101" s="540" t="s">
        <v>414</v>
      </c>
      <c r="T101" s="543">
        <v>703.5</v>
      </c>
      <c r="U101" s="540" t="s">
        <v>2182</v>
      </c>
      <c r="V101" s="451">
        <v>9960.0450000000001</v>
      </c>
      <c r="W101" s="540" t="s">
        <v>2186</v>
      </c>
      <c r="X101" s="449">
        <v>115.8</v>
      </c>
      <c r="Y101" s="455" t="s">
        <v>414</v>
      </c>
      <c r="Z101" s="455">
        <v>6.0000000000000001E-3</v>
      </c>
      <c r="AA101" s="455" t="s">
        <v>281</v>
      </c>
      <c r="AB101" s="455">
        <v>2.0000000000000001E-4</v>
      </c>
      <c r="AC101" s="455" t="s">
        <v>280</v>
      </c>
      <c r="AD101" s="452" t="s">
        <v>2513</v>
      </c>
      <c r="AE101" s="484" t="s">
        <v>1731</v>
      </c>
      <c r="AF101" s="484" t="s">
        <v>2512</v>
      </c>
      <c r="AG101" s="452"/>
      <c r="AH101" s="550"/>
    </row>
    <row r="102" spans="1:34" s="439" customFormat="1" ht="15">
      <c r="A102" s="453" t="s">
        <v>2157</v>
      </c>
      <c r="B102" s="453" t="s">
        <v>2163</v>
      </c>
      <c r="C102" s="448">
        <v>235.91</v>
      </c>
      <c r="D102" s="448" t="s">
        <v>1801</v>
      </c>
      <c r="E102" s="449">
        <v>0.26860000000000001</v>
      </c>
      <c r="F102" s="449" t="s">
        <v>1801</v>
      </c>
      <c r="G102" s="450">
        <f t="shared" si="2"/>
        <v>3408649.2447389937</v>
      </c>
      <c r="H102" s="450" t="s">
        <v>2207</v>
      </c>
      <c r="I102" s="450">
        <v>67.5</v>
      </c>
      <c r="J102" s="448" t="s">
        <v>1801</v>
      </c>
      <c r="K102" s="449">
        <v>1.24E-3</v>
      </c>
      <c r="L102" s="449" t="s">
        <v>414</v>
      </c>
      <c r="M102" s="922">
        <v>5.0700000000000002E-2</v>
      </c>
      <c r="N102" s="450">
        <v>3.1185399999999999E-2</v>
      </c>
      <c r="O102" s="537" t="s">
        <v>2367</v>
      </c>
      <c r="P102" s="450">
        <v>8.5498000000000007E-6</v>
      </c>
      <c r="Q102" s="537" t="s">
        <v>2367</v>
      </c>
      <c r="R102" s="543">
        <v>491.15</v>
      </c>
      <c r="S102" s="540" t="s">
        <v>414</v>
      </c>
      <c r="T102" s="543">
        <v>736.72499999999991</v>
      </c>
      <c r="U102" s="540" t="s">
        <v>2182</v>
      </c>
      <c r="V102" s="451" t="s">
        <v>2024</v>
      </c>
      <c r="W102" s="540"/>
      <c r="X102" s="449">
        <v>375.3</v>
      </c>
      <c r="Y102" s="455" t="s">
        <v>414</v>
      </c>
      <c r="Z102" s="455" t="s">
        <v>2203</v>
      </c>
      <c r="AA102" s="455" t="s">
        <v>43</v>
      </c>
      <c r="AB102" s="455" t="s">
        <v>2203</v>
      </c>
      <c r="AC102" s="455" t="s">
        <v>43</v>
      </c>
      <c r="AD102" s="452" t="s">
        <v>1731</v>
      </c>
      <c r="AE102" s="484" t="s">
        <v>1731</v>
      </c>
      <c r="AF102" s="484" t="s">
        <v>2512</v>
      </c>
      <c r="AG102" s="452"/>
      <c r="AH102" s="550"/>
    </row>
    <row r="103" spans="1:34" s="439" customFormat="1" ht="15">
      <c r="A103" s="453" t="s">
        <v>697</v>
      </c>
      <c r="B103" s="453" t="s">
        <v>698</v>
      </c>
      <c r="C103" s="448">
        <v>235.91</v>
      </c>
      <c r="D103" s="448" t="s">
        <v>1801</v>
      </c>
      <c r="E103" s="449">
        <v>5.7500000000000002E-2</v>
      </c>
      <c r="F103" s="449" t="s">
        <v>1801</v>
      </c>
      <c r="G103" s="450">
        <f t="shared" si="2"/>
        <v>729699.67078366398</v>
      </c>
      <c r="H103" s="450" t="s">
        <v>2207</v>
      </c>
      <c r="I103" s="450">
        <v>20</v>
      </c>
      <c r="J103" s="448" t="s">
        <v>1801</v>
      </c>
      <c r="K103" s="449">
        <v>8.9300000000000002E-4</v>
      </c>
      <c r="L103" s="449" t="s">
        <v>414</v>
      </c>
      <c r="M103" s="922">
        <v>3.6508600000000002E-2</v>
      </c>
      <c r="N103" s="450">
        <v>3.32755E-2</v>
      </c>
      <c r="O103" s="537" t="s">
        <v>2367</v>
      </c>
      <c r="P103" s="450">
        <v>9.3369000000000003E-6</v>
      </c>
      <c r="Q103" s="537" t="s">
        <v>2367</v>
      </c>
      <c r="R103" s="543">
        <v>491.65</v>
      </c>
      <c r="S103" s="540" t="s">
        <v>414</v>
      </c>
      <c r="T103" s="543">
        <v>737.47499999999991</v>
      </c>
      <c r="U103" s="540" t="s">
        <v>2182</v>
      </c>
      <c r="V103" s="451" t="s">
        <v>2024</v>
      </c>
      <c r="W103" s="540"/>
      <c r="X103" s="449">
        <v>375.3</v>
      </c>
      <c r="Y103" s="455" t="s">
        <v>414</v>
      </c>
      <c r="Z103" s="455" t="s">
        <v>2203</v>
      </c>
      <c r="AA103" s="455" t="s">
        <v>43</v>
      </c>
      <c r="AB103" s="455" t="s">
        <v>2203</v>
      </c>
      <c r="AC103" s="455" t="s">
        <v>43</v>
      </c>
      <c r="AD103" s="452" t="s">
        <v>1731</v>
      </c>
      <c r="AE103" s="484" t="s">
        <v>1731</v>
      </c>
      <c r="AF103" s="484" t="s">
        <v>2512</v>
      </c>
      <c r="AG103" s="452"/>
      <c r="AH103" s="550"/>
    </row>
    <row r="104" spans="1:34" s="439" customFormat="1" ht="15">
      <c r="A104" s="453" t="s">
        <v>699</v>
      </c>
      <c r="B104" s="447" t="s">
        <v>700</v>
      </c>
      <c r="C104" s="448">
        <v>208.28</v>
      </c>
      <c r="D104" s="448" t="s">
        <v>1801</v>
      </c>
      <c r="E104" s="449">
        <v>5.54</v>
      </c>
      <c r="F104" s="449" t="s">
        <v>1801</v>
      </c>
      <c r="G104" s="450">
        <f t="shared" si="2"/>
        <v>62070792.270947196</v>
      </c>
      <c r="H104" s="450" t="s">
        <v>2207</v>
      </c>
      <c r="I104" s="450">
        <v>2700</v>
      </c>
      <c r="J104" s="448" t="s">
        <v>1801</v>
      </c>
      <c r="K104" s="449">
        <v>7.8299999999999995E-4</v>
      </c>
      <c r="L104" s="449" t="s">
        <v>1801</v>
      </c>
      <c r="M104" s="922">
        <v>3.2011400000000002E-2</v>
      </c>
      <c r="N104" s="450">
        <v>3.6635599999999997E-2</v>
      </c>
      <c r="O104" s="537" t="s">
        <v>2367</v>
      </c>
      <c r="P104" s="450">
        <v>1.06E-5</v>
      </c>
      <c r="Q104" s="537" t="s">
        <v>2367</v>
      </c>
      <c r="R104" s="543">
        <v>393</v>
      </c>
      <c r="S104" s="540" t="s">
        <v>414</v>
      </c>
      <c r="T104" s="543">
        <v>678.2</v>
      </c>
      <c r="U104" s="540" t="s">
        <v>2180</v>
      </c>
      <c r="V104" s="451">
        <v>5900</v>
      </c>
      <c r="W104" s="540" t="s">
        <v>2180</v>
      </c>
      <c r="X104" s="449">
        <v>31.82</v>
      </c>
      <c r="Y104" s="455" t="s">
        <v>414</v>
      </c>
      <c r="Z104" s="455" t="s">
        <v>2203</v>
      </c>
      <c r="AA104" s="455" t="s">
        <v>43</v>
      </c>
      <c r="AB104" s="455" t="s">
        <v>2203</v>
      </c>
      <c r="AC104" s="455" t="s">
        <v>43</v>
      </c>
      <c r="AD104" s="452" t="s">
        <v>1731</v>
      </c>
      <c r="AE104" s="484" t="s">
        <v>1731</v>
      </c>
      <c r="AF104" s="484" t="s">
        <v>2512</v>
      </c>
      <c r="AG104" s="452"/>
      <c r="AH104" s="550"/>
    </row>
    <row r="105" spans="1:34" s="439" customFormat="1" ht="15">
      <c r="A105" s="453" t="s">
        <v>701</v>
      </c>
      <c r="B105" s="447" t="s">
        <v>702</v>
      </c>
      <c r="C105" s="448">
        <v>187.86</v>
      </c>
      <c r="D105" s="448" t="s">
        <v>1801</v>
      </c>
      <c r="E105" s="449">
        <v>11.2</v>
      </c>
      <c r="F105" s="449" t="s">
        <v>1801</v>
      </c>
      <c r="G105" s="450">
        <f t="shared" si="2"/>
        <v>113183285.27778973</v>
      </c>
      <c r="H105" s="450" t="s">
        <v>2207</v>
      </c>
      <c r="I105" s="450">
        <v>3910</v>
      </c>
      <c r="J105" s="448" t="s">
        <v>1801</v>
      </c>
      <c r="K105" s="449">
        <v>6.4999999999999997E-4</v>
      </c>
      <c r="L105" s="449" t="s">
        <v>1801</v>
      </c>
      <c r="M105" s="922">
        <v>2.6574E-2</v>
      </c>
      <c r="N105" s="450">
        <v>4.3034799999999998E-2</v>
      </c>
      <c r="O105" s="537" t="s">
        <v>2367</v>
      </c>
      <c r="P105" s="450">
        <v>1.04E-5</v>
      </c>
      <c r="Q105" s="537" t="s">
        <v>2367</v>
      </c>
      <c r="R105" s="543">
        <v>404.6</v>
      </c>
      <c r="S105" s="540" t="s">
        <v>414</v>
      </c>
      <c r="T105" s="543">
        <v>583</v>
      </c>
      <c r="U105" s="540" t="s">
        <v>2181</v>
      </c>
      <c r="V105" s="451">
        <v>8310.0300000000007</v>
      </c>
      <c r="W105" s="540" t="s">
        <v>2181</v>
      </c>
      <c r="X105" s="449">
        <v>39.6</v>
      </c>
      <c r="Y105" s="455" t="s">
        <v>414</v>
      </c>
      <c r="Z105" s="455">
        <v>5.9999999999999995E-4</v>
      </c>
      <c r="AA105" s="455" t="s">
        <v>280</v>
      </c>
      <c r="AB105" s="455">
        <v>8.9999999999999993E-3</v>
      </c>
      <c r="AC105" s="455" t="s">
        <v>280</v>
      </c>
      <c r="AD105" s="452" t="s">
        <v>1731</v>
      </c>
      <c r="AE105" s="484" t="s">
        <v>1731</v>
      </c>
      <c r="AF105" s="484" t="s">
        <v>2512</v>
      </c>
      <c r="AG105" s="452"/>
      <c r="AH105" s="550"/>
    </row>
    <row r="106" spans="1:34" s="439" customFormat="1" ht="15">
      <c r="A106" s="453" t="s">
        <v>703</v>
      </c>
      <c r="B106" s="447" t="s">
        <v>704</v>
      </c>
      <c r="C106" s="448">
        <v>173.84</v>
      </c>
      <c r="D106" s="448" t="s">
        <v>1801</v>
      </c>
      <c r="E106" s="449">
        <v>44.4</v>
      </c>
      <c r="F106" s="449" t="s">
        <v>1801</v>
      </c>
      <c r="G106" s="450">
        <f t="shared" si="2"/>
        <v>415205060.89426345</v>
      </c>
      <c r="H106" s="450" t="s">
        <v>2207</v>
      </c>
      <c r="I106" s="450">
        <v>11900</v>
      </c>
      <c r="J106" s="448" t="s">
        <v>1801</v>
      </c>
      <c r="K106" s="449">
        <v>8.2200000000000003E-4</v>
      </c>
      <c r="L106" s="449" t="s">
        <v>1801</v>
      </c>
      <c r="M106" s="922">
        <v>3.3605900000000001E-2</v>
      </c>
      <c r="N106" s="450">
        <v>5.51373E-2</v>
      </c>
      <c r="O106" s="537" t="s">
        <v>2367</v>
      </c>
      <c r="P106" s="450">
        <v>1.19E-5</v>
      </c>
      <c r="Q106" s="537" t="s">
        <v>2367</v>
      </c>
      <c r="R106" s="543">
        <v>370</v>
      </c>
      <c r="S106" s="540" t="s">
        <v>414</v>
      </c>
      <c r="T106" s="543">
        <v>583</v>
      </c>
      <c r="U106" s="540" t="s">
        <v>2179</v>
      </c>
      <c r="V106" s="451">
        <v>7867.88</v>
      </c>
      <c r="W106" s="540" t="s">
        <v>2181</v>
      </c>
      <c r="X106" s="449">
        <v>21.73</v>
      </c>
      <c r="Y106" s="455" t="s">
        <v>414</v>
      </c>
      <c r="Z106" s="455" t="s">
        <v>2203</v>
      </c>
      <c r="AA106" s="455" t="s">
        <v>43</v>
      </c>
      <c r="AB106" s="455">
        <v>4.0000000000000001E-3</v>
      </c>
      <c r="AC106" s="455" t="s">
        <v>0</v>
      </c>
      <c r="AD106" s="452" t="s">
        <v>1731</v>
      </c>
      <c r="AE106" s="484" t="s">
        <v>1731</v>
      </c>
      <c r="AF106" s="484" t="s">
        <v>2512</v>
      </c>
      <c r="AG106" s="452" t="s">
        <v>2036</v>
      </c>
      <c r="AH106" s="550"/>
    </row>
    <row r="107" spans="1:34" s="439" customFormat="1" ht="15">
      <c r="A107" s="453" t="s">
        <v>710</v>
      </c>
      <c r="B107" s="447" t="s">
        <v>711</v>
      </c>
      <c r="C107" s="448">
        <v>125</v>
      </c>
      <c r="D107" s="448" t="s">
        <v>1801</v>
      </c>
      <c r="E107" s="449">
        <v>3</v>
      </c>
      <c r="F107" s="449" t="s">
        <v>414</v>
      </c>
      <c r="G107" s="450">
        <f t="shared" si="2"/>
        <v>20172569.608813532</v>
      </c>
      <c r="H107" s="450" t="s">
        <v>2207</v>
      </c>
      <c r="I107" s="450">
        <v>580</v>
      </c>
      <c r="J107" s="448" t="s">
        <v>1801</v>
      </c>
      <c r="K107" s="449">
        <v>8.5100000000000002E-3</v>
      </c>
      <c r="L107" s="449" t="s">
        <v>1801</v>
      </c>
      <c r="M107" s="922">
        <v>0.34791499999999997</v>
      </c>
      <c r="N107" s="450">
        <v>6.65047E-2</v>
      </c>
      <c r="O107" s="537" t="s">
        <v>2367</v>
      </c>
      <c r="P107" s="450">
        <v>9.2900000000000008E-6</v>
      </c>
      <c r="Q107" s="537" t="s">
        <v>2367</v>
      </c>
      <c r="R107" s="543">
        <v>431</v>
      </c>
      <c r="S107" s="540" t="s">
        <v>2174</v>
      </c>
      <c r="T107" s="543">
        <v>646.5</v>
      </c>
      <c r="U107" s="540" t="s">
        <v>2182</v>
      </c>
      <c r="V107" s="451" t="s">
        <v>2024</v>
      </c>
      <c r="W107" s="540"/>
      <c r="X107" s="449">
        <v>131.5</v>
      </c>
      <c r="Y107" s="455" t="s">
        <v>414</v>
      </c>
      <c r="Z107" s="455">
        <v>4.1999999999999997E-3</v>
      </c>
      <c r="AA107" s="455" t="s">
        <v>281</v>
      </c>
      <c r="AB107" s="455" t="s">
        <v>2203</v>
      </c>
      <c r="AC107" s="455" t="s">
        <v>43</v>
      </c>
      <c r="AD107" s="452" t="s">
        <v>1731</v>
      </c>
      <c r="AE107" s="484" t="s">
        <v>1731</v>
      </c>
      <c r="AF107" s="484" t="s">
        <v>2512</v>
      </c>
      <c r="AG107" s="452"/>
      <c r="AH107" s="550"/>
    </row>
    <row r="108" spans="1:34" s="439" customFormat="1" ht="15">
      <c r="A108" s="453" t="s">
        <v>712</v>
      </c>
      <c r="B108" s="447" t="s">
        <v>713</v>
      </c>
      <c r="C108" s="448">
        <v>125</v>
      </c>
      <c r="D108" s="448" t="s">
        <v>1801</v>
      </c>
      <c r="E108" s="449">
        <v>4.0940000000000003</v>
      </c>
      <c r="F108" s="449" t="s">
        <v>1801</v>
      </c>
      <c r="G108" s="450">
        <f t="shared" si="2"/>
        <v>27528833.326160867</v>
      </c>
      <c r="H108" s="450" t="s">
        <v>2207</v>
      </c>
      <c r="I108" s="450">
        <v>580.20000000000005</v>
      </c>
      <c r="J108" s="448" t="s">
        <v>1801</v>
      </c>
      <c r="K108" s="449">
        <v>6.6399999999999999E-4</v>
      </c>
      <c r="L108" s="449" t="s">
        <v>414</v>
      </c>
      <c r="M108" s="922">
        <v>2.7146400000000001E-2</v>
      </c>
      <c r="N108" s="450">
        <v>6.65047E-2</v>
      </c>
      <c r="O108" s="537" t="s">
        <v>2367</v>
      </c>
      <c r="P108" s="450">
        <v>9.2900000000000008E-6</v>
      </c>
      <c r="Q108" s="537" t="s">
        <v>2367</v>
      </c>
      <c r="R108" s="543">
        <v>425.5</v>
      </c>
      <c r="S108" s="540" t="s">
        <v>2173</v>
      </c>
      <c r="T108" s="543">
        <v>640</v>
      </c>
      <c r="U108" s="540" t="s">
        <v>2179</v>
      </c>
      <c r="V108" s="451">
        <v>9125</v>
      </c>
      <c r="W108" s="540" t="s">
        <v>2174</v>
      </c>
      <c r="X108" s="449">
        <v>131.5</v>
      </c>
      <c r="Y108" s="455" t="s">
        <v>414</v>
      </c>
      <c r="Z108" s="455">
        <v>4.1999999999999997E-3</v>
      </c>
      <c r="AA108" s="455" t="s">
        <v>281</v>
      </c>
      <c r="AB108" s="455" t="s">
        <v>2203</v>
      </c>
      <c r="AC108" s="455" t="s">
        <v>43</v>
      </c>
      <c r="AD108" s="452" t="s">
        <v>1731</v>
      </c>
      <c r="AE108" s="484" t="s">
        <v>1731</v>
      </c>
      <c r="AF108" s="484" t="s">
        <v>2512</v>
      </c>
      <c r="AG108" s="452"/>
      <c r="AH108" s="550"/>
    </row>
    <row r="109" spans="1:34" s="439" customFormat="1" ht="15">
      <c r="A109" s="453" t="s">
        <v>714</v>
      </c>
      <c r="B109" s="447" t="s">
        <v>715</v>
      </c>
      <c r="C109" s="448">
        <v>125</v>
      </c>
      <c r="D109" s="448" t="s">
        <v>1801</v>
      </c>
      <c r="E109" s="449">
        <v>3.43</v>
      </c>
      <c r="F109" s="449" t="s">
        <v>1801</v>
      </c>
      <c r="G109" s="450">
        <f t="shared" si="2"/>
        <v>23063971.252743468</v>
      </c>
      <c r="H109" s="450" t="s">
        <v>2207</v>
      </c>
      <c r="I109" s="450">
        <v>850</v>
      </c>
      <c r="J109" s="448" t="s">
        <v>1801</v>
      </c>
      <c r="K109" s="449">
        <v>6.6399999999999999E-4</v>
      </c>
      <c r="L109" s="449" t="s">
        <v>414</v>
      </c>
      <c r="M109" s="922">
        <v>2.7146400000000001E-2</v>
      </c>
      <c r="N109" s="450">
        <v>6.6381800000000005E-2</v>
      </c>
      <c r="O109" s="537" t="s">
        <v>2367</v>
      </c>
      <c r="P109" s="450">
        <v>9.2665000000000001E-6</v>
      </c>
      <c r="Q109" s="537" t="s">
        <v>2367</v>
      </c>
      <c r="R109" s="543">
        <v>428.4</v>
      </c>
      <c r="S109" s="540" t="s">
        <v>2173</v>
      </c>
      <c r="T109" s="543">
        <v>646</v>
      </c>
      <c r="U109" s="540" t="s">
        <v>2179</v>
      </c>
      <c r="V109" s="451">
        <v>9125</v>
      </c>
      <c r="W109" s="540" t="s">
        <v>2174</v>
      </c>
      <c r="X109" s="449">
        <v>131.5</v>
      </c>
      <c r="Y109" s="455" t="s">
        <v>414</v>
      </c>
      <c r="Z109" s="455">
        <v>4.1999999999999997E-3</v>
      </c>
      <c r="AA109" s="455" t="s">
        <v>281</v>
      </c>
      <c r="AB109" s="455" t="s">
        <v>2203</v>
      </c>
      <c r="AC109" s="455" t="s">
        <v>43</v>
      </c>
      <c r="AD109" s="452" t="s">
        <v>1731</v>
      </c>
      <c r="AE109" s="484" t="s">
        <v>1731</v>
      </c>
      <c r="AF109" s="484" t="s">
        <v>2512</v>
      </c>
      <c r="AG109" s="452" t="s">
        <v>103</v>
      </c>
      <c r="AH109" s="550"/>
    </row>
    <row r="110" spans="1:34" s="439" customFormat="1" ht="15">
      <c r="A110" s="453" t="s">
        <v>160</v>
      </c>
      <c r="B110" s="447" t="s">
        <v>718</v>
      </c>
      <c r="C110" s="448">
        <v>147</v>
      </c>
      <c r="D110" s="448" t="s">
        <v>1801</v>
      </c>
      <c r="E110" s="449">
        <v>1.36</v>
      </c>
      <c r="F110" s="449" t="s">
        <v>1801</v>
      </c>
      <c r="G110" s="450">
        <f t="shared" si="2"/>
        <v>10754400.30985067</v>
      </c>
      <c r="H110" s="450" t="s">
        <v>2207</v>
      </c>
      <c r="I110" s="450">
        <v>156</v>
      </c>
      <c r="J110" s="448" t="s">
        <v>1801</v>
      </c>
      <c r="K110" s="449">
        <v>1.92E-3</v>
      </c>
      <c r="L110" s="449" t="s">
        <v>1801</v>
      </c>
      <c r="M110" s="922">
        <v>7.8495499999999996E-2</v>
      </c>
      <c r="N110" s="450">
        <v>5.6170299999999999E-2</v>
      </c>
      <c r="O110" s="537" t="s">
        <v>2367</v>
      </c>
      <c r="P110" s="450">
        <v>8.9213000000000005E-6</v>
      </c>
      <c r="Q110" s="537" t="s">
        <v>2367</v>
      </c>
      <c r="R110" s="543">
        <v>453</v>
      </c>
      <c r="S110" s="540" t="s">
        <v>414</v>
      </c>
      <c r="T110" s="543">
        <v>705</v>
      </c>
      <c r="U110" s="540" t="s">
        <v>2180</v>
      </c>
      <c r="V110" s="451">
        <v>9700</v>
      </c>
      <c r="W110" s="540" t="s">
        <v>2180</v>
      </c>
      <c r="X110" s="449">
        <v>382.9</v>
      </c>
      <c r="Y110" s="455" t="s">
        <v>414</v>
      </c>
      <c r="Z110" s="455" t="s">
        <v>2203</v>
      </c>
      <c r="AA110" s="455" t="s">
        <v>43</v>
      </c>
      <c r="AB110" s="455">
        <v>0.2</v>
      </c>
      <c r="AC110" s="455" t="s">
        <v>13</v>
      </c>
      <c r="AD110" s="452" t="s">
        <v>1731</v>
      </c>
      <c r="AE110" s="484" t="s">
        <v>1731</v>
      </c>
      <c r="AF110" s="484" t="s">
        <v>2512</v>
      </c>
      <c r="AG110" s="452" t="s">
        <v>2037</v>
      </c>
      <c r="AH110" s="550" t="s">
        <v>2038</v>
      </c>
    </row>
    <row r="111" spans="1:34" s="439" customFormat="1" ht="15">
      <c r="A111" s="453" t="s">
        <v>166</v>
      </c>
      <c r="B111" s="447" t="s">
        <v>719</v>
      </c>
      <c r="C111" s="448">
        <v>147</v>
      </c>
      <c r="D111" s="448" t="s">
        <v>1801</v>
      </c>
      <c r="E111" s="449">
        <v>1.74</v>
      </c>
      <c r="F111" s="449" t="s">
        <v>1801</v>
      </c>
      <c r="G111" s="450">
        <f t="shared" si="2"/>
        <v>13759306.278779533</v>
      </c>
      <c r="H111" s="450" t="s">
        <v>2207</v>
      </c>
      <c r="I111" s="450">
        <v>81.3</v>
      </c>
      <c r="J111" s="448" t="s">
        <v>1801</v>
      </c>
      <c r="K111" s="449">
        <v>2.4099999999999998E-3</v>
      </c>
      <c r="L111" s="449" t="s">
        <v>1801</v>
      </c>
      <c r="M111" s="922">
        <v>9.8528199999999996E-2</v>
      </c>
      <c r="N111" s="450">
        <v>5.5042899999999999E-2</v>
      </c>
      <c r="O111" s="537" t="s">
        <v>2367</v>
      </c>
      <c r="P111" s="450">
        <v>8.6796999999999992E-6</v>
      </c>
      <c r="Q111" s="537" t="s">
        <v>2367</v>
      </c>
      <c r="R111" s="543">
        <v>447</v>
      </c>
      <c r="S111" s="540" t="s">
        <v>414</v>
      </c>
      <c r="T111" s="543">
        <v>684.75</v>
      </c>
      <c r="U111" s="540" t="s">
        <v>2180</v>
      </c>
      <c r="V111" s="451">
        <v>9271</v>
      </c>
      <c r="W111" s="540" t="s">
        <v>2180</v>
      </c>
      <c r="X111" s="449">
        <v>375.3</v>
      </c>
      <c r="Y111" s="455" t="s">
        <v>414</v>
      </c>
      <c r="Z111" s="455">
        <v>1.1E-5</v>
      </c>
      <c r="AA111" s="455" t="s">
        <v>2507</v>
      </c>
      <c r="AB111" s="455">
        <v>0.8</v>
      </c>
      <c r="AC111" s="455" t="s">
        <v>280</v>
      </c>
      <c r="AD111" s="452" t="s">
        <v>1731</v>
      </c>
      <c r="AE111" s="484" t="s">
        <v>1731</v>
      </c>
      <c r="AF111" s="484" t="s">
        <v>2512</v>
      </c>
      <c r="AG111" s="452" t="s">
        <v>53</v>
      </c>
      <c r="AH111" s="550"/>
    </row>
    <row r="112" spans="1:34" s="439" customFormat="1" ht="15">
      <c r="A112" s="453" t="s">
        <v>62</v>
      </c>
      <c r="B112" s="447" t="s">
        <v>724</v>
      </c>
      <c r="C112" s="448">
        <v>120.91</v>
      </c>
      <c r="D112" s="448" t="s">
        <v>1801</v>
      </c>
      <c r="E112" s="449">
        <v>4848</v>
      </c>
      <c r="F112" s="449" t="s">
        <v>1801</v>
      </c>
      <c r="G112" s="450">
        <f t="shared" si="2"/>
        <v>31532237380.040451</v>
      </c>
      <c r="H112" s="450" t="s">
        <v>2207</v>
      </c>
      <c r="I112" s="450">
        <v>280</v>
      </c>
      <c r="J112" s="448" t="s">
        <v>1801</v>
      </c>
      <c r="K112" s="449">
        <v>0.34300000000000003</v>
      </c>
      <c r="L112" s="449" t="s">
        <v>1801</v>
      </c>
      <c r="M112" s="922">
        <v>14.022895</v>
      </c>
      <c r="N112" s="450">
        <v>7.6029299999999994E-2</v>
      </c>
      <c r="O112" s="537" t="s">
        <v>2367</v>
      </c>
      <c r="P112" s="450">
        <v>1.08E-5</v>
      </c>
      <c r="Q112" s="537" t="s">
        <v>2367</v>
      </c>
      <c r="R112" s="543">
        <v>243.2</v>
      </c>
      <c r="S112" s="540" t="s">
        <v>414</v>
      </c>
      <c r="T112" s="543">
        <v>384.95</v>
      </c>
      <c r="U112" s="540" t="s">
        <v>2181</v>
      </c>
      <c r="V112" s="451">
        <v>9421.3608799999984</v>
      </c>
      <c r="W112" s="540" t="s">
        <v>2179</v>
      </c>
      <c r="X112" s="449">
        <v>43.89</v>
      </c>
      <c r="Y112" s="455" t="s">
        <v>414</v>
      </c>
      <c r="Z112" s="455" t="s">
        <v>2203</v>
      </c>
      <c r="AA112" s="455" t="s">
        <v>43</v>
      </c>
      <c r="AB112" s="455">
        <v>0.1</v>
      </c>
      <c r="AC112" s="455" t="s">
        <v>0</v>
      </c>
      <c r="AD112" s="452" t="s">
        <v>1731</v>
      </c>
      <c r="AE112" s="484" t="s">
        <v>1731</v>
      </c>
      <c r="AF112" s="484" t="s">
        <v>2512</v>
      </c>
      <c r="AG112" s="452" t="s">
        <v>2039</v>
      </c>
      <c r="AH112" s="550"/>
    </row>
    <row r="113" spans="1:34" s="439" customFormat="1" ht="15">
      <c r="A113" s="453" t="s">
        <v>155</v>
      </c>
      <c r="B113" s="447" t="s">
        <v>725</v>
      </c>
      <c r="C113" s="448">
        <v>98.96</v>
      </c>
      <c r="D113" s="448" t="s">
        <v>1801</v>
      </c>
      <c r="E113" s="449">
        <v>227.3</v>
      </c>
      <c r="F113" s="449" t="s">
        <v>1801</v>
      </c>
      <c r="G113" s="450">
        <f t="shared" si="2"/>
        <v>1210010328.3556397</v>
      </c>
      <c r="H113" s="450" t="s">
        <v>2207</v>
      </c>
      <c r="I113" s="450">
        <v>5040</v>
      </c>
      <c r="J113" s="448" t="s">
        <v>1801</v>
      </c>
      <c r="K113" s="449">
        <v>5.62E-3</v>
      </c>
      <c r="L113" s="449" t="s">
        <v>1801</v>
      </c>
      <c r="M113" s="922">
        <v>0.22976289999999999</v>
      </c>
      <c r="N113" s="450">
        <v>8.36446E-2</v>
      </c>
      <c r="O113" s="537" t="s">
        <v>2367</v>
      </c>
      <c r="P113" s="450">
        <v>1.06E-5</v>
      </c>
      <c r="Q113" s="537" t="s">
        <v>2367</v>
      </c>
      <c r="R113" s="543">
        <v>330.4</v>
      </c>
      <c r="S113" s="540" t="s">
        <v>414</v>
      </c>
      <c r="T113" s="543">
        <v>523</v>
      </c>
      <c r="U113" s="540" t="s">
        <v>2180</v>
      </c>
      <c r="V113" s="451">
        <v>6895</v>
      </c>
      <c r="W113" s="540" t="s">
        <v>2180</v>
      </c>
      <c r="X113" s="449">
        <v>31.82</v>
      </c>
      <c r="Y113" s="455" t="s">
        <v>414</v>
      </c>
      <c r="Z113" s="455">
        <v>1.5999999999999999E-6</v>
      </c>
      <c r="AA113" s="455" t="s">
        <v>2507</v>
      </c>
      <c r="AB113" s="455" t="s">
        <v>2203</v>
      </c>
      <c r="AC113" s="455" t="s">
        <v>43</v>
      </c>
      <c r="AD113" s="452" t="s">
        <v>1731</v>
      </c>
      <c r="AE113" s="484" t="s">
        <v>1731</v>
      </c>
      <c r="AF113" s="484" t="s">
        <v>2512</v>
      </c>
      <c r="AG113" s="452" t="s">
        <v>2040</v>
      </c>
      <c r="AH113" s="550"/>
    </row>
    <row r="114" spans="1:34" s="439" customFormat="1" ht="15">
      <c r="A114" s="453" t="s">
        <v>161</v>
      </c>
      <c r="B114" s="447" t="s">
        <v>726</v>
      </c>
      <c r="C114" s="448">
        <v>98.96</v>
      </c>
      <c r="D114" s="448" t="s">
        <v>1801</v>
      </c>
      <c r="E114" s="449">
        <v>78.900000000000006</v>
      </c>
      <c r="F114" s="449" t="s">
        <v>1801</v>
      </c>
      <c r="G114" s="450">
        <f t="shared" si="2"/>
        <v>420016783.57791454</v>
      </c>
      <c r="H114" s="450" t="s">
        <v>2207</v>
      </c>
      <c r="I114" s="450">
        <v>8600</v>
      </c>
      <c r="J114" s="448" t="s">
        <v>1801</v>
      </c>
      <c r="K114" s="449">
        <v>1.1800000000000001E-3</v>
      </c>
      <c r="L114" s="449" t="s">
        <v>1801</v>
      </c>
      <c r="M114" s="922">
        <v>4.8242E-2</v>
      </c>
      <c r="N114" s="450">
        <v>8.5722099999999996E-2</v>
      </c>
      <c r="O114" s="537" t="s">
        <v>2367</v>
      </c>
      <c r="P114" s="450">
        <v>1.1E-5</v>
      </c>
      <c r="Q114" s="537" t="s">
        <v>2367</v>
      </c>
      <c r="R114" s="543">
        <v>356.5</v>
      </c>
      <c r="S114" s="540" t="s">
        <v>414</v>
      </c>
      <c r="T114" s="543">
        <v>561</v>
      </c>
      <c r="U114" s="540" t="s">
        <v>2180</v>
      </c>
      <c r="V114" s="451">
        <v>7643</v>
      </c>
      <c r="W114" s="540" t="s">
        <v>2180</v>
      </c>
      <c r="X114" s="449">
        <v>39.6</v>
      </c>
      <c r="Y114" s="455" t="s">
        <v>414</v>
      </c>
      <c r="Z114" s="455">
        <v>2.5999999999999998E-5</v>
      </c>
      <c r="AA114" s="455" t="s">
        <v>280</v>
      </c>
      <c r="AB114" s="455">
        <v>7.0000000000000001E-3</v>
      </c>
      <c r="AC114" s="455" t="s">
        <v>281</v>
      </c>
      <c r="AD114" s="452" t="s">
        <v>1731</v>
      </c>
      <c r="AE114" s="484" t="s">
        <v>1731</v>
      </c>
      <c r="AF114" s="484" t="s">
        <v>2512</v>
      </c>
      <c r="AG114" s="452" t="s">
        <v>2041</v>
      </c>
      <c r="AH114" s="550"/>
    </row>
    <row r="115" spans="1:34" s="439" customFormat="1" ht="15">
      <c r="A115" s="453" t="s">
        <v>156</v>
      </c>
      <c r="B115" s="447" t="s">
        <v>727</v>
      </c>
      <c r="C115" s="448">
        <v>96.944000000000003</v>
      </c>
      <c r="D115" s="448" t="s">
        <v>1801</v>
      </c>
      <c r="E115" s="449">
        <v>600</v>
      </c>
      <c r="F115" s="449" t="s">
        <v>1801</v>
      </c>
      <c r="G115" s="450">
        <f t="shared" si="2"/>
        <v>3128975341.0509105</v>
      </c>
      <c r="H115" s="450" t="s">
        <v>2207</v>
      </c>
      <c r="I115" s="450">
        <v>2420</v>
      </c>
      <c r="J115" s="448" t="s">
        <v>1801</v>
      </c>
      <c r="K115" s="449">
        <v>2.6100000000000002E-2</v>
      </c>
      <c r="L115" s="449" t="s">
        <v>1801</v>
      </c>
      <c r="M115" s="922">
        <v>1.0670481999999999</v>
      </c>
      <c r="N115" s="450">
        <v>8.6310700000000004E-2</v>
      </c>
      <c r="O115" s="537" t="s">
        <v>2367</v>
      </c>
      <c r="P115" s="450">
        <v>1.1E-5</v>
      </c>
      <c r="Q115" s="537" t="s">
        <v>2367</v>
      </c>
      <c r="R115" s="543">
        <v>304.60000000000002</v>
      </c>
      <c r="S115" s="540" t="s">
        <v>414</v>
      </c>
      <c r="T115" s="543">
        <v>576.04999999999995</v>
      </c>
      <c r="U115" s="540" t="s">
        <v>2180</v>
      </c>
      <c r="V115" s="451">
        <v>6247</v>
      </c>
      <c r="W115" s="540" t="s">
        <v>2180</v>
      </c>
      <c r="X115" s="449">
        <v>31.82</v>
      </c>
      <c r="Y115" s="455" t="s">
        <v>414</v>
      </c>
      <c r="Z115" s="455" t="s">
        <v>2203</v>
      </c>
      <c r="AA115" s="455" t="s">
        <v>43</v>
      </c>
      <c r="AB115" s="455">
        <v>0.2</v>
      </c>
      <c r="AC115" s="455" t="s">
        <v>280</v>
      </c>
      <c r="AD115" s="452" t="s">
        <v>1731</v>
      </c>
      <c r="AE115" s="484" t="s">
        <v>1731</v>
      </c>
      <c r="AF115" s="484" t="s">
        <v>2512</v>
      </c>
      <c r="AG115" s="452" t="s">
        <v>77</v>
      </c>
      <c r="AH115" s="550"/>
    </row>
    <row r="116" spans="1:34" s="439" customFormat="1" ht="15">
      <c r="A116" s="453" t="s">
        <v>728</v>
      </c>
      <c r="B116" s="447" t="s">
        <v>729</v>
      </c>
      <c r="C116" s="448">
        <v>96.944000000000003</v>
      </c>
      <c r="D116" s="448" t="s">
        <v>1801</v>
      </c>
      <c r="E116" s="449">
        <v>200</v>
      </c>
      <c r="F116" s="449" t="s">
        <v>1801</v>
      </c>
      <c r="G116" s="450">
        <f t="shared" si="2"/>
        <v>1042991780.3503033</v>
      </c>
      <c r="H116" s="450" t="s">
        <v>2207</v>
      </c>
      <c r="I116" s="450">
        <v>6410</v>
      </c>
      <c r="J116" s="448" t="s">
        <v>1801</v>
      </c>
      <c r="K116" s="449">
        <v>4.0800000000000003E-3</v>
      </c>
      <c r="L116" s="449" t="s">
        <v>1801</v>
      </c>
      <c r="M116" s="922">
        <v>0.1668029</v>
      </c>
      <c r="N116" s="450">
        <v>8.8405600000000001E-2</v>
      </c>
      <c r="O116" s="537" t="s">
        <v>2367</v>
      </c>
      <c r="P116" s="450">
        <v>1.13E-5</v>
      </c>
      <c r="Q116" s="537" t="s">
        <v>2367</v>
      </c>
      <c r="R116" s="543">
        <v>328</v>
      </c>
      <c r="S116" s="540" t="s">
        <v>414</v>
      </c>
      <c r="T116" s="543">
        <v>544</v>
      </c>
      <c r="U116" s="540" t="s">
        <v>2180</v>
      </c>
      <c r="V116" s="451">
        <v>7192</v>
      </c>
      <c r="W116" s="540" t="s">
        <v>2180</v>
      </c>
      <c r="X116" s="449">
        <v>39.6</v>
      </c>
      <c r="Y116" s="455" t="s">
        <v>414</v>
      </c>
      <c r="Z116" s="455" t="s">
        <v>2203</v>
      </c>
      <c r="AA116" s="455" t="s">
        <v>43</v>
      </c>
      <c r="AB116" s="455" t="s">
        <v>2203</v>
      </c>
      <c r="AC116" s="455" t="s">
        <v>43</v>
      </c>
      <c r="AD116" s="452" t="s">
        <v>1731</v>
      </c>
      <c r="AE116" s="484" t="s">
        <v>1731</v>
      </c>
      <c r="AF116" s="484" t="s">
        <v>2512</v>
      </c>
      <c r="AG116" s="452" t="s">
        <v>89</v>
      </c>
      <c r="AH116" s="550"/>
    </row>
    <row r="117" spans="1:34" s="439" customFormat="1" ht="15">
      <c r="A117" s="453" t="s">
        <v>730</v>
      </c>
      <c r="B117" s="447" t="s">
        <v>731</v>
      </c>
      <c r="C117" s="448">
        <v>96.944000000000003</v>
      </c>
      <c r="D117" s="448" t="s">
        <v>1801</v>
      </c>
      <c r="E117" s="449">
        <v>331</v>
      </c>
      <c r="F117" s="449" t="s">
        <v>414</v>
      </c>
      <c r="G117" s="450">
        <f t="shared" si="2"/>
        <v>1726151396.4797521</v>
      </c>
      <c r="H117" s="450" t="s">
        <v>2207</v>
      </c>
      <c r="I117" s="450">
        <v>4520</v>
      </c>
      <c r="J117" s="448" t="s">
        <v>1801</v>
      </c>
      <c r="K117" s="449">
        <v>9.3799999999999994E-3</v>
      </c>
      <c r="L117" s="449" t="s">
        <v>1801</v>
      </c>
      <c r="M117" s="922">
        <v>0.38348320000000002</v>
      </c>
      <c r="N117" s="450">
        <v>8.7609400000000004E-2</v>
      </c>
      <c r="O117" s="537" t="s">
        <v>2367</v>
      </c>
      <c r="P117" s="450">
        <v>1.1199999999999999E-5</v>
      </c>
      <c r="Q117" s="537" t="s">
        <v>2367</v>
      </c>
      <c r="R117" s="543">
        <v>328</v>
      </c>
      <c r="S117" s="540" t="s">
        <v>414</v>
      </c>
      <c r="T117" s="543">
        <v>516.5</v>
      </c>
      <c r="U117" s="540" t="s">
        <v>2180</v>
      </c>
      <c r="V117" s="451">
        <v>6717</v>
      </c>
      <c r="W117" s="540" t="s">
        <v>2180</v>
      </c>
      <c r="X117" s="449">
        <v>39.6</v>
      </c>
      <c r="Y117" s="455" t="s">
        <v>414</v>
      </c>
      <c r="Z117" s="455" t="s">
        <v>2203</v>
      </c>
      <c r="AA117" s="455" t="s">
        <v>43</v>
      </c>
      <c r="AB117" s="455" t="s">
        <v>2203</v>
      </c>
      <c r="AC117" s="455" t="s">
        <v>43</v>
      </c>
      <c r="AD117" s="452" t="s">
        <v>1731</v>
      </c>
      <c r="AE117" s="484" t="s">
        <v>1731</v>
      </c>
      <c r="AF117" s="484" t="s">
        <v>2512</v>
      </c>
      <c r="AG117" s="452"/>
      <c r="AH117" s="550"/>
    </row>
    <row r="118" spans="1:34" s="439" customFormat="1" ht="15">
      <c r="A118" s="453" t="s">
        <v>162</v>
      </c>
      <c r="B118" s="447" t="s">
        <v>737</v>
      </c>
      <c r="C118" s="448">
        <v>112.99</v>
      </c>
      <c r="D118" s="448" t="s">
        <v>1801</v>
      </c>
      <c r="E118" s="449">
        <v>53.3</v>
      </c>
      <c r="F118" s="449" t="s">
        <v>1801</v>
      </c>
      <c r="G118" s="450">
        <f t="shared" si="2"/>
        <v>323964313.37952399</v>
      </c>
      <c r="H118" s="450" t="s">
        <v>2207</v>
      </c>
      <c r="I118" s="450">
        <v>2800</v>
      </c>
      <c r="J118" s="448" t="s">
        <v>1801</v>
      </c>
      <c r="K118" s="449">
        <v>2.82E-3</v>
      </c>
      <c r="L118" s="449" t="s">
        <v>1801</v>
      </c>
      <c r="M118" s="922">
        <v>0.1152903</v>
      </c>
      <c r="N118" s="450">
        <v>7.3340199999999994E-2</v>
      </c>
      <c r="O118" s="537" t="s">
        <v>2367</v>
      </c>
      <c r="P118" s="450">
        <v>9.7251999999999997E-6</v>
      </c>
      <c r="Q118" s="537" t="s">
        <v>2367</v>
      </c>
      <c r="R118" s="543">
        <v>368.5</v>
      </c>
      <c r="S118" s="540" t="s">
        <v>414</v>
      </c>
      <c r="T118" s="543">
        <v>572</v>
      </c>
      <c r="U118" s="540" t="s">
        <v>2180</v>
      </c>
      <c r="V118" s="451">
        <v>7590</v>
      </c>
      <c r="W118" s="540" t="s">
        <v>2180</v>
      </c>
      <c r="X118" s="449">
        <v>60.7</v>
      </c>
      <c r="Y118" s="455" t="s">
        <v>414</v>
      </c>
      <c r="Z118" s="455">
        <v>3.7000000000000002E-6</v>
      </c>
      <c r="AA118" s="455" t="s">
        <v>281</v>
      </c>
      <c r="AB118" s="455">
        <v>4.0000000000000001E-3</v>
      </c>
      <c r="AC118" s="455" t="s">
        <v>280</v>
      </c>
      <c r="AD118" s="452" t="s">
        <v>1731</v>
      </c>
      <c r="AE118" s="484" t="s">
        <v>1731</v>
      </c>
      <c r="AF118" s="484" t="s">
        <v>2512</v>
      </c>
      <c r="AG118" s="452" t="s">
        <v>58</v>
      </c>
      <c r="AH118" s="550"/>
    </row>
    <row r="119" spans="1:34" s="439" customFormat="1" ht="15">
      <c r="A119" s="453" t="s">
        <v>738</v>
      </c>
      <c r="B119" s="447" t="s">
        <v>739</v>
      </c>
      <c r="C119" s="448">
        <v>112.99</v>
      </c>
      <c r="D119" s="448" t="s">
        <v>1801</v>
      </c>
      <c r="E119" s="449">
        <v>18.16</v>
      </c>
      <c r="F119" s="449" t="s">
        <v>1801</v>
      </c>
      <c r="G119" s="450">
        <f t="shared" si="2"/>
        <v>110378835.47790161</v>
      </c>
      <c r="H119" s="450" t="s">
        <v>2207</v>
      </c>
      <c r="I119" s="450">
        <v>2750</v>
      </c>
      <c r="J119" s="448" t="s">
        <v>1801</v>
      </c>
      <c r="K119" s="449">
        <v>9.7599999999999998E-4</v>
      </c>
      <c r="L119" s="449" t="s">
        <v>1801</v>
      </c>
      <c r="M119" s="922">
        <v>3.9901899999999997E-2</v>
      </c>
      <c r="N119" s="450">
        <v>7.3873800000000003E-2</v>
      </c>
      <c r="O119" s="537" t="s">
        <v>2367</v>
      </c>
      <c r="P119" s="450">
        <v>9.8230000000000006E-6</v>
      </c>
      <c r="Q119" s="537" t="s">
        <v>2367</v>
      </c>
      <c r="R119" s="543">
        <v>393.9</v>
      </c>
      <c r="S119" s="540" t="s">
        <v>2173</v>
      </c>
      <c r="T119" s="543">
        <v>590.84999999999991</v>
      </c>
      <c r="U119" s="540" t="s">
        <v>2182</v>
      </c>
      <c r="V119" s="451">
        <v>8102.51</v>
      </c>
      <c r="W119" s="540" t="s">
        <v>2174</v>
      </c>
      <c r="X119" s="449">
        <v>72.17</v>
      </c>
      <c r="Y119" s="455" t="s">
        <v>414</v>
      </c>
      <c r="Z119" s="455" t="s">
        <v>2203</v>
      </c>
      <c r="AA119" s="455" t="s">
        <v>43</v>
      </c>
      <c r="AB119" s="455" t="s">
        <v>2203</v>
      </c>
      <c r="AC119" s="455" t="s">
        <v>43</v>
      </c>
      <c r="AD119" s="452" t="s">
        <v>1731</v>
      </c>
      <c r="AE119" s="484" t="s">
        <v>1731</v>
      </c>
      <c r="AF119" s="484" t="s">
        <v>2512</v>
      </c>
      <c r="AG119" s="452" t="s">
        <v>92</v>
      </c>
      <c r="AH119" s="550"/>
    </row>
    <row r="120" spans="1:34" s="439" customFormat="1" ht="15">
      <c r="A120" s="453" t="s">
        <v>165</v>
      </c>
      <c r="B120" s="447" t="s">
        <v>742</v>
      </c>
      <c r="C120" s="448">
        <v>110.97</v>
      </c>
      <c r="D120" s="448" t="s">
        <v>1801</v>
      </c>
      <c r="E120" s="449">
        <v>34</v>
      </c>
      <c r="F120" s="449" t="s">
        <v>1801</v>
      </c>
      <c r="G120" s="450">
        <f t="shared" si="2"/>
        <v>202961871.15376341</v>
      </c>
      <c r="H120" s="450" t="s">
        <v>2207</v>
      </c>
      <c r="I120" s="450">
        <v>2800</v>
      </c>
      <c r="J120" s="448" t="s">
        <v>1801</v>
      </c>
      <c r="K120" s="449">
        <v>3.5500000000000002E-3</v>
      </c>
      <c r="L120" s="449" t="s">
        <v>1801</v>
      </c>
      <c r="M120" s="922">
        <v>0.14513490000000001</v>
      </c>
      <c r="N120" s="450">
        <v>7.6272499999999993E-2</v>
      </c>
      <c r="O120" s="537" t="s">
        <v>2367</v>
      </c>
      <c r="P120" s="450">
        <v>1.01E-5</v>
      </c>
      <c r="Q120" s="537" t="s">
        <v>2367</v>
      </c>
      <c r="R120" s="543">
        <v>385</v>
      </c>
      <c r="S120" s="540" t="s">
        <v>414</v>
      </c>
      <c r="T120" s="543">
        <v>587.38</v>
      </c>
      <c r="U120" s="540" t="s">
        <v>2180</v>
      </c>
      <c r="V120" s="451">
        <v>7900</v>
      </c>
      <c r="W120" s="540" t="s">
        <v>2180</v>
      </c>
      <c r="X120" s="449">
        <v>72.17</v>
      </c>
      <c r="Y120" s="455" t="s">
        <v>414</v>
      </c>
      <c r="Z120" s="455">
        <v>3.9999999999999998E-6</v>
      </c>
      <c r="AA120" s="455" t="s">
        <v>280</v>
      </c>
      <c r="AB120" s="455">
        <v>0.02</v>
      </c>
      <c r="AC120" s="455" t="s">
        <v>280</v>
      </c>
      <c r="AD120" s="452" t="s">
        <v>1731</v>
      </c>
      <c r="AE120" s="484" t="s">
        <v>1731</v>
      </c>
      <c r="AF120" s="484" t="s">
        <v>2512</v>
      </c>
      <c r="AG120" s="452" t="s">
        <v>59</v>
      </c>
      <c r="AH120" s="550"/>
    </row>
    <row r="121" spans="1:34" s="439" customFormat="1" ht="15">
      <c r="A121" s="453" t="s">
        <v>2516</v>
      </c>
      <c r="B121" s="447" t="s">
        <v>2520</v>
      </c>
      <c r="C121" s="448">
        <v>110.97</v>
      </c>
      <c r="D121" s="448" t="s">
        <v>1801</v>
      </c>
      <c r="E121" s="449">
        <v>34</v>
      </c>
      <c r="F121" s="449" t="s">
        <v>1801</v>
      </c>
      <c r="G121" s="450">
        <f t="shared" ref="G121:G122" si="3">E121/760*1000000000*C121/24.46</f>
        <v>202961871.15376341</v>
      </c>
      <c r="H121" s="450" t="s">
        <v>2207</v>
      </c>
      <c r="I121" s="450">
        <v>2800</v>
      </c>
      <c r="J121" s="448" t="s">
        <v>1801</v>
      </c>
      <c r="K121" s="449">
        <v>3.5500000000000002E-3</v>
      </c>
      <c r="L121" s="449" t="s">
        <v>1801</v>
      </c>
      <c r="M121" s="922">
        <v>0.14513490000000001</v>
      </c>
      <c r="N121" s="450">
        <v>7.6272499999999993E-2</v>
      </c>
      <c r="O121" s="537" t="s">
        <v>2367</v>
      </c>
      <c r="P121" s="450">
        <v>1.01E-5</v>
      </c>
      <c r="Q121" s="537" t="s">
        <v>2367</v>
      </c>
      <c r="R121" s="543">
        <v>385</v>
      </c>
      <c r="S121" s="540" t="s">
        <v>414</v>
      </c>
      <c r="T121" s="543">
        <v>587.38</v>
      </c>
      <c r="U121" s="540" t="s">
        <v>2180</v>
      </c>
      <c r="V121" s="451">
        <v>7900</v>
      </c>
      <c r="W121" s="540" t="s">
        <v>2180</v>
      </c>
      <c r="X121" s="449">
        <v>72.17</v>
      </c>
      <c r="Y121" s="455" t="s">
        <v>414</v>
      </c>
      <c r="Z121" s="455">
        <v>3.9999999999999998E-6</v>
      </c>
      <c r="AA121" s="455" t="s">
        <v>280</v>
      </c>
      <c r="AB121" s="455">
        <v>0.02</v>
      </c>
      <c r="AC121" s="455" t="s">
        <v>280</v>
      </c>
      <c r="AD121" s="452" t="s">
        <v>1731</v>
      </c>
      <c r="AE121" s="484" t="s">
        <v>1731</v>
      </c>
      <c r="AF121" s="484" t="s">
        <v>2512</v>
      </c>
      <c r="AG121" s="452" t="s">
        <v>59</v>
      </c>
      <c r="AH121" s="550"/>
    </row>
    <row r="122" spans="1:34" s="439" customFormat="1" ht="15">
      <c r="A122" s="453" t="s">
        <v>2517</v>
      </c>
      <c r="B122" s="447" t="s">
        <v>2521</v>
      </c>
      <c r="C122" s="448">
        <v>110.97</v>
      </c>
      <c r="D122" s="448" t="s">
        <v>1801</v>
      </c>
      <c r="E122" s="449">
        <v>34</v>
      </c>
      <c r="F122" s="449" t="s">
        <v>1801</v>
      </c>
      <c r="G122" s="450">
        <f t="shared" si="3"/>
        <v>202961871.15376341</v>
      </c>
      <c r="H122" s="450" t="s">
        <v>2207</v>
      </c>
      <c r="I122" s="450">
        <v>2800</v>
      </c>
      <c r="J122" s="448" t="s">
        <v>1801</v>
      </c>
      <c r="K122" s="449">
        <v>3.5500000000000002E-3</v>
      </c>
      <c r="L122" s="449" t="s">
        <v>1801</v>
      </c>
      <c r="M122" s="922">
        <v>0.14513490000000001</v>
      </c>
      <c r="N122" s="450">
        <v>7.6272499999999993E-2</v>
      </c>
      <c r="O122" s="537" t="s">
        <v>2367</v>
      </c>
      <c r="P122" s="450">
        <v>1.01E-5</v>
      </c>
      <c r="Q122" s="537" t="s">
        <v>2367</v>
      </c>
      <c r="R122" s="543">
        <v>385</v>
      </c>
      <c r="S122" s="540" t="s">
        <v>414</v>
      </c>
      <c r="T122" s="543">
        <v>587.38</v>
      </c>
      <c r="U122" s="540" t="s">
        <v>2180</v>
      </c>
      <c r="V122" s="451">
        <v>7900</v>
      </c>
      <c r="W122" s="540" t="s">
        <v>2180</v>
      </c>
      <c r="X122" s="449">
        <v>72.17</v>
      </c>
      <c r="Y122" s="455" t="s">
        <v>414</v>
      </c>
      <c r="Z122" s="455">
        <v>3.9999999999999998E-6</v>
      </c>
      <c r="AA122" s="455" t="s">
        <v>280</v>
      </c>
      <c r="AB122" s="455">
        <v>0.02</v>
      </c>
      <c r="AC122" s="455" t="s">
        <v>280</v>
      </c>
      <c r="AD122" s="452" t="s">
        <v>1731</v>
      </c>
      <c r="AE122" s="484" t="s">
        <v>1731</v>
      </c>
      <c r="AF122" s="484" t="s">
        <v>2512</v>
      </c>
      <c r="AG122" s="452" t="s">
        <v>59</v>
      </c>
      <c r="AH122" s="550"/>
    </row>
    <row r="123" spans="1:34" s="439" customFormat="1" ht="15">
      <c r="A123" s="453" t="s">
        <v>745</v>
      </c>
      <c r="B123" s="447" t="s">
        <v>746</v>
      </c>
      <c r="C123" s="448">
        <v>132.21</v>
      </c>
      <c r="D123" s="448" t="s">
        <v>1801</v>
      </c>
      <c r="E123" s="449">
        <v>2.29</v>
      </c>
      <c r="F123" s="449" t="s">
        <v>414</v>
      </c>
      <c r="G123" s="450">
        <f t="shared" si="2"/>
        <v>16286574.213538755</v>
      </c>
      <c r="H123" s="450" t="s">
        <v>2207</v>
      </c>
      <c r="I123" s="450">
        <v>26.47</v>
      </c>
      <c r="J123" s="448" t="s">
        <v>1801</v>
      </c>
      <c r="K123" s="449">
        <v>6.25E-2</v>
      </c>
      <c r="L123" s="449" t="s">
        <v>1801</v>
      </c>
      <c r="M123" s="922">
        <v>2.5551922</v>
      </c>
      <c r="N123" s="450">
        <v>5.5745500000000003E-2</v>
      </c>
      <c r="O123" s="537" t="s">
        <v>2367</v>
      </c>
      <c r="P123" s="450">
        <v>7.7554000000000003E-6</v>
      </c>
      <c r="Q123" s="537" t="s">
        <v>2367</v>
      </c>
      <c r="R123" s="543">
        <v>443</v>
      </c>
      <c r="S123" s="540" t="s">
        <v>2173</v>
      </c>
      <c r="T123" s="543">
        <v>664.5</v>
      </c>
      <c r="U123" s="540" t="s">
        <v>2182</v>
      </c>
      <c r="V123" s="451">
        <v>2197.38</v>
      </c>
      <c r="W123" s="540" t="s">
        <v>2174</v>
      </c>
      <c r="X123" s="449">
        <v>1513</v>
      </c>
      <c r="Y123" s="455" t="s">
        <v>414</v>
      </c>
      <c r="Z123" s="455" t="s">
        <v>2203</v>
      </c>
      <c r="AA123" s="455" t="s">
        <v>43</v>
      </c>
      <c r="AB123" s="455">
        <v>2.9999999999999997E-4</v>
      </c>
      <c r="AC123" s="455" t="s">
        <v>0</v>
      </c>
      <c r="AD123" s="452" t="s">
        <v>1731</v>
      </c>
      <c r="AE123" s="484" t="s">
        <v>2513</v>
      </c>
      <c r="AF123" s="484" t="s">
        <v>2512</v>
      </c>
      <c r="AG123" s="452"/>
      <c r="AH123" s="550"/>
    </row>
    <row r="124" spans="1:34" s="439" customFormat="1" ht="15">
      <c r="A124" s="453" t="s">
        <v>756</v>
      </c>
      <c r="B124" s="453" t="s">
        <v>757</v>
      </c>
      <c r="C124" s="448">
        <v>101.15</v>
      </c>
      <c r="D124" s="448" t="s">
        <v>1801</v>
      </c>
      <c r="E124" s="449">
        <v>1.21</v>
      </c>
      <c r="F124" s="449" t="s">
        <v>414</v>
      </c>
      <c r="G124" s="450">
        <f t="shared" si="2"/>
        <v>6583869.4754056027</v>
      </c>
      <c r="H124" s="450" t="s">
        <v>2207</v>
      </c>
      <c r="I124" s="450">
        <v>1000000</v>
      </c>
      <c r="J124" s="448" t="s">
        <v>1801</v>
      </c>
      <c r="K124" s="449">
        <v>1.3E-7</v>
      </c>
      <c r="L124" s="449" t="s">
        <v>1801</v>
      </c>
      <c r="M124" s="922">
        <v>5.3148000000000003E-6</v>
      </c>
      <c r="N124" s="450">
        <v>7.3301000000000005E-2</v>
      </c>
      <c r="O124" s="537" t="s">
        <v>2367</v>
      </c>
      <c r="P124" s="450">
        <v>8.9772999999999996E-6</v>
      </c>
      <c r="Q124" s="537" t="s">
        <v>2367</v>
      </c>
      <c r="R124" s="543">
        <v>450.65</v>
      </c>
      <c r="S124" s="540" t="s">
        <v>414</v>
      </c>
      <c r="T124" s="543">
        <v>675.97499999999991</v>
      </c>
      <c r="U124" s="540" t="s">
        <v>2182</v>
      </c>
      <c r="V124" s="451">
        <v>11687.38</v>
      </c>
      <c r="W124" s="540" t="s">
        <v>2178</v>
      </c>
      <c r="X124" s="449">
        <v>2.06</v>
      </c>
      <c r="Y124" s="455" t="s">
        <v>414</v>
      </c>
      <c r="Z124" s="455" t="s">
        <v>2203</v>
      </c>
      <c r="AA124" s="455" t="s">
        <v>43</v>
      </c>
      <c r="AB124" s="455" t="s">
        <v>2203</v>
      </c>
      <c r="AC124" s="455" t="s">
        <v>43</v>
      </c>
      <c r="AD124" s="452" t="s">
        <v>1731</v>
      </c>
      <c r="AE124" s="484" t="s">
        <v>1731</v>
      </c>
      <c r="AF124" s="484" t="s">
        <v>2512</v>
      </c>
      <c r="AG124" s="452" t="s">
        <v>108</v>
      </c>
      <c r="AH124" s="550"/>
    </row>
    <row r="125" spans="1:34" s="439" customFormat="1" ht="15">
      <c r="A125" s="453" t="s">
        <v>764</v>
      </c>
      <c r="B125" s="447" t="s">
        <v>765</v>
      </c>
      <c r="C125" s="448">
        <v>66.051000000000002</v>
      </c>
      <c r="D125" s="448" t="s">
        <v>1801</v>
      </c>
      <c r="E125" s="449">
        <v>4550</v>
      </c>
      <c r="F125" s="449" t="s">
        <v>1801</v>
      </c>
      <c r="G125" s="450">
        <f t="shared" si="2"/>
        <v>16166676528.81181</v>
      </c>
      <c r="H125" s="450" t="s">
        <v>2207</v>
      </c>
      <c r="I125" s="450">
        <v>3200</v>
      </c>
      <c r="J125" s="448" t="s">
        <v>1801</v>
      </c>
      <c r="K125" s="449">
        <v>2.0299999999999999E-2</v>
      </c>
      <c r="L125" s="449" t="s">
        <v>1801</v>
      </c>
      <c r="M125" s="922">
        <v>0.82992639999999995</v>
      </c>
      <c r="N125" s="450">
        <v>0.1023145</v>
      </c>
      <c r="O125" s="537" t="s">
        <v>2367</v>
      </c>
      <c r="P125" s="450">
        <v>1.15E-5</v>
      </c>
      <c r="Q125" s="537" t="s">
        <v>2367</v>
      </c>
      <c r="R125" s="543">
        <v>248.1</v>
      </c>
      <c r="S125" s="540" t="s">
        <v>2173</v>
      </c>
      <c r="T125" s="543">
        <v>372.15</v>
      </c>
      <c r="U125" s="540" t="s">
        <v>2182</v>
      </c>
      <c r="V125" s="451">
        <v>5153.88</v>
      </c>
      <c r="W125" s="540" t="s">
        <v>2174</v>
      </c>
      <c r="X125" s="449">
        <v>31.82</v>
      </c>
      <c r="Y125" s="455" t="s">
        <v>414</v>
      </c>
      <c r="Z125" s="455" t="s">
        <v>2203</v>
      </c>
      <c r="AA125" s="455" t="s">
        <v>43</v>
      </c>
      <c r="AB125" s="455">
        <v>40</v>
      </c>
      <c r="AC125" s="455" t="s">
        <v>280</v>
      </c>
      <c r="AD125" s="452" t="s">
        <v>1731</v>
      </c>
      <c r="AE125" s="484" t="s">
        <v>1731</v>
      </c>
      <c r="AF125" s="484" t="s">
        <v>2512</v>
      </c>
      <c r="AG125" s="452" t="s">
        <v>66</v>
      </c>
      <c r="AH125" s="550"/>
    </row>
    <row r="126" spans="1:34" s="439" customFormat="1" ht="15">
      <c r="A126" s="453" t="s">
        <v>766</v>
      </c>
      <c r="B126" s="447" t="s">
        <v>767</v>
      </c>
      <c r="C126" s="448">
        <v>164.21</v>
      </c>
      <c r="D126" s="448" t="s">
        <v>1801</v>
      </c>
      <c r="E126" s="449">
        <v>5.6000000000000001E-2</v>
      </c>
      <c r="F126" s="449" t="s">
        <v>1801</v>
      </c>
      <c r="G126" s="450">
        <f t="shared" si="2"/>
        <v>494672.28988251492</v>
      </c>
      <c r="H126" s="450" t="s">
        <v>2207</v>
      </c>
      <c r="I126" s="450">
        <v>56.87</v>
      </c>
      <c r="J126" s="448" t="s">
        <v>1801</v>
      </c>
      <c r="K126" s="449">
        <v>1.22E-5</v>
      </c>
      <c r="L126" s="449" t="s">
        <v>1801</v>
      </c>
      <c r="M126" s="922">
        <v>4.9879999999999998E-4</v>
      </c>
      <c r="N126" s="450">
        <v>4.25858E-2</v>
      </c>
      <c r="O126" s="537" t="s">
        <v>2367</v>
      </c>
      <c r="P126" s="450">
        <v>7.3865999999999997E-6</v>
      </c>
      <c r="Q126" s="537" t="s">
        <v>2367</v>
      </c>
      <c r="R126" s="543">
        <v>387.5</v>
      </c>
      <c r="S126" s="540" t="s">
        <v>2178</v>
      </c>
      <c r="T126" s="543">
        <v>751.36</v>
      </c>
      <c r="U126" s="540" t="s">
        <v>2172</v>
      </c>
      <c r="V126" s="451" t="s">
        <v>2024</v>
      </c>
      <c r="W126" s="540"/>
      <c r="X126" s="449">
        <v>207.2</v>
      </c>
      <c r="Y126" s="455" t="s">
        <v>414</v>
      </c>
      <c r="Z126" s="455">
        <v>1.2999999999999999E-5</v>
      </c>
      <c r="AA126" s="455" t="s">
        <v>2507</v>
      </c>
      <c r="AB126" s="455" t="s">
        <v>2203</v>
      </c>
      <c r="AC126" s="455" t="s">
        <v>43</v>
      </c>
      <c r="AD126" s="452" t="s">
        <v>1731</v>
      </c>
      <c r="AE126" s="484" t="s">
        <v>1731</v>
      </c>
      <c r="AF126" s="484" t="s">
        <v>2512</v>
      </c>
      <c r="AG126" s="452"/>
      <c r="AH126" s="550"/>
    </row>
    <row r="127" spans="1:34" s="439" customFormat="1" ht="15">
      <c r="A127" s="453" t="s">
        <v>768</v>
      </c>
      <c r="B127" s="447" t="s">
        <v>769</v>
      </c>
      <c r="C127" s="448">
        <v>102.18</v>
      </c>
      <c r="D127" s="448" t="s">
        <v>1801</v>
      </c>
      <c r="E127" s="449">
        <v>149</v>
      </c>
      <c r="F127" s="449" t="s">
        <v>1801</v>
      </c>
      <c r="G127" s="450">
        <f t="shared" si="2"/>
        <v>818996643.28441715</v>
      </c>
      <c r="H127" s="450" t="s">
        <v>2207</v>
      </c>
      <c r="I127" s="450">
        <v>8800</v>
      </c>
      <c r="J127" s="448" t="s">
        <v>1801</v>
      </c>
      <c r="K127" s="449">
        <v>2.5600000000000002E-3</v>
      </c>
      <c r="L127" s="449" t="s">
        <v>1801</v>
      </c>
      <c r="M127" s="922">
        <v>0.1046607</v>
      </c>
      <c r="N127" s="450">
        <v>6.5422599999999997E-2</v>
      </c>
      <c r="O127" s="537" t="s">
        <v>2367</v>
      </c>
      <c r="P127" s="450">
        <v>7.7581999999999997E-6</v>
      </c>
      <c r="Q127" s="537" t="s">
        <v>2367</v>
      </c>
      <c r="R127" s="543">
        <v>341.5</v>
      </c>
      <c r="S127" s="540" t="s">
        <v>2173</v>
      </c>
      <c r="T127" s="543">
        <v>499.9</v>
      </c>
      <c r="U127" s="540" t="s">
        <v>2174</v>
      </c>
      <c r="V127" s="451" t="s">
        <v>2024</v>
      </c>
      <c r="W127" s="540"/>
      <c r="X127" s="449">
        <v>22.79</v>
      </c>
      <c r="Y127" s="455" t="s">
        <v>414</v>
      </c>
      <c r="Z127" s="455" t="s">
        <v>2203</v>
      </c>
      <c r="AA127" s="455" t="s">
        <v>43</v>
      </c>
      <c r="AB127" s="455">
        <v>0.7</v>
      </c>
      <c r="AC127" s="455" t="s">
        <v>281</v>
      </c>
      <c r="AD127" s="452" t="s">
        <v>1731</v>
      </c>
      <c r="AE127" s="484" t="s">
        <v>1731</v>
      </c>
      <c r="AF127" s="484" t="s">
        <v>2512</v>
      </c>
      <c r="AG127" s="452" t="s">
        <v>110</v>
      </c>
      <c r="AH127" s="550"/>
    </row>
    <row r="128" spans="1:34" s="439" customFormat="1" ht="15">
      <c r="A128" s="453" t="s">
        <v>770</v>
      </c>
      <c r="B128" s="447" t="s">
        <v>771</v>
      </c>
      <c r="C128" s="448">
        <v>180.19</v>
      </c>
      <c r="D128" s="448" t="s">
        <v>1801</v>
      </c>
      <c r="E128" s="449">
        <v>0.22800000000000001</v>
      </c>
      <c r="F128" s="449" t="s">
        <v>1801</v>
      </c>
      <c r="G128" s="450">
        <f t="shared" si="2"/>
        <v>2210016.353229763</v>
      </c>
      <c r="H128" s="450" t="s">
        <v>2207</v>
      </c>
      <c r="I128" s="450">
        <v>1500</v>
      </c>
      <c r="J128" s="448" t="s">
        <v>1801</v>
      </c>
      <c r="K128" s="449">
        <v>4.3800000000000001E-5</v>
      </c>
      <c r="L128" s="449" t="s">
        <v>414</v>
      </c>
      <c r="M128" s="922">
        <v>1.7907000000000001E-3</v>
      </c>
      <c r="N128" s="450">
        <v>3.3527500000000002E-2</v>
      </c>
      <c r="O128" s="537" t="s">
        <v>2367</v>
      </c>
      <c r="P128" s="450">
        <v>6.6297999999999996E-6</v>
      </c>
      <c r="Q128" s="537" t="s">
        <v>2367</v>
      </c>
      <c r="R128" s="543">
        <v>394.05</v>
      </c>
      <c r="S128" s="540" t="s">
        <v>2173</v>
      </c>
      <c r="T128" s="543">
        <v>591.07500000000005</v>
      </c>
      <c r="U128" s="540" t="s">
        <v>2182</v>
      </c>
      <c r="V128" s="451" t="s">
        <v>2024</v>
      </c>
      <c r="W128" s="540"/>
      <c r="X128" s="449">
        <v>42.2</v>
      </c>
      <c r="Y128" s="455" t="s">
        <v>414</v>
      </c>
      <c r="Z128" s="455" t="s">
        <v>2203</v>
      </c>
      <c r="AA128" s="455" t="s">
        <v>43</v>
      </c>
      <c r="AB128" s="455" t="s">
        <v>2203</v>
      </c>
      <c r="AC128" s="455" t="s">
        <v>43</v>
      </c>
      <c r="AD128" s="452" t="s">
        <v>1731</v>
      </c>
      <c r="AE128" s="484" t="s">
        <v>1731</v>
      </c>
      <c r="AF128" s="484" t="s">
        <v>2512</v>
      </c>
      <c r="AG128" s="452"/>
      <c r="AH128" s="550"/>
    </row>
    <row r="129" spans="1:34" s="439" customFormat="1" ht="15">
      <c r="A129" s="453" t="s">
        <v>786</v>
      </c>
      <c r="B129" s="447" t="s">
        <v>787</v>
      </c>
      <c r="C129" s="448">
        <v>121.18</v>
      </c>
      <c r="D129" s="448" t="s">
        <v>1801</v>
      </c>
      <c r="E129" s="449">
        <v>0.7</v>
      </c>
      <c r="F129" s="449" t="s">
        <v>1801</v>
      </c>
      <c r="G129" s="450">
        <f t="shared" si="2"/>
        <v>4563089.0390325775</v>
      </c>
      <c r="H129" s="450" t="s">
        <v>2207</v>
      </c>
      <c r="I129" s="450">
        <v>1450</v>
      </c>
      <c r="J129" s="448" t="s">
        <v>1801</v>
      </c>
      <c r="K129" s="449">
        <v>5.6799999999999998E-5</v>
      </c>
      <c r="L129" s="449" t="s">
        <v>414</v>
      </c>
      <c r="M129" s="922">
        <v>2.3222E-3</v>
      </c>
      <c r="N129" s="450">
        <v>6.2541100000000002E-2</v>
      </c>
      <c r="O129" s="537" t="s">
        <v>2367</v>
      </c>
      <c r="P129" s="450">
        <v>8.3063000000000004E-6</v>
      </c>
      <c r="Q129" s="537" t="s">
        <v>2367</v>
      </c>
      <c r="R129" s="543">
        <v>466.45</v>
      </c>
      <c r="S129" s="540" t="s">
        <v>2173</v>
      </c>
      <c r="T129" s="543">
        <v>687</v>
      </c>
      <c r="U129" s="540" t="s">
        <v>2174</v>
      </c>
      <c r="V129" s="451">
        <v>12276.68</v>
      </c>
      <c r="W129" s="540" t="s">
        <v>2174</v>
      </c>
      <c r="X129" s="449">
        <v>78.67</v>
      </c>
      <c r="Y129" s="455" t="s">
        <v>414</v>
      </c>
      <c r="Z129" s="455" t="s">
        <v>2203</v>
      </c>
      <c r="AA129" s="455" t="s">
        <v>43</v>
      </c>
      <c r="AB129" s="455" t="s">
        <v>2203</v>
      </c>
      <c r="AC129" s="455" t="s">
        <v>43</v>
      </c>
      <c r="AD129" s="452" t="s">
        <v>1731</v>
      </c>
      <c r="AE129" s="484" t="s">
        <v>1731</v>
      </c>
      <c r="AF129" s="484" t="s">
        <v>2512</v>
      </c>
      <c r="AG129" s="452"/>
      <c r="AH129" s="550"/>
    </row>
    <row r="130" spans="1:34" s="439" customFormat="1" ht="15">
      <c r="A130" s="453" t="s">
        <v>790</v>
      </c>
      <c r="B130" s="447" t="s">
        <v>791</v>
      </c>
      <c r="C130" s="448">
        <v>73.094999999999999</v>
      </c>
      <c r="D130" s="448" t="s">
        <v>1801</v>
      </c>
      <c r="E130" s="449">
        <v>3.87</v>
      </c>
      <c r="F130" s="449" t="s">
        <v>1801</v>
      </c>
      <c r="G130" s="450">
        <f t="shared" si="2"/>
        <v>15216984.227740239</v>
      </c>
      <c r="H130" s="450" t="s">
        <v>2207</v>
      </c>
      <c r="I130" s="450">
        <v>1000000</v>
      </c>
      <c r="J130" s="448" t="s">
        <v>1801</v>
      </c>
      <c r="K130" s="449">
        <v>7.3900000000000007E-8</v>
      </c>
      <c r="L130" s="449" t="s">
        <v>1801</v>
      </c>
      <c r="M130" s="922">
        <v>3.0213000000000002E-6</v>
      </c>
      <c r="N130" s="450">
        <v>9.7184599999999996E-2</v>
      </c>
      <c r="O130" s="537" t="s">
        <v>2367</v>
      </c>
      <c r="P130" s="450">
        <v>1.1199999999999999E-5</v>
      </c>
      <c r="Q130" s="537" t="s">
        <v>2367</v>
      </c>
      <c r="R130" s="543">
        <v>426.15</v>
      </c>
      <c r="S130" s="540" t="s">
        <v>414</v>
      </c>
      <c r="T130" s="543">
        <v>647.15</v>
      </c>
      <c r="U130" s="540" t="s">
        <v>2174</v>
      </c>
      <c r="V130" s="451">
        <v>11369.069600000001</v>
      </c>
      <c r="W130" s="540" t="s">
        <v>2174</v>
      </c>
      <c r="X130" s="449">
        <v>1</v>
      </c>
      <c r="Y130" s="455" t="s">
        <v>414</v>
      </c>
      <c r="Z130" s="455" t="s">
        <v>2203</v>
      </c>
      <c r="AA130" s="455" t="s">
        <v>43</v>
      </c>
      <c r="AB130" s="455">
        <v>0.03</v>
      </c>
      <c r="AC130" s="455" t="s">
        <v>280</v>
      </c>
      <c r="AD130" s="452" t="s">
        <v>1731</v>
      </c>
      <c r="AE130" s="484" t="s">
        <v>1731</v>
      </c>
      <c r="AF130" s="484" t="s">
        <v>2512</v>
      </c>
      <c r="AG130" s="452" t="s">
        <v>2042</v>
      </c>
      <c r="AH130" s="550"/>
    </row>
    <row r="131" spans="1:34" s="439" customFormat="1" ht="15">
      <c r="A131" s="453" t="s">
        <v>792</v>
      </c>
      <c r="B131" s="447" t="s">
        <v>793</v>
      </c>
      <c r="C131" s="448">
        <v>60.098999999999997</v>
      </c>
      <c r="D131" s="448" t="s">
        <v>1801</v>
      </c>
      <c r="E131" s="449">
        <v>163</v>
      </c>
      <c r="F131" s="449" t="s">
        <v>1801</v>
      </c>
      <c r="G131" s="450">
        <f t="shared" si="2"/>
        <v>526968681.41326326</v>
      </c>
      <c r="H131" s="450" t="s">
        <v>2207</v>
      </c>
      <c r="I131" s="450">
        <v>1000000</v>
      </c>
      <c r="J131" s="448" t="s">
        <v>1801</v>
      </c>
      <c r="K131" s="449">
        <v>1.29E-5</v>
      </c>
      <c r="L131" s="449" t="s">
        <v>1801</v>
      </c>
      <c r="M131" s="922">
        <v>5.2740000000000003E-4</v>
      </c>
      <c r="N131" s="450">
        <v>0.10378569999999999</v>
      </c>
      <c r="O131" s="537" t="s">
        <v>2367</v>
      </c>
      <c r="P131" s="450">
        <v>1.13E-5</v>
      </c>
      <c r="Q131" s="537" t="s">
        <v>2367</v>
      </c>
      <c r="R131" s="543">
        <v>337.04999999999995</v>
      </c>
      <c r="S131" s="540" t="s">
        <v>414</v>
      </c>
      <c r="T131" s="543">
        <v>523.15</v>
      </c>
      <c r="U131" s="540" t="s">
        <v>2174</v>
      </c>
      <c r="V131" s="451">
        <v>7791.8730579999992</v>
      </c>
      <c r="W131" s="540" t="s">
        <v>2174</v>
      </c>
      <c r="X131" s="449">
        <v>11.95</v>
      </c>
      <c r="Y131" s="455" t="s">
        <v>414</v>
      </c>
      <c r="Z131" s="455" t="s">
        <v>2203</v>
      </c>
      <c r="AA131" s="455" t="s">
        <v>43</v>
      </c>
      <c r="AB131" s="455">
        <v>1.9999999999999999E-6</v>
      </c>
      <c r="AC131" s="455" t="s">
        <v>0</v>
      </c>
      <c r="AD131" s="452" t="s">
        <v>1731</v>
      </c>
      <c r="AE131" s="484" t="s">
        <v>1731</v>
      </c>
      <c r="AF131" s="484" t="s">
        <v>2512</v>
      </c>
      <c r="AG131" s="452"/>
      <c r="AH131" s="550"/>
    </row>
    <row r="132" spans="1:34" s="439" customFormat="1" ht="15">
      <c r="A132" s="453" t="s">
        <v>794</v>
      </c>
      <c r="B132" s="447" t="s">
        <v>795</v>
      </c>
      <c r="C132" s="448">
        <v>60.098999999999997</v>
      </c>
      <c r="D132" s="448" t="s">
        <v>1801</v>
      </c>
      <c r="E132" s="449">
        <v>69.900000000000006</v>
      </c>
      <c r="F132" s="449" t="s">
        <v>1801</v>
      </c>
      <c r="G132" s="450">
        <f t="shared" si="2"/>
        <v>225982275.03550369</v>
      </c>
      <c r="H132" s="450" t="s">
        <v>2207</v>
      </c>
      <c r="I132" s="450">
        <v>1000000</v>
      </c>
      <c r="J132" s="448" t="s">
        <v>1801</v>
      </c>
      <c r="K132" s="449">
        <v>6.9499999999999994E-8</v>
      </c>
      <c r="L132" s="449" t="s">
        <v>1801</v>
      </c>
      <c r="M132" s="922">
        <v>2.8414E-6</v>
      </c>
      <c r="N132" s="450">
        <v>0.1057704</v>
      </c>
      <c r="O132" s="537" t="s">
        <v>2367</v>
      </c>
      <c r="P132" s="450">
        <v>1.1600000000000001E-5</v>
      </c>
      <c r="Q132" s="537" t="s">
        <v>2367</v>
      </c>
      <c r="R132" s="543">
        <v>354.15</v>
      </c>
      <c r="S132" s="540" t="s">
        <v>414</v>
      </c>
      <c r="T132" s="543">
        <v>531.22499999999991</v>
      </c>
      <c r="U132" s="540" t="s">
        <v>2182</v>
      </c>
      <c r="V132" s="451" t="s">
        <v>2024</v>
      </c>
      <c r="W132" s="540"/>
      <c r="X132" s="449">
        <v>14.87</v>
      </c>
      <c r="Y132" s="455" t="s">
        <v>414</v>
      </c>
      <c r="Z132" s="455">
        <v>0.16</v>
      </c>
      <c r="AA132" s="455" t="s">
        <v>2507</v>
      </c>
      <c r="AB132" s="455" t="s">
        <v>2203</v>
      </c>
      <c r="AC132" s="455" t="s">
        <v>43</v>
      </c>
      <c r="AD132" s="452" t="s">
        <v>1731</v>
      </c>
      <c r="AE132" s="484" t="s">
        <v>1731</v>
      </c>
      <c r="AF132" s="484" t="s">
        <v>2512</v>
      </c>
      <c r="AG132" s="452"/>
      <c r="AH132" s="550"/>
    </row>
    <row r="133" spans="1:34" s="439" customFormat="1" ht="15">
      <c r="A133" s="453" t="s">
        <v>2154</v>
      </c>
      <c r="B133" s="447" t="s">
        <v>802</v>
      </c>
      <c r="C133" s="448">
        <v>194.19</v>
      </c>
      <c r="D133" s="448" t="s">
        <v>1801</v>
      </c>
      <c r="E133" s="449">
        <v>0.01</v>
      </c>
      <c r="F133" s="449" t="s">
        <v>1801</v>
      </c>
      <c r="G133" s="450">
        <f t="shared" si="2"/>
        <v>104461.63446227998</v>
      </c>
      <c r="H133" s="450" t="s">
        <v>2207</v>
      </c>
      <c r="I133" s="450">
        <v>19</v>
      </c>
      <c r="J133" s="448" t="s">
        <v>1801</v>
      </c>
      <c r="K133" s="449">
        <v>1.34E-4</v>
      </c>
      <c r="L133" s="449" t="s">
        <v>414</v>
      </c>
      <c r="M133" s="922">
        <v>5.4783000000000002E-3</v>
      </c>
      <c r="N133" s="450">
        <v>2.85329E-2</v>
      </c>
      <c r="O133" s="537" t="s">
        <v>2367</v>
      </c>
      <c r="P133" s="450">
        <v>6.7170999999999996E-6</v>
      </c>
      <c r="Q133" s="537" t="s">
        <v>2367</v>
      </c>
      <c r="R133" s="543">
        <v>561</v>
      </c>
      <c r="S133" s="540" t="s">
        <v>2173</v>
      </c>
      <c r="T133" s="543">
        <v>841.5</v>
      </c>
      <c r="U133" s="540" t="s">
        <v>2182</v>
      </c>
      <c r="V133" s="451" t="s">
        <v>2024</v>
      </c>
      <c r="W133" s="540"/>
      <c r="X133" s="449">
        <v>30.96</v>
      </c>
      <c r="Y133" s="455" t="s">
        <v>414</v>
      </c>
      <c r="Z133" s="455" t="s">
        <v>2203</v>
      </c>
      <c r="AA133" s="455" t="s">
        <v>43</v>
      </c>
      <c r="AB133" s="455" t="s">
        <v>2203</v>
      </c>
      <c r="AC133" s="455" t="s">
        <v>43</v>
      </c>
      <c r="AD133" s="452" t="s">
        <v>1731</v>
      </c>
      <c r="AE133" s="484" t="s">
        <v>1731</v>
      </c>
      <c r="AF133" s="484" t="s">
        <v>2512</v>
      </c>
      <c r="AG133" s="452"/>
      <c r="AH133" s="550"/>
    </row>
    <row r="134" spans="1:34" s="439" customFormat="1" ht="15">
      <c r="A134" s="453" t="s">
        <v>803</v>
      </c>
      <c r="B134" s="447" t="s">
        <v>804</v>
      </c>
      <c r="C134" s="448">
        <v>90.552999999999997</v>
      </c>
      <c r="D134" s="448" t="s">
        <v>1801</v>
      </c>
      <c r="E134" s="449">
        <v>212</v>
      </c>
      <c r="F134" s="449" t="s">
        <v>1801</v>
      </c>
      <c r="G134" s="450">
        <f t="shared" si="2"/>
        <v>1032686878.6848561</v>
      </c>
      <c r="H134" s="450" t="s">
        <v>2207</v>
      </c>
      <c r="I134" s="450">
        <v>1000</v>
      </c>
      <c r="J134" s="448" t="s">
        <v>1801</v>
      </c>
      <c r="K134" s="449">
        <v>1.1842999999999999E-3</v>
      </c>
      <c r="L134" s="449" t="s">
        <v>1796</v>
      </c>
      <c r="M134" s="922">
        <v>4.8417000000000002E-2</v>
      </c>
      <c r="N134" s="450">
        <v>8.1171599999999997E-2</v>
      </c>
      <c r="O134" s="537" t="s">
        <v>2367</v>
      </c>
      <c r="P134" s="450">
        <v>9.6606000000000003E-6</v>
      </c>
      <c r="Q134" s="537" t="s">
        <v>2367</v>
      </c>
      <c r="R134" s="543">
        <v>341.2</v>
      </c>
      <c r="S134" s="540" t="s">
        <v>2178</v>
      </c>
      <c r="T134" s="543">
        <v>518.49</v>
      </c>
      <c r="U134" s="540" t="s">
        <v>2172</v>
      </c>
      <c r="V134" s="451" t="s">
        <v>2024</v>
      </c>
      <c r="W134" s="540"/>
      <c r="X134" s="449">
        <v>60.7</v>
      </c>
      <c r="Y134" s="455" t="s">
        <v>414</v>
      </c>
      <c r="Z134" s="455">
        <v>1.2999999999999999E-5</v>
      </c>
      <c r="AA134" s="455" t="s">
        <v>2507</v>
      </c>
      <c r="AB134" s="455" t="s">
        <v>2203</v>
      </c>
      <c r="AC134" s="455" t="s">
        <v>43</v>
      </c>
      <c r="AD134" s="452" t="s">
        <v>1731</v>
      </c>
      <c r="AE134" s="484" t="s">
        <v>1731</v>
      </c>
      <c r="AF134" s="484" t="s">
        <v>2512</v>
      </c>
      <c r="AG134" s="452"/>
      <c r="AH134" s="550"/>
    </row>
    <row r="135" spans="1:34" s="439" customFormat="1" ht="15">
      <c r="A135" s="453" t="s">
        <v>829</v>
      </c>
      <c r="B135" s="447" t="s">
        <v>830</v>
      </c>
      <c r="C135" s="448">
        <v>88.106999999999999</v>
      </c>
      <c r="D135" s="448" t="s">
        <v>1801</v>
      </c>
      <c r="E135" s="449">
        <v>38.090000000000003</v>
      </c>
      <c r="F135" s="449" t="s">
        <v>1801</v>
      </c>
      <c r="G135" s="450">
        <f t="shared" si="2"/>
        <v>180530814.54146406</v>
      </c>
      <c r="H135" s="450" t="s">
        <v>2207</v>
      </c>
      <c r="I135" s="450">
        <v>1000000</v>
      </c>
      <c r="J135" s="448" t="s">
        <v>1801</v>
      </c>
      <c r="K135" s="449">
        <v>4.7999999999999998E-6</v>
      </c>
      <c r="L135" s="449" t="s">
        <v>1801</v>
      </c>
      <c r="M135" s="922">
        <v>1.962E-4</v>
      </c>
      <c r="N135" s="450">
        <v>8.7373900000000004E-2</v>
      </c>
      <c r="O135" s="537" t="s">
        <v>2367</v>
      </c>
      <c r="P135" s="450">
        <v>1.0499999999999999E-5</v>
      </c>
      <c r="Q135" s="537" t="s">
        <v>2367</v>
      </c>
      <c r="R135" s="543">
        <v>374.65</v>
      </c>
      <c r="S135" s="540" t="s">
        <v>414</v>
      </c>
      <c r="T135" s="543">
        <v>585.15</v>
      </c>
      <c r="U135" s="540" t="s">
        <v>2174</v>
      </c>
      <c r="V135" s="451">
        <v>8687.3501999999989</v>
      </c>
      <c r="W135" s="540" t="s">
        <v>2174</v>
      </c>
      <c r="X135" s="449">
        <v>2.633</v>
      </c>
      <c r="Y135" s="455" t="s">
        <v>414</v>
      </c>
      <c r="Z135" s="455">
        <v>5.0000000000000004E-6</v>
      </c>
      <c r="AA135" s="455" t="s">
        <v>280</v>
      </c>
      <c r="AB135" s="455">
        <v>0.03</v>
      </c>
      <c r="AC135" s="455" t="s">
        <v>280</v>
      </c>
      <c r="AD135" s="452" t="s">
        <v>1731</v>
      </c>
      <c r="AE135" s="484" t="s">
        <v>1731</v>
      </c>
      <c r="AF135" s="484" t="s">
        <v>2512</v>
      </c>
      <c r="AG135" s="452"/>
      <c r="AH135" s="550"/>
    </row>
    <row r="136" spans="1:34" s="439" customFormat="1" ht="15">
      <c r="A136" s="453" t="s">
        <v>853</v>
      </c>
      <c r="B136" s="447" t="s">
        <v>854</v>
      </c>
      <c r="C136" s="448">
        <v>120.24</v>
      </c>
      <c r="D136" s="448" t="s">
        <v>1801</v>
      </c>
      <c r="E136" s="449">
        <v>7.9500000000000001E-2</v>
      </c>
      <c r="F136" s="449" t="s">
        <v>1801</v>
      </c>
      <c r="G136" s="450">
        <f t="shared" si="2"/>
        <v>514216.5511899126</v>
      </c>
      <c r="H136" s="450" t="s">
        <v>2207</v>
      </c>
      <c r="I136" s="450">
        <v>3000</v>
      </c>
      <c r="J136" s="448" t="s">
        <v>1801</v>
      </c>
      <c r="K136" s="449">
        <v>4.1999999999999998E-5</v>
      </c>
      <c r="L136" s="449" t="s">
        <v>414</v>
      </c>
      <c r="M136" s="922">
        <v>1.7171E-3</v>
      </c>
      <c r="N136" s="450">
        <v>6.82093E-2</v>
      </c>
      <c r="O136" s="537" t="s">
        <v>2367</v>
      </c>
      <c r="P136" s="450">
        <v>9.2765E-6</v>
      </c>
      <c r="Q136" s="537" t="s">
        <v>2367</v>
      </c>
      <c r="R136" s="543">
        <v>472.7</v>
      </c>
      <c r="S136" s="540" t="s">
        <v>2178</v>
      </c>
      <c r="T136" s="543">
        <v>657.97</v>
      </c>
      <c r="U136" s="540" t="s">
        <v>2182</v>
      </c>
      <c r="V136" s="451" t="s">
        <v>2024</v>
      </c>
      <c r="W136" s="540"/>
      <c r="X136" s="449">
        <v>145.80000000000001</v>
      </c>
      <c r="Y136" s="455" t="s">
        <v>414</v>
      </c>
      <c r="Z136" s="455" t="s">
        <v>2203</v>
      </c>
      <c r="AA136" s="455" t="s">
        <v>43</v>
      </c>
      <c r="AB136" s="455" t="s">
        <v>2203</v>
      </c>
      <c r="AC136" s="455" t="s">
        <v>43</v>
      </c>
      <c r="AD136" s="452" t="s">
        <v>1731</v>
      </c>
      <c r="AE136" s="484" t="s">
        <v>1731</v>
      </c>
      <c r="AF136" s="484" t="s">
        <v>2512</v>
      </c>
      <c r="AG136" s="452"/>
      <c r="AH136" s="550"/>
    </row>
    <row r="137" spans="1:34" s="439" customFormat="1" ht="15">
      <c r="A137" s="453" t="s">
        <v>100</v>
      </c>
      <c r="B137" s="453" t="s">
        <v>861</v>
      </c>
      <c r="C137" s="448">
        <v>406.93</v>
      </c>
      <c r="D137" s="448" t="s">
        <v>1801</v>
      </c>
      <c r="E137" s="449">
        <v>1.73E-7</v>
      </c>
      <c r="F137" s="449" t="s">
        <v>1801</v>
      </c>
      <c r="G137" s="450">
        <f t="shared" si="2"/>
        <v>3.7870040237552178</v>
      </c>
      <c r="H137" s="450" t="s">
        <v>2207</v>
      </c>
      <c r="I137" s="450">
        <v>0.32500000000000001</v>
      </c>
      <c r="J137" s="448" t="s">
        <v>1801</v>
      </c>
      <c r="K137" s="449">
        <v>6.4999999999999994E-5</v>
      </c>
      <c r="L137" s="449" t="s">
        <v>1801</v>
      </c>
      <c r="M137" s="922">
        <v>2.6573999999999999E-3</v>
      </c>
      <c r="N137" s="450">
        <v>2.2484500000000001E-2</v>
      </c>
      <c r="O137" s="537" t="s">
        <v>2367</v>
      </c>
      <c r="P137" s="450">
        <v>5.7628000000000001E-6</v>
      </c>
      <c r="Q137" s="537" t="s">
        <v>2367</v>
      </c>
      <c r="R137" s="543">
        <v>674.28</v>
      </c>
      <c r="S137" s="540" t="s">
        <v>414</v>
      </c>
      <c r="T137" s="543">
        <v>1011.42</v>
      </c>
      <c r="U137" s="540" t="s">
        <v>2182</v>
      </c>
      <c r="V137" s="451" t="s">
        <v>2024</v>
      </c>
      <c r="W137" s="540"/>
      <c r="X137" s="449">
        <v>6761</v>
      </c>
      <c r="Y137" s="455" t="s">
        <v>414</v>
      </c>
      <c r="Z137" s="455" t="s">
        <v>2203</v>
      </c>
      <c r="AA137" s="455" t="s">
        <v>43</v>
      </c>
      <c r="AB137" s="455" t="s">
        <v>2203</v>
      </c>
      <c r="AC137" s="455" t="s">
        <v>43</v>
      </c>
      <c r="AD137" s="452" t="s">
        <v>1731</v>
      </c>
      <c r="AE137" s="484" t="s">
        <v>1731</v>
      </c>
      <c r="AF137" s="484" t="s">
        <v>2512</v>
      </c>
      <c r="AG137" s="452"/>
      <c r="AH137" s="550"/>
    </row>
    <row r="138" spans="1:34" s="439" customFormat="1" ht="15">
      <c r="A138" s="453" t="s">
        <v>866</v>
      </c>
      <c r="B138" s="447" t="s">
        <v>867</v>
      </c>
      <c r="C138" s="448">
        <v>92.525999999999996</v>
      </c>
      <c r="D138" s="448" t="s">
        <v>1801</v>
      </c>
      <c r="E138" s="449">
        <v>16.440000000000001</v>
      </c>
      <c r="F138" s="449" t="s">
        <v>1801</v>
      </c>
      <c r="G138" s="450">
        <f t="shared" si="2"/>
        <v>81826797.779403523</v>
      </c>
      <c r="H138" s="450" t="s">
        <v>2207</v>
      </c>
      <c r="I138" s="450">
        <v>65900</v>
      </c>
      <c r="J138" s="448" t="s">
        <v>1801</v>
      </c>
      <c r="K138" s="449">
        <v>3.04E-5</v>
      </c>
      <c r="L138" s="449" t="s">
        <v>414</v>
      </c>
      <c r="M138" s="922">
        <v>1.2428000000000001E-3</v>
      </c>
      <c r="N138" s="450">
        <v>8.8868199999999994E-2</v>
      </c>
      <c r="O138" s="537" t="s">
        <v>2367</v>
      </c>
      <c r="P138" s="450">
        <v>1.11E-5</v>
      </c>
      <c r="Q138" s="537" t="s">
        <v>2367</v>
      </c>
      <c r="R138" s="543">
        <v>390</v>
      </c>
      <c r="S138" s="540" t="s">
        <v>414</v>
      </c>
      <c r="T138" s="543">
        <v>600</v>
      </c>
      <c r="U138" s="540" t="s">
        <v>2172</v>
      </c>
      <c r="V138" s="451">
        <v>10.1</v>
      </c>
      <c r="W138" s="540" t="s">
        <v>2172</v>
      </c>
      <c r="X138" s="449">
        <v>9.907</v>
      </c>
      <c r="Y138" s="455" t="s">
        <v>414</v>
      </c>
      <c r="Z138" s="455">
        <v>1.1999999999999999E-6</v>
      </c>
      <c r="AA138" s="455" t="s">
        <v>280</v>
      </c>
      <c r="AB138" s="455">
        <v>1E-3</v>
      </c>
      <c r="AC138" s="455" t="s">
        <v>280</v>
      </c>
      <c r="AD138" s="452" t="s">
        <v>1731</v>
      </c>
      <c r="AE138" s="484" t="s">
        <v>1731</v>
      </c>
      <c r="AF138" s="484" t="s">
        <v>2512</v>
      </c>
      <c r="AG138" s="452"/>
      <c r="AH138" s="550"/>
    </row>
    <row r="139" spans="1:34" s="439" customFormat="1" ht="15">
      <c r="A139" s="453" t="s">
        <v>868</v>
      </c>
      <c r="B139" s="447" t="s">
        <v>869</v>
      </c>
      <c r="C139" s="448">
        <v>72.108000000000004</v>
      </c>
      <c r="D139" s="448" t="s">
        <v>1801</v>
      </c>
      <c r="E139" s="449">
        <v>180</v>
      </c>
      <c r="F139" s="449" t="s">
        <v>1801</v>
      </c>
      <c r="G139" s="450">
        <f t="shared" si="2"/>
        <v>698209751.68911648</v>
      </c>
      <c r="H139" s="450" t="s">
        <v>2207</v>
      </c>
      <c r="I139" s="450">
        <v>95000</v>
      </c>
      <c r="J139" s="448" t="s">
        <v>1801</v>
      </c>
      <c r="K139" s="449">
        <v>1.8000000000000001E-4</v>
      </c>
      <c r="L139" s="449" t="s">
        <v>414</v>
      </c>
      <c r="M139" s="922">
        <v>7.3590000000000001E-3</v>
      </c>
      <c r="N139" s="450">
        <v>9.2895800000000001E-2</v>
      </c>
      <c r="O139" s="537" t="s">
        <v>2367</v>
      </c>
      <c r="P139" s="450">
        <v>1.04E-5</v>
      </c>
      <c r="Q139" s="537" t="s">
        <v>2367</v>
      </c>
      <c r="R139" s="543">
        <v>336.3</v>
      </c>
      <c r="S139" s="540" t="s">
        <v>2173</v>
      </c>
      <c r="T139" s="543">
        <v>516</v>
      </c>
      <c r="U139" s="540" t="s">
        <v>2043</v>
      </c>
      <c r="V139" s="451">
        <v>7211</v>
      </c>
      <c r="W139" s="540" t="s">
        <v>2174</v>
      </c>
      <c r="X139" s="449">
        <v>9.907</v>
      </c>
      <c r="Y139" s="455" t="s">
        <v>414</v>
      </c>
      <c r="Z139" s="455" t="s">
        <v>2203</v>
      </c>
      <c r="AA139" s="455" t="s">
        <v>43</v>
      </c>
      <c r="AB139" s="455">
        <v>0.02</v>
      </c>
      <c r="AC139" s="455" t="s">
        <v>280</v>
      </c>
      <c r="AD139" s="452" t="s">
        <v>1731</v>
      </c>
      <c r="AE139" s="484" t="s">
        <v>1731</v>
      </c>
      <c r="AF139" s="484" t="s">
        <v>2512</v>
      </c>
      <c r="AG139" s="452"/>
      <c r="AH139" s="550"/>
    </row>
    <row r="140" spans="1:34" s="439" customFormat="1" ht="15">
      <c r="A140" s="453" t="s">
        <v>859</v>
      </c>
      <c r="B140" s="447" t="s">
        <v>860</v>
      </c>
      <c r="C140" s="448">
        <v>189.32</v>
      </c>
      <c r="D140" s="448" t="s">
        <v>1801</v>
      </c>
      <c r="E140" s="449">
        <v>2.4E-2</v>
      </c>
      <c r="F140" s="449" t="s">
        <v>1801</v>
      </c>
      <c r="G140" s="450">
        <f t="shared" si="2"/>
        <v>244420.53621379694</v>
      </c>
      <c r="H140" s="450" t="s">
        <v>2207</v>
      </c>
      <c r="I140" s="450">
        <v>375</v>
      </c>
      <c r="J140" s="448" t="s">
        <v>1801</v>
      </c>
      <c r="K140" s="449">
        <v>1.59E-5</v>
      </c>
      <c r="L140" s="449" t="s">
        <v>414</v>
      </c>
      <c r="M140" s="922">
        <v>6.4999999999999997E-4</v>
      </c>
      <c r="N140" s="450">
        <v>2.9126200000000001E-2</v>
      </c>
      <c r="O140" s="537" t="s">
        <v>2367</v>
      </c>
      <c r="P140" s="450">
        <v>6.3511000000000001E-6</v>
      </c>
      <c r="Q140" s="537" t="s">
        <v>2367</v>
      </c>
      <c r="R140" s="543">
        <v>400</v>
      </c>
      <c r="S140" s="540" t="s">
        <v>2173</v>
      </c>
      <c r="T140" s="543">
        <v>600</v>
      </c>
      <c r="U140" s="540" t="s">
        <v>2182</v>
      </c>
      <c r="V140" s="451" t="s">
        <v>2024</v>
      </c>
      <c r="W140" s="540"/>
      <c r="X140" s="449">
        <v>164.1</v>
      </c>
      <c r="Y140" s="455" t="s">
        <v>414</v>
      </c>
      <c r="Z140" s="455" t="s">
        <v>2203</v>
      </c>
      <c r="AA140" s="455" t="s">
        <v>43</v>
      </c>
      <c r="AB140" s="455" t="s">
        <v>2203</v>
      </c>
      <c r="AC140" s="455" t="s">
        <v>43</v>
      </c>
      <c r="AD140" s="452" t="s">
        <v>1731</v>
      </c>
      <c r="AE140" s="484" t="s">
        <v>1731</v>
      </c>
      <c r="AF140" s="484" t="s">
        <v>2512</v>
      </c>
      <c r="AG140" s="452"/>
      <c r="AH140" s="550"/>
    </row>
    <row r="141" spans="1:34" s="439" customFormat="1" ht="15">
      <c r="A141" s="453" t="s">
        <v>874</v>
      </c>
      <c r="B141" s="447" t="s">
        <v>875</v>
      </c>
      <c r="C141" s="448">
        <v>132.16</v>
      </c>
      <c r="D141" s="448" t="s">
        <v>1801</v>
      </c>
      <c r="E141" s="449">
        <v>2</v>
      </c>
      <c r="F141" s="449" t="s">
        <v>1801</v>
      </c>
      <c r="G141" s="450">
        <f t="shared" si="2"/>
        <v>14218702.930670913</v>
      </c>
      <c r="H141" s="450" t="s">
        <v>2207</v>
      </c>
      <c r="I141" s="450">
        <v>187000</v>
      </c>
      <c r="J141" s="448" t="s">
        <v>1801</v>
      </c>
      <c r="K141" s="449">
        <v>3.1999999999999999E-6</v>
      </c>
      <c r="L141" s="449" t="s">
        <v>1801</v>
      </c>
      <c r="M141" s="922">
        <v>1.3080000000000001E-4</v>
      </c>
      <c r="N141" s="450">
        <v>5.6950399999999998E-2</v>
      </c>
      <c r="O141" s="537" t="s">
        <v>2367</v>
      </c>
      <c r="P141" s="450">
        <v>7.9752999999999997E-6</v>
      </c>
      <c r="Q141" s="537" t="s">
        <v>2367</v>
      </c>
      <c r="R141" s="543">
        <v>429.54999999999995</v>
      </c>
      <c r="S141" s="540" t="s">
        <v>414</v>
      </c>
      <c r="T141" s="543">
        <v>607</v>
      </c>
      <c r="U141" s="540" t="s">
        <v>2179</v>
      </c>
      <c r="V141" s="451">
        <v>9779.84</v>
      </c>
      <c r="W141" s="540" t="s">
        <v>2174</v>
      </c>
      <c r="X141" s="449">
        <v>4.5419999999999998</v>
      </c>
      <c r="Y141" s="455" t="s">
        <v>414</v>
      </c>
      <c r="Z141" s="455" t="s">
        <v>2203</v>
      </c>
      <c r="AA141" s="455" t="s">
        <v>43</v>
      </c>
      <c r="AB141" s="455">
        <v>0.06</v>
      </c>
      <c r="AC141" s="455" t="s">
        <v>281</v>
      </c>
      <c r="AD141" s="452" t="s">
        <v>1731</v>
      </c>
      <c r="AE141" s="484" t="s">
        <v>1731</v>
      </c>
      <c r="AF141" s="484" t="s">
        <v>2512</v>
      </c>
      <c r="AG141" s="452"/>
      <c r="AH141" s="550"/>
    </row>
    <row r="142" spans="1:34" s="439" customFormat="1" ht="15">
      <c r="A142" s="453" t="s">
        <v>876</v>
      </c>
      <c r="B142" s="447" t="s">
        <v>877</v>
      </c>
      <c r="C142" s="448">
        <v>90.123000000000005</v>
      </c>
      <c r="D142" s="448" t="s">
        <v>1801</v>
      </c>
      <c r="E142" s="449">
        <v>5.31</v>
      </c>
      <c r="F142" s="449" t="s">
        <v>1801</v>
      </c>
      <c r="G142" s="450">
        <f t="shared" si="2"/>
        <v>25743056.870508242</v>
      </c>
      <c r="H142" s="450" t="s">
        <v>2207</v>
      </c>
      <c r="I142" s="450">
        <v>1000000</v>
      </c>
      <c r="J142" s="448" t="s">
        <v>1801</v>
      </c>
      <c r="K142" s="449">
        <v>4.7E-7</v>
      </c>
      <c r="L142" s="449" t="s">
        <v>1801</v>
      </c>
      <c r="M142" s="922">
        <v>1.9199999999999999E-5</v>
      </c>
      <c r="N142" s="450">
        <v>8.1753699999999999E-2</v>
      </c>
      <c r="O142" s="537" t="s">
        <v>2367</v>
      </c>
      <c r="P142" s="450">
        <v>9.7305999999999996E-6</v>
      </c>
      <c r="Q142" s="537" t="s">
        <v>2367</v>
      </c>
      <c r="R142" s="543">
        <v>408.15</v>
      </c>
      <c r="S142" s="540" t="s">
        <v>414</v>
      </c>
      <c r="T142" s="543">
        <v>612.22499999999991</v>
      </c>
      <c r="U142" s="540" t="s">
        <v>2182</v>
      </c>
      <c r="V142" s="451">
        <v>9680.4283800000012</v>
      </c>
      <c r="W142" s="540" t="s">
        <v>2174</v>
      </c>
      <c r="X142" s="449">
        <v>1</v>
      </c>
      <c r="Y142" s="455" t="s">
        <v>414</v>
      </c>
      <c r="Z142" s="455" t="s">
        <v>2203</v>
      </c>
      <c r="AA142" s="455" t="s">
        <v>43</v>
      </c>
      <c r="AB142" s="455">
        <v>0.2</v>
      </c>
      <c r="AC142" s="455" t="s">
        <v>280</v>
      </c>
      <c r="AD142" s="452" t="s">
        <v>1731</v>
      </c>
      <c r="AE142" s="484" t="s">
        <v>1731</v>
      </c>
      <c r="AF142" s="484" t="s">
        <v>2512</v>
      </c>
      <c r="AG142" s="452"/>
      <c r="AH142" s="550"/>
    </row>
    <row r="143" spans="1:34" s="439" customFormat="1" ht="15">
      <c r="A143" s="453" t="s">
        <v>878</v>
      </c>
      <c r="B143" s="447" t="s">
        <v>879</v>
      </c>
      <c r="C143" s="448">
        <v>88.106999999999999</v>
      </c>
      <c r="D143" s="448" t="s">
        <v>1801</v>
      </c>
      <c r="E143" s="449">
        <v>93.2</v>
      </c>
      <c r="F143" s="449" t="s">
        <v>1801</v>
      </c>
      <c r="G143" s="450">
        <f t="shared" si="2"/>
        <v>441729375.56483197</v>
      </c>
      <c r="H143" s="450" t="s">
        <v>2207</v>
      </c>
      <c r="I143" s="450">
        <v>80000</v>
      </c>
      <c r="J143" s="448" t="s">
        <v>1801</v>
      </c>
      <c r="K143" s="449">
        <v>1.34E-4</v>
      </c>
      <c r="L143" s="449" t="s">
        <v>1801</v>
      </c>
      <c r="M143" s="922">
        <v>5.4783000000000002E-3</v>
      </c>
      <c r="N143" s="450">
        <v>8.2315799999999995E-2</v>
      </c>
      <c r="O143" s="537" t="s">
        <v>2367</v>
      </c>
      <c r="P143" s="450">
        <v>9.7027999999999997E-6</v>
      </c>
      <c r="Q143" s="537" t="s">
        <v>2367</v>
      </c>
      <c r="R143" s="543">
        <v>350.1</v>
      </c>
      <c r="S143" s="540" t="s">
        <v>414</v>
      </c>
      <c r="T143" s="543">
        <v>523.29999999999995</v>
      </c>
      <c r="U143" s="540" t="s">
        <v>2181</v>
      </c>
      <c r="V143" s="451">
        <v>7633.66</v>
      </c>
      <c r="W143" s="540" t="s">
        <v>2181</v>
      </c>
      <c r="X143" s="449">
        <v>5.5830000000000002</v>
      </c>
      <c r="Y143" s="455" t="s">
        <v>414</v>
      </c>
      <c r="Z143" s="455" t="s">
        <v>2203</v>
      </c>
      <c r="AA143" s="455" t="s">
        <v>43</v>
      </c>
      <c r="AB143" s="455">
        <v>7.0000000000000007E-2</v>
      </c>
      <c r="AC143" s="455" t="s">
        <v>281</v>
      </c>
      <c r="AD143" s="452" t="s">
        <v>1731</v>
      </c>
      <c r="AE143" s="484" t="s">
        <v>1731</v>
      </c>
      <c r="AF143" s="484" t="s">
        <v>2512</v>
      </c>
      <c r="AG143" s="452"/>
      <c r="AH143" s="550"/>
    </row>
    <row r="144" spans="1:34" s="439" customFormat="1" ht="15">
      <c r="A144" s="453" t="s">
        <v>880</v>
      </c>
      <c r="B144" s="447" t="s">
        <v>881</v>
      </c>
      <c r="C144" s="448">
        <v>100.12</v>
      </c>
      <c r="D144" s="448" t="s">
        <v>1801</v>
      </c>
      <c r="E144" s="449">
        <v>38.6</v>
      </c>
      <c r="F144" s="449" t="s">
        <v>1801</v>
      </c>
      <c r="G144" s="450">
        <f t="shared" si="2"/>
        <v>207892154.75319538</v>
      </c>
      <c r="H144" s="450" t="s">
        <v>2207</v>
      </c>
      <c r="I144" s="450">
        <v>15000</v>
      </c>
      <c r="J144" s="448" t="s">
        <v>1801</v>
      </c>
      <c r="K144" s="449">
        <v>3.39E-4</v>
      </c>
      <c r="L144" s="449" t="s">
        <v>414</v>
      </c>
      <c r="M144" s="922">
        <v>1.3859399999999999E-2</v>
      </c>
      <c r="N144" s="450">
        <v>7.45392E-2</v>
      </c>
      <c r="O144" s="537" t="s">
        <v>2367</v>
      </c>
      <c r="P144" s="450">
        <v>9.1241999999999998E-6</v>
      </c>
      <c r="Q144" s="537" t="s">
        <v>2367</v>
      </c>
      <c r="R144" s="543">
        <v>372.4</v>
      </c>
      <c r="S144" s="540" t="s">
        <v>2173</v>
      </c>
      <c r="T144" s="543">
        <v>558.59999999999991</v>
      </c>
      <c r="U144" s="540" t="s">
        <v>2182</v>
      </c>
      <c r="V144" s="451">
        <v>9362.76</v>
      </c>
      <c r="W144" s="540" t="s">
        <v>2027</v>
      </c>
      <c r="X144" s="449">
        <v>10.65</v>
      </c>
      <c r="Y144" s="455" t="s">
        <v>414</v>
      </c>
      <c r="Z144" s="455" t="s">
        <v>2203</v>
      </c>
      <c r="AA144" s="455" t="s">
        <v>43</v>
      </c>
      <c r="AB144" s="455">
        <v>8.0000000000000002E-3</v>
      </c>
      <c r="AC144" s="455" t="s">
        <v>281</v>
      </c>
      <c r="AD144" s="452" t="s">
        <v>1731</v>
      </c>
      <c r="AE144" s="484" t="s">
        <v>1731</v>
      </c>
      <c r="AF144" s="484" t="s">
        <v>2512</v>
      </c>
      <c r="AG144" s="452" t="s">
        <v>2044</v>
      </c>
      <c r="AH144" s="550"/>
    </row>
    <row r="145" spans="1:34" s="439" customFormat="1" ht="15">
      <c r="A145" s="453" t="s">
        <v>2110</v>
      </c>
      <c r="B145" s="447" t="s">
        <v>882</v>
      </c>
      <c r="C145" s="448">
        <v>64.515000000000001</v>
      </c>
      <c r="D145" s="448" t="s">
        <v>1801</v>
      </c>
      <c r="E145" s="449">
        <v>1008</v>
      </c>
      <c r="F145" s="449" t="s">
        <v>1801</v>
      </c>
      <c r="G145" s="450">
        <f t="shared" si="2"/>
        <v>3498252786.5042815</v>
      </c>
      <c r="H145" s="450" t="s">
        <v>2207</v>
      </c>
      <c r="I145" s="450">
        <v>6710</v>
      </c>
      <c r="J145" s="448" t="s">
        <v>1801</v>
      </c>
      <c r="K145" s="449">
        <v>1.11E-2</v>
      </c>
      <c r="L145" s="449" t="s">
        <v>1801</v>
      </c>
      <c r="M145" s="922">
        <v>0.45380209999999999</v>
      </c>
      <c r="N145" s="450">
        <v>0.1037597</v>
      </c>
      <c r="O145" s="537" t="s">
        <v>2367</v>
      </c>
      <c r="P145" s="450">
        <v>1.1600000000000001E-5</v>
      </c>
      <c r="Q145" s="537" t="s">
        <v>2367</v>
      </c>
      <c r="R145" s="543">
        <v>285.3</v>
      </c>
      <c r="S145" s="540" t="s">
        <v>414</v>
      </c>
      <c r="T145" s="543">
        <v>460.4</v>
      </c>
      <c r="U145" s="540" t="s">
        <v>2181</v>
      </c>
      <c r="V145" s="451">
        <v>5879.4</v>
      </c>
      <c r="W145" s="540" t="s">
        <v>2181</v>
      </c>
      <c r="X145" s="449">
        <v>21.73</v>
      </c>
      <c r="Y145" s="455" t="s">
        <v>414</v>
      </c>
      <c r="Z145" s="455" t="s">
        <v>2203</v>
      </c>
      <c r="AA145" s="455" t="s">
        <v>43</v>
      </c>
      <c r="AB145" s="455">
        <v>10</v>
      </c>
      <c r="AC145" s="455" t="s">
        <v>280</v>
      </c>
      <c r="AD145" s="452" t="s">
        <v>1731</v>
      </c>
      <c r="AE145" s="484" t="s">
        <v>1731</v>
      </c>
      <c r="AF145" s="484" t="s">
        <v>2512</v>
      </c>
      <c r="AG145" s="452"/>
      <c r="AH145" s="550"/>
    </row>
    <row r="146" spans="1:34" s="439" customFormat="1" ht="15">
      <c r="A146" s="453" t="s">
        <v>883</v>
      </c>
      <c r="B146" s="447" t="s">
        <v>884</v>
      </c>
      <c r="C146" s="448">
        <v>74.123999999999995</v>
      </c>
      <c r="D146" s="448" t="s">
        <v>1801</v>
      </c>
      <c r="E146" s="449">
        <v>538</v>
      </c>
      <c r="F146" s="449" t="s">
        <v>1801</v>
      </c>
      <c r="G146" s="450">
        <f t="shared" si="2"/>
        <v>2145216249.9462061</v>
      </c>
      <c r="H146" s="450" t="s">
        <v>2207</v>
      </c>
      <c r="I146" s="450">
        <v>60400</v>
      </c>
      <c r="J146" s="448" t="s">
        <v>1801</v>
      </c>
      <c r="K146" s="449">
        <v>1.23E-3</v>
      </c>
      <c r="L146" s="449" t="s">
        <v>1801</v>
      </c>
      <c r="M146" s="922">
        <v>5.0286200000000003E-2</v>
      </c>
      <c r="N146" s="450">
        <v>8.5244600000000004E-2</v>
      </c>
      <c r="O146" s="537" t="s">
        <v>2367</v>
      </c>
      <c r="P146" s="450">
        <v>9.3635999999999996E-6</v>
      </c>
      <c r="Q146" s="537" t="s">
        <v>2367</v>
      </c>
      <c r="R146" s="543">
        <v>307.60000000000002</v>
      </c>
      <c r="S146" s="540" t="s">
        <v>414</v>
      </c>
      <c r="T146" s="543">
        <v>461.40000000000003</v>
      </c>
      <c r="U146" s="540" t="s">
        <v>2182</v>
      </c>
      <c r="V146" s="451" t="s">
        <v>2024</v>
      </c>
      <c r="W146" s="540"/>
      <c r="X146" s="449">
        <v>9.6989999999999998</v>
      </c>
      <c r="Y146" s="455" t="s">
        <v>414</v>
      </c>
      <c r="Z146" s="455" t="s">
        <v>2203</v>
      </c>
      <c r="AA146" s="455" t="s">
        <v>43</v>
      </c>
      <c r="AB146" s="455" t="s">
        <v>2203</v>
      </c>
      <c r="AC146" s="455" t="s">
        <v>43</v>
      </c>
      <c r="AD146" s="452" t="s">
        <v>1731</v>
      </c>
      <c r="AE146" s="484" t="s">
        <v>1731</v>
      </c>
      <c r="AF146" s="484" t="s">
        <v>2512</v>
      </c>
      <c r="AG146" s="452"/>
      <c r="AH146" s="550"/>
    </row>
    <row r="147" spans="1:34" s="439" customFormat="1" ht="15">
      <c r="A147" s="453" t="s">
        <v>885</v>
      </c>
      <c r="B147" s="447" t="s">
        <v>886</v>
      </c>
      <c r="C147" s="448">
        <v>114.15</v>
      </c>
      <c r="D147" s="448" t="s">
        <v>1801</v>
      </c>
      <c r="E147" s="449">
        <v>20.59</v>
      </c>
      <c r="F147" s="449" t="s">
        <v>1801</v>
      </c>
      <c r="G147" s="450">
        <f t="shared" si="2"/>
        <v>126433516.58992124</v>
      </c>
      <c r="H147" s="450" t="s">
        <v>2207</v>
      </c>
      <c r="I147" s="450">
        <v>5400</v>
      </c>
      <c r="J147" s="448" t="s">
        <v>1801</v>
      </c>
      <c r="K147" s="449">
        <v>5.7300000000000005E-4</v>
      </c>
      <c r="L147" s="449" t="s">
        <v>414</v>
      </c>
      <c r="M147" s="922">
        <v>2.3425999999999999E-2</v>
      </c>
      <c r="N147" s="450">
        <v>6.5344100000000002E-2</v>
      </c>
      <c r="O147" s="537" t="s">
        <v>2367</v>
      </c>
      <c r="P147" s="450">
        <v>8.3793999999999998E-6</v>
      </c>
      <c r="Q147" s="537" t="s">
        <v>2367</v>
      </c>
      <c r="R147" s="543">
        <v>390</v>
      </c>
      <c r="S147" s="540" t="s">
        <v>414</v>
      </c>
      <c r="T147" s="543">
        <v>571</v>
      </c>
      <c r="U147" s="540" t="s">
        <v>2183</v>
      </c>
      <c r="V147" s="451">
        <v>10957.44</v>
      </c>
      <c r="W147" s="540" t="s">
        <v>2179</v>
      </c>
      <c r="X147" s="449">
        <v>16.66</v>
      </c>
      <c r="Y147" s="455" t="s">
        <v>414</v>
      </c>
      <c r="Z147" s="455" t="s">
        <v>2203</v>
      </c>
      <c r="AA147" s="455" t="s">
        <v>43</v>
      </c>
      <c r="AB147" s="455">
        <v>0.3</v>
      </c>
      <c r="AC147" s="455" t="s">
        <v>281</v>
      </c>
      <c r="AD147" s="452" t="s">
        <v>1731</v>
      </c>
      <c r="AE147" s="484" t="s">
        <v>1731</v>
      </c>
      <c r="AF147" s="484" t="s">
        <v>2512</v>
      </c>
      <c r="AG147" s="452"/>
      <c r="AH147" s="550"/>
    </row>
    <row r="148" spans="1:34" s="439" customFormat="1" ht="15">
      <c r="A148" s="453" t="s">
        <v>84</v>
      </c>
      <c r="B148" s="447" t="s">
        <v>889</v>
      </c>
      <c r="C148" s="448">
        <v>106.17</v>
      </c>
      <c r="D148" s="448" t="s">
        <v>1801</v>
      </c>
      <c r="E148" s="449">
        <v>9.6</v>
      </c>
      <c r="F148" s="449" t="s">
        <v>1801</v>
      </c>
      <c r="G148" s="450">
        <f t="shared" si="2"/>
        <v>54828075.913413942</v>
      </c>
      <c r="H148" s="450" t="s">
        <v>2207</v>
      </c>
      <c r="I148" s="450">
        <v>169</v>
      </c>
      <c r="J148" s="448" t="s">
        <v>1801</v>
      </c>
      <c r="K148" s="449">
        <v>7.8799999999999999E-3</v>
      </c>
      <c r="L148" s="449" t="s">
        <v>1801</v>
      </c>
      <c r="M148" s="922">
        <v>0.32215860000000002</v>
      </c>
      <c r="N148" s="450">
        <v>6.8465200000000004E-2</v>
      </c>
      <c r="O148" s="537" t="s">
        <v>2367</v>
      </c>
      <c r="P148" s="450">
        <v>8.4557999999999996E-6</v>
      </c>
      <c r="Q148" s="537" t="s">
        <v>2367</v>
      </c>
      <c r="R148" s="543">
        <v>409.1</v>
      </c>
      <c r="S148" s="540" t="s">
        <v>414</v>
      </c>
      <c r="T148" s="543">
        <v>617.20000000000005</v>
      </c>
      <c r="U148" s="540" t="s">
        <v>2180</v>
      </c>
      <c r="V148" s="451">
        <v>8501</v>
      </c>
      <c r="W148" s="540" t="s">
        <v>2180</v>
      </c>
      <c r="X148" s="449">
        <v>446.1</v>
      </c>
      <c r="Y148" s="455" t="s">
        <v>414</v>
      </c>
      <c r="Z148" s="455">
        <v>2.5000000000000002E-6</v>
      </c>
      <c r="AA148" s="455" t="s">
        <v>2507</v>
      </c>
      <c r="AB148" s="455">
        <v>1</v>
      </c>
      <c r="AC148" s="455" t="s">
        <v>280</v>
      </c>
      <c r="AD148" s="452" t="s">
        <v>1731</v>
      </c>
      <c r="AE148" s="484" t="s">
        <v>2513</v>
      </c>
      <c r="AF148" s="484" t="s">
        <v>2512</v>
      </c>
      <c r="AG148" s="452"/>
      <c r="AH148" s="550"/>
    </row>
    <row r="149" spans="1:34" s="439" customFormat="1" ht="15">
      <c r="A149" s="453" t="s">
        <v>892</v>
      </c>
      <c r="B149" s="453" t="s">
        <v>893</v>
      </c>
      <c r="C149" s="448">
        <v>60.098999999999997</v>
      </c>
      <c r="D149" s="448" t="s">
        <v>1801</v>
      </c>
      <c r="E149" s="449">
        <v>12</v>
      </c>
      <c r="F149" s="449" t="s">
        <v>1801</v>
      </c>
      <c r="G149" s="450">
        <f t="shared" si="2"/>
        <v>38795240.349442698</v>
      </c>
      <c r="H149" s="450" t="s">
        <v>2207</v>
      </c>
      <c r="I149" s="450">
        <v>1000000</v>
      </c>
      <c r="J149" s="448" t="s">
        <v>1801</v>
      </c>
      <c r="K149" s="449">
        <v>1.73E-9</v>
      </c>
      <c r="L149" s="449" t="s">
        <v>1801</v>
      </c>
      <c r="M149" s="922">
        <v>7.0727999999999996E-8</v>
      </c>
      <c r="N149" s="450">
        <v>0.109446</v>
      </c>
      <c r="O149" s="537" t="s">
        <v>2367</v>
      </c>
      <c r="P149" s="450">
        <v>1.22E-5</v>
      </c>
      <c r="Q149" s="537" t="s">
        <v>2367</v>
      </c>
      <c r="R149" s="543">
        <v>390.15</v>
      </c>
      <c r="S149" s="540" t="s">
        <v>414</v>
      </c>
      <c r="T149" s="543">
        <v>585.22499999999991</v>
      </c>
      <c r="U149" s="540" t="s">
        <v>2182</v>
      </c>
      <c r="V149" s="451">
        <v>9562.61</v>
      </c>
      <c r="W149" s="540" t="s">
        <v>2187</v>
      </c>
      <c r="X149" s="449">
        <v>14.87</v>
      </c>
      <c r="Y149" s="455" t="s">
        <v>414</v>
      </c>
      <c r="Z149" s="455" t="s">
        <v>2203</v>
      </c>
      <c r="AA149" s="455" t="s">
        <v>43</v>
      </c>
      <c r="AB149" s="455" t="s">
        <v>2203</v>
      </c>
      <c r="AC149" s="455" t="s">
        <v>43</v>
      </c>
      <c r="AD149" s="452" t="s">
        <v>1731</v>
      </c>
      <c r="AE149" s="484" t="s">
        <v>1731</v>
      </c>
      <c r="AF149" s="484" t="s">
        <v>2512</v>
      </c>
      <c r="AG149" s="452"/>
      <c r="AH149" s="550"/>
    </row>
    <row r="150" spans="1:34" s="439" customFormat="1" ht="15">
      <c r="A150" s="453" t="s">
        <v>898</v>
      </c>
      <c r="B150" s="447" t="s">
        <v>899</v>
      </c>
      <c r="C150" s="448">
        <v>44.054000000000002</v>
      </c>
      <c r="D150" s="448" t="s">
        <v>1801</v>
      </c>
      <c r="E150" s="449">
        <v>1314</v>
      </c>
      <c r="F150" s="449" t="s">
        <v>1801</v>
      </c>
      <c r="G150" s="450">
        <f t="shared" si="2"/>
        <v>3113943064.9395361</v>
      </c>
      <c r="H150" s="450" t="s">
        <v>2207</v>
      </c>
      <c r="I150" s="450">
        <v>1000000</v>
      </c>
      <c r="J150" s="448" t="s">
        <v>1801</v>
      </c>
      <c r="K150" s="449">
        <v>1.4799999999999999E-4</v>
      </c>
      <c r="L150" s="449" t="s">
        <v>1801</v>
      </c>
      <c r="M150" s="922">
        <v>6.0507E-3</v>
      </c>
      <c r="N150" s="450">
        <v>0.13396379999999999</v>
      </c>
      <c r="O150" s="537" t="s">
        <v>2367</v>
      </c>
      <c r="P150" s="450">
        <v>1.45E-5</v>
      </c>
      <c r="Q150" s="537" t="s">
        <v>2367</v>
      </c>
      <c r="R150" s="543">
        <v>283.60000000000002</v>
      </c>
      <c r="S150" s="540" t="s">
        <v>414</v>
      </c>
      <c r="T150" s="543">
        <v>469</v>
      </c>
      <c r="U150" s="540" t="s">
        <v>2181</v>
      </c>
      <c r="V150" s="451">
        <v>6104.06</v>
      </c>
      <c r="W150" s="540" t="s">
        <v>2181</v>
      </c>
      <c r="X150" s="449">
        <v>3.2370000000000001</v>
      </c>
      <c r="Y150" s="455" t="s">
        <v>414</v>
      </c>
      <c r="Z150" s="455">
        <v>3.0000000000000001E-3</v>
      </c>
      <c r="AA150" s="455" t="s">
        <v>280</v>
      </c>
      <c r="AB150" s="455">
        <v>0.03</v>
      </c>
      <c r="AC150" s="455" t="s">
        <v>2507</v>
      </c>
      <c r="AD150" s="452" t="s">
        <v>2513</v>
      </c>
      <c r="AE150" s="484" t="s">
        <v>1731</v>
      </c>
      <c r="AF150" s="484" t="s">
        <v>2512</v>
      </c>
      <c r="AG150" s="452" t="s">
        <v>2045</v>
      </c>
      <c r="AH150" s="550"/>
    </row>
    <row r="151" spans="1:34" s="439" customFormat="1" ht="15">
      <c r="A151" s="453" t="s">
        <v>902</v>
      </c>
      <c r="B151" s="447" t="s">
        <v>903</v>
      </c>
      <c r="C151" s="448">
        <v>43.069000000000003</v>
      </c>
      <c r="D151" s="448" t="s">
        <v>1801</v>
      </c>
      <c r="E151" s="449">
        <v>213</v>
      </c>
      <c r="F151" s="449" t="s">
        <v>1801</v>
      </c>
      <c r="G151" s="450">
        <f t="shared" si="2"/>
        <v>493485443.47377026</v>
      </c>
      <c r="H151" s="450" t="s">
        <v>2207</v>
      </c>
      <c r="I151" s="450">
        <v>1000000</v>
      </c>
      <c r="J151" s="448" t="s">
        <v>1801</v>
      </c>
      <c r="K151" s="449">
        <v>1.2099999999999999E-5</v>
      </c>
      <c r="L151" s="449" t="s">
        <v>414</v>
      </c>
      <c r="M151" s="922">
        <v>4.9470000000000004E-4</v>
      </c>
      <c r="N151" s="450">
        <v>0.13282930000000001</v>
      </c>
      <c r="O151" s="537" t="s">
        <v>2367</v>
      </c>
      <c r="P151" s="450">
        <v>1.42E-5</v>
      </c>
      <c r="Q151" s="537" t="s">
        <v>2367</v>
      </c>
      <c r="R151" s="543">
        <v>328.65</v>
      </c>
      <c r="S151" s="540" t="s">
        <v>2178</v>
      </c>
      <c r="T151" s="543">
        <v>524</v>
      </c>
      <c r="U151" s="540" t="s">
        <v>2172</v>
      </c>
      <c r="V151" s="451" t="s">
        <v>2024</v>
      </c>
      <c r="W151" s="540"/>
      <c r="X151" s="449">
        <v>9.0429999999999993</v>
      </c>
      <c r="Y151" s="455" t="s">
        <v>414</v>
      </c>
      <c r="Z151" s="455">
        <v>1.9E-2</v>
      </c>
      <c r="AA151" s="455" t="s">
        <v>2507</v>
      </c>
      <c r="AB151" s="455" t="s">
        <v>2203</v>
      </c>
      <c r="AC151" s="455" t="s">
        <v>43</v>
      </c>
      <c r="AD151" s="452" t="s">
        <v>1731</v>
      </c>
      <c r="AE151" s="484" t="s">
        <v>1731</v>
      </c>
      <c r="AF151" s="484" t="s">
        <v>2512</v>
      </c>
      <c r="AG151" s="452"/>
      <c r="AH151" s="550"/>
    </row>
    <row r="152" spans="1:34" s="439" customFormat="1" ht="15">
      <c r="A152" s="453" t="s">
        <v>73</v>
      </c>
      <c r="B152" s="447" t="s">
        <v>1384</v>
      </c>
      <c r="C152" s="448">
        <v>166.22</v>
      </c>
      <c r="D152" s="448" t="s">
        <v>1801</v>
      </c>
      <c r="E152" s="449">
        <v>5.9999999999999995E-4</v>
      </c>
      <c r="F152" s="449" t="s">
        <v>1801</v>
      </c>
      <c r="G152" s="450">
        <f t="shared" ref="G152:G215" si="4">E152/760*1000000000*C152/24.46</f>
        <v>5364.9352326031758</v>
      </c>
      <c r="H152" s="450" t="s">
        <v>2207</v>
      </c>
      <c r="I152" s="450">
        <v>1.69</v>
      </c>
      <c r="J152" s="448" t="s">
        <v>1801</v>
      </c>
      <c r="K152" s="449">
        <v>9.6199999999999994E-5</v>
      </c>
      <c r="L152" s="449" t="s">
        <v>1801</v>
      </c>
      <c r="M152" s="922">
        <v>3.9329999999999999E-3</v>
      </c>
      <c r="N152" s="450">
        <v>4.3974300000000001E-2</v>
      </c>
      <c r="O152" s="537" t="s">
        <v>2367</v>
      </c>
      <c r="P152" s="450">
        <v>7.8890000000000002E-6</v>
      </c>
      <c r="Q152" s="537" t="s">
        <v>2367</v>
      </c>
      <c r="R152" s="543">
        <v>568</v>
      </c>
      <c r="S152" s="540" t="s">
        <v>414</v>
      </c>
      <c r="T152" s="543">
        <v>870</v>
      </c>
      <c r="U152" s="540" t="s">
        <v>2180</v>
      </c>
      <c r="V152" s="451">
        <v>12666</v>
      </c>
      <c r="W152" s="540" t="s">
        <v>2180</v>
      </c>
      <c r="X152" s="449">
        <v>9160</v>
      </c>
      <c r="Y152" s="455" t="s">
        <v>414</v>
      </c>
      <c r="Z152" s="455" t="s">
        <v>2203</v>
      </c>
      <c r="AA152" s="455" t="s">
        <v>43</v>
      </c>
      <c r="AB152" s="455" t="s">
        <v>2203</v>
      </c>
      <c r="AC152" s="455" t="s">
        <v>43</v>
      </c>
      <c r="AD152" s="452" t="s">
        <v>1731</v>
      </c>
      <c r="AE152" s="484" t="s">
        <v>1731</v>
      </c>
      <c r="AF152" s="484" t="s">
        <v>2512</v>
      </c>
      <c r="AG152" s="452" t="s">
        <v>80</v>
      </c>
      <c r="AH152" s="550"/>
    </row>
    <row r="153" spans="1:34" s="439" customFormat="1" ht="15">
      <c r="A153" s="453" t="s">
        <v>931</v>
      </c>
      <c r="B153" s="447" t="s">
        <v>932</v>
      </c>
      <c r="C153" s="448">
        <v>30.026</v>
      </c>
      <c r="D153" s="448" t="s">
        <v>1801</v>
      </c>
      <c r="E153" s="449">
        <v>3890</v>
      </c>
      <c r="F153" s="449" t="s">
        <v>414</v>
      </c>
      <c r="G153" s="450">
        <f t="shared" si="4"/>
        <v>6283144338.7700634</v>
      </c>
      <c r="H153" s="450" t="s">
        <v>2207</v>
      </c>
      <c r="I153" s="450">
        <v>400000</v>
      </c>
      <c r="J153" s="448" t="s">
        <v>1801</v>
      </c>
      <c r="K153" s="449">
        <v>3.3700000000000001E-7</v>
      </c>
      <c r="L153" s="449" t="s">
        <v>1801</v>
      </c>
      <c r="M153" s="922">
        <v>1.38E-5</v>
      </c>
      <c r="N153" s="450">
        <v>0.16708709999999999</v>
      </c>
      <c r="O153" s="537" t="s">
        <v>2367</v>
      </c>
      <c r="P153" s="450">
        <v>1.7399999999999999E-5</v>
      </c>
      <c r="Q153" s="537" t="s">
        <v>2367</v>
      </c>
      <c r="R153" s="543">
        <v>254.04999999999998</v>
      </c>
      <c r="S153" s="540" t="s">
        <v>414</v>
      </c>
      <c r="T153" s="543">
        <v>412.34999999999997</v>
      </c>
      <c r="U153" s="540" t="s">
        <v>2174</v>
      </c>
      <c r="V153" s="451">
        <v>5919.9</v>
      </c>
      <c r="W153" s="540" t="s">
        <v>2179</v>
      </c>
      <c r="X153" s="449">
        <v>1</v>
      </c>
      <c r="Y153" s="455" t="s">
        <v>414</v>
      </c>
      <c r="Z153" s="455">
        <v>1.2999999999999999E-5</v>
      </c>
      <c r="AA153" s="455" t="s">
        <v>280</v>
      </c>
      <c r="AB153" s="455">
        <v>9.7999999999999997E-3</v>
      </c>
      <c r="AC153" s="455" t="s">
        <v>18</v>
      </c>
      <c r="AD153" s="452" t="s">
        <v>1731</v>
      </c>
      <c r="AE153" s="484" t="s">
        <v>1731</v>
      </c>
      <c r="AF153" s="484" t="s">
        <v>2512</v>
      </c>
      <c r="AG153" s="452"/>
      <c r="AH153" s="550"/>
    </row>
    <row r="154" spans="1:34" s="439" customFormat="1" ht="15">
      <c r="A154" s="453" t="s">
        <v>933</v>
      </c>
      <c r="B154" s="447" t="s">
        <v>934</v>
      </c>
      <c r="C154" s="448">
        <v>46.026000000000003</v>
      </c>
      <c r="D154" s="448" t="s">
        <v>1801</v>
      </c>
      <c r="E154" s="449">
        <v>42.59</v>
      </c>
      <c r="F154" s="449" t="s">
        <v>1801</v>
      </c>
      <c r="G154" s="450">
        <f t="shared" si="4"/>
        <v>105448602.44437751</v>
      </c>
      <c r="H154" s="450" t="s">
        <v>2207</v>
      </c>
      <c r="I154" s="450">
        <v>1000000</v>
      </c>
      <c r="J154" s="448" t="s">
        <v>1801</v>
      </c>
      <c r="K154" s="449">
        <v>1.67E-7</v>
      </c>
      <c r="L154" s="449" t="s">
        <v>1801</v>
      </c>
      <c r="M154" s="922">
        <v>6.8275000000000003E-6</v>
      </c>
      <c r="N154" s="450">
        <v>0.1478701</v>
      </c>
      <c r="O154" s="537" t="s">
        <v>2367</v>
      </c>
      <c r="P154" s="450">
        <v>1.7200000000000001E-5</v>
      </c>
      <c r="Q154" s="537" t="s">
        <v>2367</v>
      </c>
      <c r="R154" s="543">
        <v>374.15</v>
      </c>
      <c r="S154" s="540" t="s">
        <v>414</v>
      </c>
      <c r="T154" s="543">
        <v>588</v>
      </c>
      <c r="U154" s="540" t="s">
        <v>2179</v>
      </c>
      <c r="V154" s="451">
        <v>4800.8046000000004</v>
      </c>
      <c r="W154" s="540" t="s">
        <v>2174</v>
      </c>
      <c r="X154" s="449">
        <v>1</v>
      </c>
      <c r="Y154" s="455" t="s">
        <v>414</v>
      </c>
      <c r="Z154" s="455" t="s">
        <v>2203</v>
      </c>
      <c r="AA154" s="455" t="s">
        <v>43</v>
      </c>
      <c r="AB154" s="455">
        <v>2.9999999999999997E-4</v>
      </c>
      <c r="AC154" s="455" t="s">
        <v>0</v>
      </c>
      <c r="AD154" s="452" t="s">
        <v>1731</v>
      </c>
      <c r="AE154" s="484" t="s">
        <v>1731</v>
      </c>
      <c r="AF154" s="484" t="s">
        <v>2512</v>
      </c>
      <c r="AG154" s="452"/>
      <c r="AH154" s="550"/>
    </row>
    <row r="155" spans="1:34" s="439" customFormat="1" ht="15">
      <c r="A155" s="453" t="s">
        <v>97</v>
      </c>
      <c r="B155" s="447" t="s">
        <v>941</v>
      </c>
      <c r="C155" s="448">
        <v>68.075999999999993</v>
      </c>
      <c r="D155" s="448" t="s">
        <v>1801</v>
      </c>
      <c r="E155" s="449">
        <v>600</v>
      </c>
      <c r="F155" s="449" t="s">
        <v>1801</v>
      </c>
      <c r="G155" s="450">
        <f t="shared" si="4"/>
        <v>2197228557.9033437</v>
      </c>
      <c r="H155" s="450" t="s">
        <v>2207</v>
      </c>
      <c r="I155" s="450">
        <v>10000</v>
      </c>
      <c r="J155" s="448" t="s">
        <v>1801</v>
      </c>
      <c r="K155" s="449">
        <v>5.4000000000000003E-3</v>
      </c>
      <c r="L155" s="449" t="s">
        <v>414</v>
      </c>
      <c r="M155" s="922">
        <v>0.22076860000000001</v>
      </c>
      <c r="N155" s="450">
        <v>0.1022757</v>
      </c>
      <c r="O155" s="537" t="s">
        <v>2367</v>
      </c>
      <c r="P155" s="450">
        <v>1.17E-5</v>
      </c>
      <c r="Q155" s="537" t="s">
        <v>2367</v>
      </c>
      <c r="R155" s="543">
        <v>304.5</v>
      </c>
      <c r="S155" s="540" t="s">
        <v>414</v>
      </c>
      <c r="T155" s="543">
        <v>490.2</v>
      </c>
      <c r="U155" s="540" t="s">
        <v>2181</v>
      </c>
      <c r="V155" s="451">
        <v>6476.9</v>
      </c>
      <c r="W155" s="540" t="s">
        <v>2181</v>
      </c>
      <c r="X155" s="449">
        <v>79.989999999999995</v>
      </c>
      <c r="Y155" s="455" t="s">
        <v>414</v>
      </c>
      <c r="Z155" s="455" t="s">
        <v>2203</v>
      </c>
      <c r="AA155" s="455" t="s">
        <v>43</v>
      </c>
      <c r="AB155" s="455" t="s">
        <v>2203</v>
      </c>
      <c r="AC155" s="455" t="s">
        <v>43</v>
      </c>
      <c r="AD155" s="452" t="s">
        <v>1731</v>
      </c>
      <c r="AE155" s="484" t="s">
        <v>1731</v>
      </c>
      <c r="AF155" s="484" t="s">
        <v>2512</v>
      </c>
      <c r="AG155" s="452"/>
      <c r="AH155" s="550"/>
    </row>
    <row r="156" spans="1:34" s="439" customFormat="1" ht="15">
      <c r="A156" s="453" t="s">
        <v>944</v>
      </c>
      <c r="B156" s="447" t="s">
        <v>945</v>
      </c>
      <c r="C156" s="448">
        <v>96.085999999999999</v>
      </c>
      <c r="D156" s="448" t="s">
        <v>1801</v>
      </c>
      <c r="E156" s="449">
        <v>2.21</v>
      </c>
      <c r="F156" s="449" t="s">
        <v>1801</v>
      </c>
      <c r="G156" s="450">
        <f t="shared" si="4"/>
        <v>11423056.97809528</v>
      </c>
      <c r="H156" s="450" t="s">
        <v>2207</v>
      </c>
      <c r="I156" s="450">
        <v>74100</v>
      </c>
      <c r="J156" s="448" t="s">
        <v>1801</v>
      </c>
      <c r="K156" s="449">
        <v>3.7699999999999999E-6</v>
      </c>
      <c r="L156" s="449" t="s">
        <v>414</v>
      </c>
      <c r="M156" s="922">
        <v>1.5410000000000001E-4</v>
      </c>
      <c r="N156" s="450">
        <v>8.5321300000000003E-2</v>
      </c>
      <c r="O156" s="537" t="s">
        <v>2367</v>
      </c>
      <c r="P156" s="450">
        <v>1.0699999999999999E-5</v>
      </c>
      <c r="Q156" s="537" t="s">
        <v>2367</v>
      </c>
      <c r="R156" s="543">
        <v>434.84999999999997</v>
      </c>
      <c r="S156" s="540" t="s">
        <v>414</v>
      </c>
      <c r="T156" s="543">
        <v>670</v>
      </c>
      <c r="U156" s="540" t="s">
        <v>2179</v>
      </c>
      <c r="V156" s="451">
        <v>9219.4556000000011</v>
      </c>
      <c r="W156" s="540" t="s">
        <v>2174</v>
      </c>
      <c r="X156" s="449">
        <v>6.0830000000000002</v>
      </c>
      <c r="Y156" s="455" t="s">
        <v>414</v>
      </c>
      <c r="Z156" s="455" t="s">
        <v>2203</v>
      </c>
      <c r="AA156" s="455" t="s">
        <v>43</v>
      </c>
      <c r="AB156" s="455">
        <v>0.05</v>
      </c>
      <c r="AC156" s="455" t="s">
        <v>13</v>
      </c>
      <c r="AD156" s="452" t="s">
        <v>1731</v>
      </c>
      <c r="AE156" s="484" t="s">
        <v>1731</v>
      </c>
      <c r="AF156" s="484" t="s">
        <v>2512</v>
      </c>
      <c r="AG156" s="452"/>
      <c r="AH156" s="550"/>
    </row>
    <row r="157" spans="1:34" s="439" customFormat="1" ht="15">
      <c r="A157" s="453" t="s">
        <v>954</v>
      </c>
      <c r="B157" s="447" t="s">
        <v>955</v>
      </c>
      <c r="C157" s="448">
        <v>72.063999999999993</v>
      </c>
      <c r="D157" s="448" t="s">
        <v>1801</v>
      </c>
      <c r="E157" s="449">
        <v>45.3</v>
      </c>
      <c r="F157" s="449" t="s">
        <v>1801</v>
      </c>
      <c r="G157" s="450">
        <f t="shared" si="4"/>
        <v>175608899.59977618</v>
      </c>
      <c r="H157" s="450" t="s">
        <v>2207</v>
      </c>
      <c r="I157" s="450">
        <v>1000000</v>
      </c>
      <c r="J157" s="448" t="s">
        <v>1801</v>
      </c>
      <c r="K157" s="449">
        <v>5.1099999999999996E-7</v>
      </c>
      <c r="L157" s="449" t="s">
        <v>1801</v>
      </c>
      <c r="M157" s="922">
        <v>2.09E-5</v>
      </c>
      <c r="N157" s="450">
        <v>0.10624690000000001</v>
      </c>
      <c r="O157" s="537" t="s">
        <v>2367</v>
      </c>
      <c r="P157" s="450">
        <v>1.26E-5</v>
      </c>
      <c r="Q157" s="537" t="s">
        <v>2367</v>
      </c>
      <c r="R157" s="543">
        <v>385.65</v>
      </c>
      <c r="S157" s="540" t="s">
        <v>414</v>
      </c>
      <c r="T157" s="543">
        <v>578.47499999999991</v>
      </c>
      <c r="U157" s="540" t="s">
        <v>2182</v>
      </c>
      <c r="V157" s="451" t="s">
        <v>2024</v>
      </c>
      <c r="W157" s="540"/>
      <c r="X157" s="449">
        <v>1</v>
      </c>
      <c r="Y157" s="455" t="s">
        <v>414</v>
      </c>
      <c r="Z157" s="455" t="s">
        <v>2203</v>
      </c>
      <c r="AA157" s="455" t="s">
        <v>43</v>
      </c>
      <c r="AB157" s="455">
        <v>1E-3</v>
      </c>
      <c r="AC157" s="455" t="s">
        <v>13</v>
      </c>
      <c r="AD157" s="452" t="s">
        <v>1731</v>
      </c>
      <c r="AE157" s="484" t="s">
        <v>1731</v>
      </c>
      <c r="AF157" s="484" t="s">
        <v>2512</v>
      </c>
      <c r="AG157" s="452"/>
      <c r="AH157" s="550"/>
    </row>
    <row r="158" spans="1:34" s="439" customFormat="1" ht="15">
      <c r="A158" s="453" t="s">
        <v>2138</v>
      </c>
      <c r="B158" s="453" t="s">
        <v>2139</v>
      </c>
      <c r="C158" s="448">
        <v>59.070999999999998</v>
      </c>
      <c r="D158" s="448" t="s">
        <v>1801</v>
      </c>
      <c r="E158" s="449">
        <v>2.21</v>
      </c>
      <c r="F158" s="449" t="s">
        <v>1801</v>
      </c>
      <c r="G158" s="450">
        <f t="shared" si="4"/>
        <v>7022577.6778413747</v>
      </c>
      <c r="H158" s="450" t="s">
        <v>2207</v>
      </c>
      <c r="I158" s="450">
        <v>1840</v>
      </c>
      <c r="J158" s="448" t="s">
        <v>1801</v>
      </c>
      <c r="K158" s="449">
        <v>2.3400000000000001E-11</v>
      </c>
      <c r="L158" s="449" t="s">
        <v>1801</v>
      </c>
      <c r="M158" s="922">
        <v>9.5670000000000002E-10</v>
      </c>
      <c r="N158" s="450">
        <v>0.13781940000000001</v>
      </c>
      <c r="O158" s="537" t="s">
        <v>2367</v>
      </c>
      <c r="P158" s="450">
        <v>1.7099999999999999E-5</v>
      </c>
      <c r="Q158" s="537" t="s">
        <v>2367</v>
      </c>
      <c r="R158" s="543" t="s">
        <v>2034</v>
      </c>
      <c r="S158" s="540" t="s">
        <v>2179</v>
      </c>
      <c r="T158" s="543" t="s">
        <v>2035</v>
      </c>
      <c r="U158" s="540" t="s">
        <v>2179</v>
      </c>
      <c r="V158" s="451">
        <v>46606</v>
      </c>
      <c r="W158" s="540" t="s">
        <v>2187</v>
      </c>
      <c r="X158" s="449">
        <v>11.95</v>
      </c>
      <c r="Y158" s="455" t="s">
        <v>414</v>
      </c>
      <c r="Z158" s="455" t="s">
        <v>2203</v>
      </c>
      <c r="AA158" s="455" t="s">
        <v>43</v>
      </c>
      <c r="AB158" s="455" t="s">
        <v>2203</v>
      </c>
      <c r="AC158" s="455" t="s">
        <v>43</v>
      </c>
      <c r="AD158" s="452" t="s">
        <v>1731</v>
      </c>
      <c r="AE158" s="484" t="s">
        <v>1731</v>
      </c>
      <c r="AF158" s="484" t="s">
        <v>2512</v>
      </c>
      <c r="AG158" s="452"/>
      <c r="AH158" s="550"/>
    </row>
    <row r="159" spans="1:34" s="439" customFormat="1" ht="15">
      <c r="A159" s="453" t="s">
        <v>64</v>
      </c>
      <c r="B159" s="447" t="s">
        <v>963</v>
      </c>
      <c r="C159" s="448">
        <v>373.32</v>
      </c>
      <c r="D159" s="448" t="s">
        <v>1801</v>
      </c>
      <c r="E159" s="449">
        <v>4.0000000000000002E-4</v>
      </c>
      <c r="F159" s="449" t="s">
        <v>1801</v>
      </c>
      <c r="G159" s="450">
        <f t="shared" si="4"/>
        <v>8032.8785987864194</v>
      </c>
      <c r="H159" s="450" t="s">
        <v>2207</v>
      </c>
      <c r="I159" s="450">
        <v>0.18</v>
      </c>
      <c r="J159" s="448" t="s">
        <v>1801</v>
      </c>
      <c r="K159" s="449">
        <v>2.9399999999999999E-4</v>
      </c>
      <c r="L159" s="449" t="s">
        <v>1801</v>
      </c>
      <c r="M159" s="922">
        <v>1.20196E-2</v>
      </c>
      <c r="N159" s="450">
        <v>2.2344099999999999E-2</v>
      </c>
      <c r="O159" s="537" t="s">
        <v>2367</v>
      </c>
      <c r="P159" s="450">
        <v>5.6959E-6</v>
      </c>
      <c r="Q159" s="537" t="s">
        <v>2367</v>
      </c>
      <c r="R159" s="543">
        <v>583.15</v>
      </c>
      <c r="S159" s="540" t="s">
        <v>414</v>
      </c>
      <c r="T159" s="543">
        <v>874.72499999999991</v>
      </c>
      <c r="U159" s="540" t="s">
        <v>2182</v>
      </c>
      <c r="V159" s="451">
        <v>13000</v>
      </c>
      <c r="W159" s="540" t="s">
        <v>2180</v>
      </c>
      <c r="X159" s="449">
        <v>41260</v>
      </c>
      <c r="Y159" s="455" t="s">
        <v>414</v>
      </c>
      <c r="Z159" s="455">
        <v>1.2999999999999999E-3</v>
      </c>
      <c r="AA159" s="455" t="s">
        <v>280</v>
      </c>
      <c r="AB159" s="455" t="s">
        <v>2203</v>
      </c>
      <c r="AC159" s="455" t="s">
        <v>43</v>
      </c>
      <c r="AD159" s="452" t="s">
        <v>1731</v>
      </c>
      <c r="AE159" s="484" t="s">
        <v>1731</v>
      </c>
      <c r="AF159" s="484" t="s">
        <v>2512</v>
      </c>
      <c r="AG159" s="452"/>
      <c r="AH159" s="550"/>
    </row>
    <row r="160" spans="1:34" s="439" customFormat="1" ht="15">
      <c r="A160" s="453" t="s">
        <v>964</v>
      </c>
      <c r="B160" s="447" t="s">
        <v>965</v>
      </c>
      <c r="C160" s="448">
        <v>389.32</v>
      </c>
      <c r="D160" s="448" t="s">
        <v>1801</v>
      </c>
      <c r="E160" s="449">
        <v>1.95E-5</v>
      </c>
      <c r="F160" s="449" t="s">
        <v>1801</v>
      </c>
      <c r="G160" s="450">
        <f t="shared" si="4"/>
        <v>408.38640960537066</v>
      </c>
      <c r="H160" s="450" t="s">
        <v>2207</v>
      </c>
      <c r="I160" s="450">
        <v>0.2</v>
      </c>
      <c r="J160" s="448" t="s">
        <v>1801</v>
      </c>
      <c r="K160" s="449">
        <v>2.0999999999999999E-5</v>
      </c>
      <c r="L160" s="449" t="s">
        <v>1801</v>
      </c>
      <c r="M160" s="922">
        <v>8.585E-4</v>
      </c>
      <c r="N160" s="450">
        <v>2.40006E-2</v>
      </c>
      <c r="O160" s="537" t="s">
        <v>2367</v>
      </c>
      <c r="P160" s="450">
        <v>6.2474999999999999E-6</v>
      </c>
      <c r="Q160" s="537" t="s">
        <v>2367</v>
      </c>
      <c r="R160" s="543">
        <v>613.96</v>
      </c>
      <c r="S160" s="540" t="s">
        <v>414</v>
      </c>
      <c r="T160" s="543">
        <v>920.94</v>
      </c>
      <c r="U160" s="540" t="s">
        <v>2182</v>
      </c>
      <c r="V160" s="451">
        <v>16000</v>
      </c>
      <c r="W160" s="540" t="s">
        <v>2180</v>
      </c>
      <c r="X160" s="449">
        <v>10110</v>
      </c>
      <c r="Y160" s="455" t="s">
        <v>414</v>
      </c>
      <c r="Z160" s="455">
        <v>2.5999999999999999E-3</v>
      </c>
      <c r="AA160" s="455" t="s">
        <v>280</v>
      </c>
      <c r="AB160" s="455" t="s">
        <v>2203</v>
      </c>
      <c r="AC160" s="455" t="s">
        <v>43</v>
      </c>
      <c r="AD160" s="452" t="s">
        <v>1731</v>
      </c>
      <c r="AE160" s="484" t="s">
        <v>1731</v>
      </c>
      <c r="AF160" s="484" t="s">
        <v>2512</v>
      </c>
      <c r="AG160" s="452"/>
      <c r="AH160" s="550"/>
    </row>
    <row r="161" spans="1:34" s="439" customFormat="1" ht="15">
      <c r="A161" s="453" t="s">
        <v>1739</v>
      </c>
      <c r="B161" s="447" t="s">
        <v>1329</v>
      </c>
      <c r="C161" s="448">
        <v>395.33</v>
      </c>
      <c r="D161" s="448" t="s">
        <v>1801</v>
      </c>
      <c r="E161" s="449">
        <v>1.3E-7</v>
      </c>
      <c r="F161" s="449" t="s">
        <v>1801</v>
      </c>
      <c r="G161" s="450">
        <f t="shared" si="4"/>
        <v>2.7646049403967812</v>
      </c>
      <c r="H161" s="450" t="s">
        <v>2207</v>
      </c>
      <c r="I161" s="450">
        <v>7.5299999999999998E-4</v>
      </c>
      <c r="J161" s="448" t="s">
        <v>1801</v>
      </c>
      <c r="K161" s="449">
        <v>5.0699999999999999E-5</v>
      </c>
      <c r="L161" s="449" t="s">
        <v>1801</v>
      </c>
      <c r="M161" s="922">
        <v>2.0728000000000001E-3</v>
      </c>
      <c r="N161" s="450">
        <v>4.2441399999999997E-2</v>
      </c>
      <c r="O161" s="537" t="s">
        <v>2367</v>
      </c>
      <c r="P161" s="450">
        <v>5.6864999999999997E-6</v>
      </c>
      <c r="Q161" s="537" t="s">
        <v>2367</v>
      </c>
      <c r="R161" s="543">
        <v>688.75</v>
      </c>
      <c r="S161" s="540" t="s">
        <v>414</v>
      </c>
      <c r="T161" s="543">
        <v>1033.125</v>
      </c>
      <c r="U161" s="540" t="s">
        <v>2182</v>
      </c>
      <c r="V161" s="451" t="s">
        <v>2024</v>
      </c>
      <c r="W161" s="540"/>
      <c r="X161" s="449">
        <v>349700</v>
      </c>
      <c r="Y161" s="455" t="s">
        <v>414</v>
      </c>
      <c r="Z161" s="455">
        <v>1.1000000000000001E-3</v>
      </c>
      <c r="AA161" s="455" t="s">
        <v>279</v>
      </c>
      <c r="AB161" s="455">
        <v>1.2999999999999999E-3</v>
      </c>
      <c r="AC161" s="455" t="s">
        <v>279</v>
      </c>
      <c r="AD161" s="452" t="s">
        <v>1731</v>
      </c>
      <c r="AE161" s="484" t="s">
        <v>1731</v>
      </c>
      <c r="AF161" s="484" t="s">
        <v>2512</v>
      </c>
      <c r="AG161" s="452"/>
      <c r="AH161" s="550"/>
    </row>
    <row r="162" spans="1:34" s="439" customFormat="1" ht="15">
      <c r="A162" s="453" t="s">
        <v>966</v>
      </c>
      <c r="B162" s="453" t="s">
        <v>967</v>
      </c>
      <c r="C162" s="448">
        <v>551.49</v>
      </c>
      <c r="D162" s="448" t="s">
        <v>1801</v>
      </c>
      <c r="E162" s="449">
        <v>1.63E-8</v>
      </c>
      <c r="F162" s="449" t="s">
        <v>1801</v>
      </c>
      <c r="G162" s="450">
        <f t="shared" si="4"/>
        <v>0.48356538064294013</v>
      </c>
      <c r="H162" s="450" t="s">
        <v>2207</v>
      </c>
      <c r="I162" s="450">
        <v>1.6000000000000001E-4</v>
      </c>
      <c r="J162" s="448" t="s">
        <v>1801</v>
      </c>
      <c r="K162" s="449">
        <v>2.8099999999999999E-5</v>
      </c>
      <c r="L162" s="449" t="s">
        <v>1801</v>
      </c>
      <c r="M162" s="922">
        <v>1.1488E-3</v>
      </c>
      <c r="N162" s="450">
        <v>2.4756799999999999E-2</v>
      </c>
      <c r="O162" s="537" t="s">
        <v>2367</v>
      </c>
      <c r="P162" s="450">
        <v>6.5883000000000001E-6</v>
      </c>
      <c r="Q162" s="537" t="s">
        <v>2367</v>
      </c>
      <c r="R162" s="543">
        <v>643.70000000000005</v>
      </c>
      <c r="S162" s="540" t="s">
        <v>414</v>
      </c>
      <c r="T162" s="543" t="s">
        <v>2035</v>
      </c>
      <c r="U162" s="540"/>
      <c r="V162" s="451" t="s">
        <v>2024</v>
      </c>
      <c r="W162" s="540"/>
      <c r="X162" s="449">
        <v>2807</v>
      </c>
      <c r="Y162" s="455" t="s">
        <v>414</v>
      </c>
      <c r="Z162" s="455" t="s">
        <v>2203</v>
      </c>
      <c r="AA162" s="455" t="s">
        <v>43</v>
      </c>
      <c r="AB162" s="455" t="s">
        <v>2203</v>
      </c>
      <c r="AC162" s="455" t="s">
        <v>43</v>
      </c>
      <c r="AD162" s="452" t="s">
        <v>1731</v>
      </c>
      <c r="AE162" s="484" t="s">
        <v>1731</v>
      </c>
      <c r="AF162" s="484" t="s">
        <v>2512</v>
      </c>
      <c r="AG162" s="452"/>
      <c r="AH162" s="550"/>
    </row>
    <row r="163" spans="1:34" s="439" customFormat="1" ht="15">
      <c r="A163" s="453" t="s">
        <v>101</v>
      </c>
      <c r="B163" s="447" t="s">
        <v>970</v>
      </c>
      <c r="C163" s="448">
        <v>284.77999999999997</v>
      </c>
      <c r="D163" s="448" t="s">
        <v>1801</v>
      </c>
      <c r="E163" s="449">
        <v>1.8E-5</v>
      </c>
      <c r="F163" s="449" t="s">
        <v>1801</v>
      </c>
      <c r="G163" s="450">
        <f t="shared" si="4"/>
        <v>275.7477299135</v>
      </c>
      <c r="H163" s="450" t="s">
        <v>2207</v>
      </c>
      <c r="I163" s="450">
        <v>6.1999999999999998E-3</v>
      </c>
      <c r="J163" s="448" t="s">
        <v>1801</v>
      </c>
      <c r="K163" s="449">
        <v>1.6999999999999999E-3</v>
      </c>
      <c r="L163" s="449" t="s">
        <v>1801</v>
      </c>
      <c r="M163" s="922">
        <v>6.9501199999999999E-2</v>
      </c>
      <c r="N163" s="450">
        <v>2.89745E-2</v>
      </c>
      <c r="O163" s="537" t="s">
        <v>2367</v>
      </c>
      <c r="P163" s="450">
        <v>7.8497000000000004E-6</v>
      </c>
      <c r="Q163" s="537" t="s">
        <v>2367</v>
      </c>
      <c r="R163" s="543">
        <v>598.15</v>
      </c>
      <c r="S163" s="540" t="s">
        <v>414</v>
      </c>
      <c r="T163" s="543">
        <v>897.22499999999991</v>
      </c>
      <c r="U163" s="540" t="s">
        <v>2182</v>
      </c>
      <c r="V163" s="451">
        <v>11703.454</v>
      </c>
      <c r="W163" s="540" t="s">
        <v>2174</v>
      </c>
      <c r="X163" s="449">
        <v>6195</v>
      </c>
      <c r="Y163" s="455" t="s">
        <v>414</v>
      </c>
      <c r="Z163" s="455">
        <v>4.6000000000000001E-4</v>
      </c>
      <c r="AA163" s="455" t="s">
        <v>280</v>
      </c>
      <c r="AB163" s="455" t="s">
        <v>2203</v>
      </c>
      <c r="AC163" s="455" t="s">
        <v>43</v>
      </c>
      <c r="AD163" s="452" t="s">
        <v>1731</v>
      </c>
      <c r="AE163" s="484" t="s">
        <v>1731</v>
      </c>
      <c r="AF163" s="484" t="s">
        <v>2512</v>
      </c>
      <c r="AG163" s="452"/>
      <c r="AH163" s="550"/>
    </row>
    <row r="164" spans="1:34" s="439" customFormat="1" ht="15">
      <c r="A164" s="453" t="s">
        <v>1742</v>
      </c>
      <c r="B164" s="447" t="s">
        <v>1335</v>
      </c>
      <c r="C164" s="448">
        <v>360.88</v>
      </c>
      <c r="D164" s="448" t="s">
        <v>1801</v>
      </c>
      <c r="E164" s="449">
        <v>1.61E-6</v>
      </c>
      <c r="F164" s="449" t="s">
        <v>1801</v>
      </c>
      <c r="G164" s="450">
        <f t="shared" si="4"/>
        <v>31.254938245040233</v>
      </c>
      <c r="H164" s="450" t="s">
        <v>2207</v>
      </c>
      <c r="I164" s="450">
        <v>5.3299999999999997E-3</v>
      </c>
      <c r="J164" s="448" t="s">
        <v>1801</v>
      </c>
      <c r="K164" s="449">
        <v>1.4300000000000001E-4</v>
      </c>
      <c r="L164" s="449" t="s">
        <v>414</v>
      </c>
      <c r="M164" s="922">
        <v>5.8462999999999996E-3</v>
      </c>
      <c r="N164" s="450">
        <v>4.4421000000000002E-2</v>
      </c>
      <c r="O164" s="537" t="s">
        <v>2367</v>
      </c>
      <c r="P164" s="450">
        <v>5.8638999999999999E-6</v>
      </c>
      <c r="Q164" s="537" t="s">
        <v>2367</v>
      </c>
      <c r="R164" s="543">
        <v>670.05</v>
      </c>
      <c r="S164" s="540" t="s">
        <v>414</v>
      </c>
      <c r="T164" s="543">
        <v>1005.0749999999999</v>
      </c>
      <c r="U164" s="540" t="s">
        <v>2182</v>
      </c>
      <c r="V164" s="451" t="s">
        <v>2024</v>
      </c>
      <c r="W164" s="540"/>
      <c r="X164" s="449">
        <v>213600</v>
      </c>
      <c r="Y164" s="455" t="s">
        <v>414</v>
      </c>
      <c r="Z164" s="455">
        <v>1.1000000000000001E-3</v>
      </c>
      <c r="AA164" s="455" t="s">
        <v>279</v>
      </c>
      <c r="AB164" s="455">
        <v>1.2999999999999999E-3</v>
      </c>
      <c r="AC164" s="455" t="s">
        <v>279</v>
      </c>
      <c r="AD164" s="452" t="s">
        <v>1731</v>
      </c>
      <c r="AE164" s="484" t="s">
        <v>1731</v>
      </c>
      <c r="AF164" s="484" t="s">
        <v>2512</v>
      </c>
      <c r="AG164" s="452"/>
      <c r="AH164" s="550"/>
    </row>
    <row r="165" spans="1:34" s="439" customFormat="1" ht="15">
      <c r="A165" s="453" t="s">
        <v>1741</v>
      </c>
      <c r="B165" s="447" t="s">
        <v>1333</v>
      </c>
      <c r="C165" s="448">
        <v>360.88</v>
      </c>
      <c r="D165" s="448" t="s">
        <v>1801</v>
      </c>
      <c r="E165" s="449">
        <v>5.8100000000000003E-7</v>
      </c>
      <c r="F165" s="449" t="s">
        <v>414</v>
      </c>
      <c r="G165" s="450">
        <f t="shared" si="4"/>
        <v>11.278955975384084</v>
      </c>
      <c r="H165" s="450" t="s">
        <v>2207</v>
      </c>
      <c r="I165" s="450">
        <v>1.6469E-3</v>
      </c>
      <c r="J165" s="448" t="s">
        <v>414</v>
      </c>
      <c r="K165" s="449">
        <v>1.6200000000000001E-4</v>
      </c>
      <c r="L165" s="449" t="s">
        <v>414</v>
      </c>
      <c r="M165" s="922">
        <v>6.6230999999999998E-3</v>
      </c>
      <c r="N165" s="450">
        <v>4.4421000000000002E-2</v>
      </c>
      <c r="O165" s="537" t="s">
        <v>2367</v>
      </c>
      <c r="P165" s="450">
        <v>5.8638999999999999E-6</v>
      </c>
      <c r="Q165" s="537" t="s">
        <v>2367</v>
      </c>
      <c r="R165" s="543">
        <v>670.05</v>
      </c>
      <c r="S165" s="540" t="s">
        <v>414</v>
      </c>
      <c r="T165" s="543">
        <v>1005.0749999999999</v>
      </c>
      <c r="U165" s="540" t="s">
        <v>2182</v>
      </c>
      <c r="V165" s="451" t="s">
        <v>2024</v>
      </c>
      <c r="W165" s="540"/>
      <c r="X165" s="449">
        <v>213600</v>
      </c>
      <c r="Y165" s="455" t="s">
        <v>414</v>
      </c>
      <c r="Z165" s="455">
        <v>1.1000000000000001E-3</v>
      </c>
      <c r="AA165" s="455" t="s">
        <v>279</v>
      </c>
      <c r="AB165" s="455">
        <v>1.2999999999999999E-3</v>
      </c>
      <c r="AC165" s="455" t="s">
        <v>279</v>
      </c>
      <c r="AD165" s="452" t="s">
        <v>1731</v>
      </c>
      <c r="AE165" s="484" t="s">
        <v>1731</v>
      </c>
      <c r="AF165" s="484" t="s">
        <v>2512</v>
      </c>
      <c r="AG165" s="452"/>
      <c r="AH165" s="550"/>
    </row>
    <row r="166" spans="1:34" s="439" customFormat="1" ht="15">
      <c r="A166" s="453" t="s">
        <v>1740</v>
      </c>
      <c r="B166" s="447" t="s">
        <v>1331</v>
      </c>
      <c r="C166" s="448">
        <v>360.88</v>
      </c>
      <c r="D166" s="448" t="s">
        <v>1801</v>
      </c>
      <c r="E166" s="449">
        <v>5.8100000000000003E-7</v>
      </c>
      <c r="F166" s="449" t="s">
        <v>1801</v>
      </c>
      <c r="G166" s="450">
        <f t="shared" si="4"/>
        <v>11.278955975384084</v>
      </c>
      <c r="H166" s="450" t="s">
        <v>2207</v>
      </c>
      <c r="I166" s="450">
        <v>2.225E-3</v>
      </c>
      <c r="J166" s="448" t="s">
        <v>1801</v>
      </c>
      <c r="K166" s="449">
        <v>6.8499999999999998E-5</v>
      </c>
      <c r="L166" s="449" t="s">
        <v>1801</v>
      </c>
      <c r="M166" s="922">
        <v>2.8005E-3</v>
      </c>
      <c r="N166" s="450">
        <v>4.4421000000000002E-2</v>
      </c>
      <c r="O166" s="537" t="s">
        <v>2367</v>
      </c>
      <c r="P166" s="450">
        <v>5.8638999999999999E-6</v>
      </c>
      <c r="Q166" s="537" t="s">
        <v>2367</v>
      </c>
      <c r="R166" s="543">
        <v>670.05</v>
      </c>
      <c r="S166" s="540" t="s">
        <v>414</v>
      </c>
      <c r="T166" s="543">
        <v>1005.0749999999999</v>
      </c>
      <c r="U166" s="540" t="s">
        <v>2182</v>
      </c>
      <c r="V166" s="451" t="s">
        <v>2024</v>
      </c>
      <c r="W166" s="540"/>
      <c r="X166" s="449">
        <v>209300</v>
      </c>
      <c r="Y166" s="455" t="s">
        <v>414</v>
      </c>
      <c r="Z166" s="455">
        <v>1.1000000000000001E-3</v>
      </c>
      <c r="AA166" s="455" t="s">
        <v>279</v>
      </c>
      <c r="AB166" s="455">
        <v>1.2999999999999999E-3</v>
      </c>
      <c r="AC166" s="455" t="s">
        <v>279</v>
      </c>
      <c r="AD166" s="452" t="s">
        <v>1731</v>
      </c>
      <c r="AE166" s="484" t="s">
        <v>1731</v>
      </c>
      <c r="AF166" s="484" t="s">
        <v>2512</v>
      </c>
      <c r="AG166" s="452"/>
      <c r="AH166" s="550"/>
    </row>
    <row r="167" spans="1:34" s="439" customFormat="1" ht="15">
      <c r="A167" s="453" t="s">
        <v>1743</v>
      </c>
      <c r="B167" s="447" t="s">
        <v>1337</v>
      </c>
      <c r="C167" s="448">
        <v>360.88</v>
      </c>
      <c r="D167" s="448" t="s">
        <v>1801</v>
      </c>
      <c r="E167" s="449">
        <v>5.8100000000000003E-7</v>
      </c>
      <c r="F167" s="449" t="s">
        <v>1801</v>
      </c>
      <c r="G167" s="450">
        <f t="shared" si="4"/>
        <v>11.278955975384084</v>
      </c>
      <c r="H167" s="450" t="s">
        <v>2207</v>
      </c>
      <c r="I167" s="450">
        <v>5.1000000000000004E-4</v>
      </c>
      <c r="J167" s="448" t="s">
        <v>1801</v>
      </c>
      <c r="K167" s="449">
        <v>6.8499999999999998E-5</v>
      </c>
      <c r="L167" s="449" t="s">
        <v>1801</v>
      </c>
      <c r="M167" s="922">
        <v>2.8005E-3</v>
      </c>
      <c r="N167" s="450">
        <v>4.4421000000000002E-2</v>
      </c>
      <c r="O167" s="537" t="s">
        <v>2367</v>
      </c>
      <c r="P167" s="450">
        <v>5.8638999999999999E-6</v>
      </c>
      <c r="Q167" s="537" t="s">
        <v>2367</v>
      </c>
      <c r="R167" s="543">
        <v>670.05</v>
      </c>
      <c r="S167" s="540" t="s">
        <v>414</v>
      </c>
      <c r="T167" s="543">
        <v>1005.0749999999999</v>
      </c>
      <c r="U167" s="540" t="s">
        <v>2182</v>
      </c>
      <c r="V167" s="451" t="s">
        <v>2024</v>
      </c>
      <c r="W167" s="540"/>
      <c r="X167" s="449">
        <v>209300</v>
      </c>
      <c r="Y167" s="455" t="s">
        <v>414</v>
      </c>
      <c r="Z167" s="455">
        <v>1.1000000000000001</v>
      </c>
      <c r="AA167" s="455" t="s">
        <v>279</v>
      </c>
      <c r="AB167" s="455">
        <v>1.3E-6</v>
      </c>
      <c r="AC167" s="455" t="s">
        <v>279</v>
      </c>
      <c r="AD167" s="452" t="s">
        <v>1731</v>
      </c>
      <c r="AE167" s="484" t="s">
        <v>1731</v>
      </c>
      <c r="AF167" s="484" t="s">
        <v>2512</v>
      </c>
      <c r="AG167" s="452"/>
      <c r="AH167" s="550"/>
    </row>
    <row r="168" spans="1:34" s="439" customFormat="1" ht="15">
      <c r="A168" s="453" t="s">
        <v>971</v>
      </c>
      <c r="B168" s="447" t="s">
        <v>972</v>
      </c>
      <c r="C168" s="448">
        <v>260.76</v>
      </c>
      <c r="D168" s="448" t="s">
        <v>1801</v>
      </c>
      <c r="E168" s="449">
        <v>0.22</v>
      </c>
      <c r="F168" s="449" t="s">
        <v>1801</v>
      </c>
      <c r="G168" s="450">
        <f t="shared" si="4"/>
        <v>3085983.5607006066</v>
      </c>
      <c r="H168" s="450" t="s">
        <v>2207</v>
      </c>
      <c r="I168" s="450">
        <v>3.2</v>
      </c>
      <c r="J168" s="448" t="s">
        <v>1801</v>
      </c>
      <c r="K168" s="449">
        <v>1.03E-2</v>
      </c>
      <c r="L168" s="449" t="s">
        <v>1801</v>
      </c>
      <c r="M168" s="922">
        <v>0.42109570000000002</v>
      </c>
      <c r="N168" s="450">
        <v>2.6744500000000001E-2</v>
      </c>
      <c r="O168" s="537" t="s">
        <v>2367</v>
      </c>
      <c r="P168" s="450">
        <v>7.0264000000000002E-6</v>
      </c>
      <c r="Q168" s="537" t="s">
        <v>2367</v>
      </c>
      <c r="R168" s="543">
        <v>488.15</v>
      </c>
      <c r="S168" s="540" t="s">
        <v>414</v>
      </c>
      <c r="T168" s="543">
        <v>732.22499999999991</v>
      </c>
      <c r="U168" s="540" t="s">
        <v>2182</v>
      </c>
      <c r="V168" s="451">
        <v>10206</v>
      </c>
      <c r="W168" s="540" t="s">
        <v>2180</v>
      </c>
      <c r="X168" s="449">
        <v>845.2</v>
      </c>
      <c r="Y168" s="455" t="s">
        <v>414</v>
      </c>
      <c r="Z168" s="455">
        <v>2.1999999999999999E-5</v>
      </c>
      <c r="AA168" s="455" t="s">
        <v>280</v>
      </c>
      <c r="AB168" s="455" t="s">
        <v>2203</v>
      </c>
      <c r="AC168" s="455" t="s">
        <v>43</v>
      </c>
      <c r="AD168" s="452" t="s">
        <v>1731</v>
      </c>
      <c r="AE168" s="484" t="s">
        <v>1731</v>
      </c>
      <c r="AF168" s="484" t="s">
        <v>2512</v>
      </c>
      <c r="AG168" s="452"/>
      <c r="AH168" s="550"/>
    </row>
    <row r="169" spans="1:34" s="439" customFormat="1" ht="15">
      <c r="A169" s="453" t="s">
        <v>65</v>
      </c>
      <c r="B169" s="447" t="s">
        <v>981</v>
      </c>
      <c r="C169" s="448">
        <v>272.77</v>
      </c>
      <c r="D169" s="448" t="s">
        <v>1801</v>
      </c>
      <c r="E169" s="449">
        <v>0.06</v>
      </c>
      <c r="F169" s="449" t="s">
        <v>1801</v>
      </c>
      <c r="G169" s="450">
        <f t="shared" si="4"/>
        <v>880395.48995137052</v>
      </c>
      <c r="H169" s="450" t="s">
        <v>2207</v>
      </c>
      <c r="I169" s="450">
        <v>1.8</v>
      </c>
      <c r="J169" s="448" t="s">
        <v>1801</v>
      </c>
      <c r="K169" s="449">
        <v>2.7E-2</v>
      </c>
      <c r="L169" s="449" t="s">
        <v>1801</v>
      </c>
      <c r="M169" s="922">
        <v>1.1038429999999999</v>
      </c>
      <c r="N169" s="450">
        <v>2.7238200000000001E-2</v>
      </c>
      <c r="O169" s="537" t="s">
        <v>2367</v>
      </c>
      <c r="P169" s="450">
        <v>7.2169999999999997E-6</v>
      </c>
      <c r="Q169" s="537" t="s">
        <v>2367</v>
      </c>
      <c r="R169" s="543">
        <v>512.15</v>
      </c>
      <c r="S169" s="540" t="s">
        <v>414</v>
      </c>
      <c r="T169" s="543">
        <v>768.22499999999991</v>
      </c>
      <c r="U169" s="540" t="s">
        <v>2182</v>
      </c>
      <c r="V169" s="451">
        <v>42992.28</v>
      </c>
      <c r="W169" s="540" t="s">
        <v>2174</v>
      </c>
      <c r="X169" s="449">
        <v>1404</v>
      </c>
      <c r="Y169" s="455" t="s">
        <v>414</v>
      </c>
      <c r="Z169" s="455" t="s">
        <v>2203</v>
      </c>
      <c r="AA169" s="455" t="s">
        <v>43</v>
      </c>
      <c r="AB169" s="455">
        <v>2.0000000000000001E-4</v>
      </c>
      <c r="AC169" s="455" t="s">
        <v>280</v>
      </c>
      <c r="AD169" s="452" t="s">
        <v>1731</v>
      </c>
      <c r="AE169" s="484" t="s">
        <v>1731</v>
      </c>
      <c r="AF169" s="484" t="s">
        <v>2512</v>
      </c>
      <c r="AG169" s="452"/>
      <c r="AH169" s="550"/>
    </row>
    <row r="170" spans="1:34" s="439" customFormat="1" ht="15">
      <c r="A170" s="453" t="s">
        <v>48</v>
      </c>
      <c r="B170" s="447" t="s">
        <v>982</v>
      </c>
      <c r="C170" s="448">
        <v>236.74</v>
      </c>
      <c r="D170" s="448" t="s">
        <v>1801</v>
      </c>
      <c r="E170" s="449">
        <v>0.21</v>
      </c>
      <c r="F170" s="449" t="s">
        <v>1801</v>
      </c>
      <c r="G170" s="450">
        <f t="shared" si="4"/>
        <v>2674366.3123466885</v>
      </c>
      <c r="H170" s="450" t="s">
        <v>2207</v>
      </c>
      <c r="I170" s="450">
        <v>50</v>
      </c>
      <c r="J170" s="448" t="s">
        <v>1801</v>
      </c>
      <c r="K170" s="449">
        <v>3.8899999999999998E-3</v>
      </c>
      <c r="L170" s="449" t="s">
        <v>1801</v>
      </c>
      <c r="M170" s="922">
        <v>0.15903519999999999</v>
      </c>
      <c r="N170" s="450">
        <v>3.2093799999999999E-2</v>
      </c>
      <c r="O170" s="537" t="s">
        <v>2367</v>
      </c>
      <c r="P170" s="450">
        <v>8.8904000000000005E-6</v>
      </c>
      <c r="Q170" s="537" t="s">
        <v>2367</v>
      </c>
      <c r="R170" s="543">
        <v>427.59999999999997</v>
      </c>
      <c r="S170" s="540" t="s">
        <v>414</v>
      </c>
      <c r="T170" s="543">
        <v>641.4</v>
      </c>
      <c r="U170" s="540" t="s">
        <v>2182</v>
      </c>
      <c r="V170" s="451">
        <v>11711.3</v>
      </c>
      <c r="W170" s="540" t="s">
        <v>2179</v>
      </c>
      <c r="X170" s="449">
        <v>196.8</v>
      </c>
      <c r="Y170" s="455" t="s">
        <v>414</v>
      </c>
      <c r="Z170" s="455">
        <v>1.1E-5</v>
      </c>
      <c r="AA170" s="455" t="s">
        <v>2507</v>
      </c>
      <c r="AB170" s="455">
        <v>0.03</v>
      </c>
      <c r="AC170" s="455" t="s">
        <v>280</v>
      </c>
      <c r="AD170" s="452" t="s">
        <v>1731</v>
      </c>
      <c r="AE170" s="484" t="s">
        <v>1731</v>
      </c>
      <c r="AF170" s="484" t="s">
        <v>2512</v>
      </c>
      <c r="AG170" s="452"/>
      <c r="AH170" s="550"/>
    </row>
    <row r="171" spans="1:34" s="439" customFormat="1" ht="15">
      <c r="A171" s="453" t="s">
        <v>987</v>
      </c>
      <c r="B171" s="447" t="s">
        <v>988</v>
      </c>
      <c r="C171" s="448">
        <v>168.2</v>
      </c>
      <c r="D171" s="448" t="s">
        <v>1801</v>
      </c>
      <c r="E171" s="449">
        <v>0.03</v>
      </c>
      <c r="F171" s="449" t="s">
        <v>1801</v>
      </c>
      <c r="G171" s="450">
        <f t="shared" si="4"/>
        <v>271442.09665619483</v>
      </c>
      <c r="H171" s="450" t="s">
        <v>2207</v>
      </c>
      <c r="I171" s="450">
        <v>117</v>
      </c>
      <c r="J171" s="448" t="s">
        <v>1801</v>
      </c>
      <c r="K171" s="449">
        <v>4.8000000000000001E-5</v>
      </c>
      <c r="L171" s="449" t="s">
        <v>1801</v>
      </c>
      <c r="M171" s="922">
        <v>1.9624E-3</v>
      </c>
      <c r="N171" s="450">
        <v>4.0425500000000003E-2</v>
      </c>
      <c r="O171" s="537" t="s">
        <v>2367</v>
      </c>
      <c r="P171" s="450">
        <v>7.2308000000000003E-6</v>
      </c>
      <c r="Q171" s="537" t="s">
        <v>2367</v>
      </c>
      <c r="R171" s="543">
        <v>528</v>
      </c>
      <c r="S171" s="540" t="s">
        <v>2173</v>
      </c>
      <c r="T171" s="543">
        <v>792</v>
      </c>
      <c r="U171" s="540" t="s">
        <v>2182</v>
      </c>
      <c r="V171" s="451" t="s">
        <v>2024</v>
      </c>
      <c r="W171" s="540"/>
      <c r="X171" s="449">
        <v>4818</v>
      </c>
      <c r="Y171" s="455" t="s">
        <v>414</v>
      </c>
      <c r="Z171" s="455" t="s">
        <v>2203</v>
      </c>
      <c r="AA171" s="455" t="s">
        <v>43</v>
      </c>
      <c r="AB171" s="455">
        <v>1.0000000000000001E-5</v>
      </c>
      <c r="AC171" s="455" t="s">
        <v>280</v>
      </c>
      <c r="AD171" s="452" t="s">
        <v>1731</v>
      </c>
      <c r="AE171" s="484" t="s">
        <v>1731</v>
      </c>
      <c r="AF171" s="484" t="s">
        <v>2512</v>
      </c>
      <c r="AG171" s="452"/>
      <c r="AH171" s="550"/>
    </row>
    <row r="172" spans="1:34" s="439" customFormat="1" ht="15">
      <c r="A172" s="453" t="s">
        <v>989</v>
      </c>
      <c r="B172" s="447" t="s">
        <v>990</v>
      </c>
      <c r="C172" s="448">
        <v>86.177999999999997</v>
      </c>
      <c r="D172" s="448" t="s">
        <v>1801</v>
      </c>
      <c r="E172" s="449">
        <v>151.30000000000001</v>
      </c>
      <c r="F172" s="449" t="s">
        <v>1801</v>
      </c>
      <c r="G172" s="450">
        <f t="shared" si="4"/>
        <v>701399244.73899388</v>
      </c>
      <c r="H172" s="450" t="s">
        <v>2207</v>
      </c>
      <c r="I172" s="450">
        <v>9.5</v>
      </c>
      <c r="J172" s="448" t="s">
        <v>1801</v>
      </c>
      <c r="K172" s="449">
        <v>1.8</v>
      </c>
      <c r="L172" s="449" t="s">
        <v>414</v>
      </c>
      <c r="M172" s="922">
        <v>73.589534</v>
      </c>
      <c r="N172" s="450">
        <v>7.3107800000000001E-2</v>
      </c>
      <c r="O172" s="537" t="s">
        <v>2367</v>
      </c>
      <c r="P172" s="450">
        <v>8.1658000000000007E-6</v>
      </c>
      <c r="Q172" s="537" t="s">
        <v>2367</v>
      </c>
      <c r="R172" s="543">
        <v>341.7</v>
      </c>
      <c r="S172" s="540" t="s">
        <v>414</v>
      </c>
      <c r="T172" s="543">
        <v>508</v>
      </c>
      <c r="U172" s="540" t="s">
        <v>2181</v>
      </c>
      <c r="V172" s="451">
        <v>6895.15</v>
      </c>
      <c r="W172" s="540" t="s">
        <v>2181</v>
      </c>
      <c r="X172" s="449">
        <v>131.5</v>
      </c>
      <c r="Y172" s="455" t="s">
        <v>414</v>
      </c>
      <c r="Z172" s="455" t="s">
        <v>2203</v>
      </c>
      <c r="AA172" s="455" t="s">
        <v>43</v>
      </c>
      <c r="AB172" s="455">
        <v>0.7</v>
      </c>
      <c r="AC172" s="455" t="s">
        <v>280</v>
      </c>
      <c r="AD172" s="452" t="s">
        <v>1731</v>
      </c>
      <c r="AE172" s="484" t="s">
        <v>2513</v>
      </c>
      <c r="AF172" s="484" t="s">
        <v>2512</v>
      </c>
      <c r="AG172" s="452"/>
      <c r="AH172" s="550"/>
    </row>
    <row r="173" spans="1:34" s="439" customFormat="1" ht="15">
      <c r="A173" s="453" t="s">
        <v>993</v>
      </c>
      <c r="B173" s="447" t="s">
        <v>994</v>
      </c>
      <c r="C173" s="448">
        <v>100.16</v>
      </c>
      <c r="D173" s="448" t="s">
        <v>1801</v>
      </c>
      <c r="E173" s="449">
        <v>11.6</v>
      </c>
      <c r="F173" s="449" t="s">
        <v>1801</v>
      </c>
      <c r="G173" s="450">
        <f t="shared" si="4"/>
        <v>62500322.761113733</v>
      </c>
      <c r="H173" s="450" t="s">
        <v>2207</v>
      </c>
      <c r="I173" s="450">
        <v>17200</v>
      </c>
      <c r="J173" s="448" t="s">
        <v>1801</v>
      </c>
      <c r="K173" s="449">
        <v>9.3200000000000002E-5</v>
      </c>
      <c r="L173" s="449" t="s">
        <v>414</v>
      </c>
      <c r="M173" s="922">
        <v>3.8103E-3</v>
      </c>
      <c r="N173" s="450">
        <v>7.0356399999999999E-2</v>
      </c>
      <c r="O173" s="537" t="s">
        <v>2367</v>
      </c>
      <c r="P173" s="450">
        <v>8.4403999999999997E-6</v>
      </c>
      <c r="Q173" s="537" t="s">
        <v>2367</v>
      </c>
      <c r="R173" s="543">
        <v>400.6</v>
      </c>
      <c r="S173" s="540" t="s">
        <v>2173</v>
      </c>
      <c r="T173" s="543">
        <v>600.90000000000009</v>
      </c>
      <c r="U173" s="540" t="s">
        <v>2182</v>
      </c>
      <c r="V173" s="451">
        <v>8610.39</v>
      </c>
      <c r="W173" s="540" t="s">
        <v>2174</v>
      </c>
      <c r="X173" s="449">
        <v>14.98</v>
      </c>
      <c r="Y173" s="455" t="s">
        <v>414</v>
      </c>
      <c r="Z173" s="455" t="s">
        <v>2203</v>
      </c>
      <c r="AA173" s="455" t="s">
        <v>43</v>
      </c>
      <c r="AB173" s="455">
        <v>0.03</v>
      </c>
      <c r="AC173" s="455" t="s">
        <v>280</v>
      </c>
      <c r="AD173" s="452" t="s">
        <v>1731</v>
      </c>
      <c r="AE173" s="484" t="s">
        <v>1731</v>
      </c>
      <c r="AF173" s="484" t="s">
        <v>2512</v>
      </c>
      <c r="AG173" s="452"/>
      <c r="AH173" s="550"/>
    </row>
    <row r="174" spans="1:34" s="439" customFormat="1" ht="15">
      <c r="A174" s="453" t="s">
        <v>997</v>
      </c>
      <c r="B174" s="447" t="s">
        <v>998</v>
      </c>
      <c r="C174" s="448">
        <v>32.045000000000002</v>
      </c>
      <c r="D174" s="448" t="s">
        <v>1801</v>
      </c>
      <c r="E174" s="449">
        <v>14.38</v>
      </c>
      <c r="F174" s="449" t="s">
        <v>1801</v>
      </c>
      <c r="G174" s="450">
        <f t="shared" si="4"/>
        <v>24788435.46929466</v>
      </c>
      <c r="H174" s="450" t="s">
        <v>2207</v>
      </c>
      <c r="I174" s="450">
        <v>1000000</v>
      </c>
      <c r="J174" s="448" t="s">
        <v>1801</v>
      </c>
      <c r="K174" s="449">
        <v>6.0999999999999998E-7</v>
      </c>
      <c r="L174" s="449" t="s">
        <v>2168</v>
      </c>
      <c r="M174" s="922">
        <v>2.5000000000000001E-5</v>
      </c>
      <c r="N174" s="450">
        <v>0.1733034</v>
      </c>
      <c r="O174" s="537" t="s">
        <v>2367</v>
      </c>
      <c r="P174" s="450">
        <v>1.9000000000000001E-5</v>
      </c>
      <c r="Q174" s="537" t="s">
        <v>2367</v>
      </c>
      <c r="R174" s="543">
        <v>386.65</v>
      </c>
      <c r="S174" s="540" t="s">
        <v>414</v>
      </c>
      <c r="T174" s="543">
        <v>653.15</v>
      </c>
      <c r="U174" s="540" t="s">
        <v>2174</v>
      </c>
      <c r="V174" s="451">
        <v>10812.558420000001</v>
      </c>
      <c r="W174" s="540" t="s">
        <v>2174</v>
      </c>
      <c r="X174" s="449" t="s">
        <v>1750</v>
      </c>
      <c r="Y174" s="455" t="s">
        <v>43</v>
      </c>
      <c r="Z174" s="455">
        <v>4.8999999999999998E-3</v>
      </c>
      <c r="AA174" s="455" t="s">
        <v>280</v>
      </c>
      <c r="AB174" s="455">
        <v>3.0000000000000001E-5</v>
      </c>
      <c r="AC174" s="455" t="s">
        <v>281</v>
      </c>
      <c r="AD174" s="452" t="s">
        <v>1731</v>
      </c>
      <c r="AE174" s="484" t="s">
        <v>1731</v>
      </c>
      <c r="AF174" s="484" t="s">
        <v>2512</v>
      </c>
      <c r="AG174" s="452"/>
      <c r="AH174" s="550"/>
    </row>
    <row r="175" spans="1:34" s="439" customFormat="1" ht="15">
      <c r="A175" s="453" t="s">
        <v>1001</v>
      </c>
      <c r="B175" s="447" t="s">
        <v>1002</v>
      </c>
      <c r="C175" s="448">
        <v>35.450000000000003</v>
      </c>
      <c r="D175" s="448" t="s">
        <v>414</v>
      </c>
      <c r="E175" s="449">
        <v>32452</v>
      </c>
      <c r="F175" s="449" t="s">
        <v>2168</v>
      </c>
      <c r="G175" s="450">
        <f t="shared" si="4"/>
        <v>61885322976.287811</v>
      </c>
      <c r="H175" s="450" t="s">
        <v>2207</v>
      </c>
      <c r="I175" s="450">
        <v>673000</v>
      </c>
      <c r="J175" s="448" t="s">
        <v>2167</v>
      </c>
      <c r="K175" s="449">
        <v>2040000</v>
      </c>
      <c r="L175" s="449" t="s">
        <v>2167</v>
      </c>
      <c r="M175" s="922">
        <v>83401472</v>
      </c>
      <c r="N175" s="450">
        <v>0.1879912</v>
      </c>
      <c r="O175" s="537" t="s">
        <v>2367</v>
      </c>
      <c r="P175" s="450">
        <v>2.27E-5</v>
      </c>
      <c r="Q175" s="537" t="s">
        <v>2367</v>
      </c>
      <c r="R175" s="543">
        <v>188.09999999999997</v>
      </c>
      <c r="S175" s="540" t="s">
        <v>2174</v>
      </c>
      <c r="T175" s="543">
        <v>324.54999999999995</v>
      </c>
      <c r="U175" s="540" t="s">
        <v>2174</v>
      </c>
      <c r="V175" s="451">
        <v>3855.4760166000001</v>
      </c>
      <c r="W175" s="540" t="s">
        <v>2174</v>
      </c>
      <c r="X175" s="449" t="s">
        <v>1750</v>
      </c>
      <c r="Y175" s="455" t="s">
        <v>43</v>
      </c>
      <c r="Z175" s="455" t="s">
        <v>2203</v>
      </c>
      <c r="AA175" s="455" t="s">
        <v>43</v>
      </c>
      <c r="AB175" s="455">
        <v>0.02</v>
      </c>
      <c r="AC175" s="455" t="s">
        <v>280</v>
      </c>
      <c r="AD175" s="452" t="s">
        <v>1731</v>
      </c>
      <c r="AE175" s="484" t="s">
        <v>1731</v>
      </c>
      <c r="AF175" s="484" t="s">
        <v>2512</v>
      </c>
      <c r="AG175" s="452"/>
      <c r="AH175" s="550"/>
    </row>
    <row r="176" spans="1:34" s="439" customFormat="1" ht="15">
      <c r="A176" s="453" t="s">
        <v>2067</v>
      </c>
      <c r="B176" s="447" t="s">
        <v>651</v>
      </c>
      <c r="C176" s="448">
        <v>27.026</v>
      </c>
      <c r="D176" s="448" t="s">
        <v>1801</v>
      </c>
      <c r="E176" s="449">
        <v>741.9</v>
      </c>
      <c r="F176" s="449" t="s">
        <v>1801</v>
      </c>
      <c r="G176" s="450">
        <f t="shared" si="4"/>
        <v>1078591760.9846365</v>
      </c>
      <c r="H176" s="450" t="s">
        <v>2207</v>
      </c>
      <c r="I176" s="450">
        <v>1000000</v>
      </c>
      <c r="J176" s="448" t="s">
        <v>1801</v>
      </c>
      <c r="K176" s="449">
        <v>1.3300000000000001E-4</v>
      </c>
      <c r="L176" s="449" t="s">
        <v>1801</v>
      </c>
      <c r="M176" s="922">
        <v>5.4374000000000002E-3</v>
      </c>
      <c r="N176" s="450">
        <v>0.1678036</v>
      </c>
      <c r="O176" s="537" t="s">
        <v>2367</v>
      </c>
      <c r="P176" s="450">
        <v>1.6799999999999998E-5</v>
      </c>
      <c r="Q176" s="537" t="s">
        <v>2367</v>
      </c>
      <c r="R176" s="543">
        <v>298.60000000000002</v>
      </c>
      <c r="S176" s="540" t="s">
        <v>414</v>
      </c>
      <c r="T176" s="543">
        <v>456.7</v>
      </c>
      <c r="U176" s="540" t="s">
        <v>2181</v>
      </c>
      <c r="V176" s="451">
        <v>6676.41</v>
      </c>
      <c r="W176" s="540" t="s">
        <v>2185</v>
      </c>
      <c r="X176" s="449" t="s">
        <v>1750</v>
      </c>
      <c r="Y176" s="455" t="s">
        <v>43</v>
      </c>
      <c r="Z176" s="455" t="s">
        <v>2203</v>
      </c>
      <c r="AA176" s="455" t="s">
        <v>43</v>
      </c>
      <c r="AB176" s="455">
        <v>8.0000000000000004E-4</v>
      </c>
      <c r="AC176" s="455" t="s">
        <v>280</v>
      </c>
      <c r="AD176" s="452" t="s">
        <v>1731</v>
      </c>
      <c r="AE176" s="484" t="s">
        <v>1731</v>
      </c>
      <c r="AF176" s="484" t="s">
        <v>2512</v>
      </c>
      <c r="AG176" s="452" t="s">
        <v>2046</v>
      </c>
      <c r="AH176" s="550"/>
    </row>
    <row r="177" spans="1:34" s="439" customFormat="1" ht="15">
      <c r="A177" s="453" t="s">
        <v>1003</v>
      </c>
      <c r="B177" s="447" t="s">
        <v>1004</v>
      </c>
      <c r="C177" s="448">
        <v>20.006</v>
      </c>
      <c r="D177" s="448" t="s">
        <v>1801</v>
      </c>
      <c r="E177" s="449">
        <v>917.2</v>
      </c>
      <c r="F177" s="449" t="s">
        <v>1801</v>
      </c>
      <c r="G177" s="450">
        <f t="shared" si="4"/>
        <v>987084348.2377243</v>
      </c>
      <c r="H177" s="450" t="s">
        <v>2207</v>
      </c>
      <c r="I177" s="450">
        <v>1000000</v>
      </c>
      <c r="J177" s="448" t="s">
        <v>1801</v>
      </c>
      <c r="K177" s="449">
        <v>1.0399999999999999E-4</v>
      </c>
      <c r="L177" s="449" t="s">
        <v>1801</v>
      </c>
      <c r="M177" s="922">
        <v>4.2518E-3</v>
      </c>
      <c r="N177" s="450">
        <v>0.21909960000000001</v>
      </c>
      <c r="O177" s="537" t="s">
        <v>2367</v>
      </c>
      <c r="P177" s="450">
        <v>2.23E-5</v>
      </c>
      <c r="Q177" s="537" t="s">
        <v>2367</v>
      </c>
      <c r="R177" s="543">
        <v>292.65999999999997</v>
      </c>
      <c r="S177" s="540" t="s">
        <v>2174</v>
      </c>
      <c r="T177" s="543">
        <v>461.15</v>
      </c>
      <c r="U177" s="540" t="s">
        <v>2174</v>
      </c>
      <c r="V177" s="451">
        <v>1789.673078</v>
      </c>
      <c r="W177" s="540" t="s">
        <v>2174</v>
      </c>
      <c r="X177" s="449" t="s">
        <v>1750</v>
      </c>
      <c r="Y177" s="455" t="s">
        <v>43</v>
      </c>
      <c r="Z177" s="455" t="s">
        <v>2203</v>
      </c>
      <c r="AA177" s="455" t="s">
        <v>43</v>
      </c>
      <c r="AB177" s="455">
        <v>1.4E-2</v>
      </c>
      <c r="AC177" s="455" t="s">
        <v>2507</v>
      </c>
      <c r="AD177" s="452" t="s">
        <v>1731</v>
      </c>
      <c r="AE177" s="484" t="s">
        <v>1731</v>
      </c>
      <c r="AF177" s="484" t="s">
        <v>2512</v>
      </c>
      <c r="AG177" s="452" t="s">
        <v>98</v>
      </c>
      <c r="AH177" s="550"/>
    </row>
    <row r="178" spans="1:34" s="439" customFormat="1" ht="15">
      <c r="A178" s="453" t="s">
        <v>1005</v>
      </c>
      <c r="B178" s="447" t="s">
        <v>1006</v>
      </c>
      <c r="C178" s="448">
        <v>34.08</v>
      </c>
      <c r="D178" s="448" t="s">
        <v>1801</v>
      </c>
      <c r="E178" s="449">
        <v>15640</v>
      </c>
      <c r="F178" s="449" t="s">
        <v>1801</v>
      </c>
      <c r="G178" s="450">
        <f t="shared" si="4"/>
        <v>28672548091.405945</v>
      </c>
      <c r="H178" s="450" t="s">
        <v>2207</v>
      </c>
      <c r="I178" s="450">
        <v>3740</v>
      </c>
      <c r="J178" s="448" t="s">
        <v>1801</v>
      </c>
      <c r="K178" s="449">
        <v>8.5599999999999999E-3</v>
      </c>
      <c r="L178" s="449" t="s">
        <v>2169</v>
      </c>
      <c r="M178" s="922">
        <v>0.35</v>
      </c>
      <c r="N178" s="450">
        <v>0.18806690000000001</v>
      </c>
      <c r="O178" s="537" t="s">
        <v>2367</v>
      </c>
      <c r="P178" s="450">
        <v>2.23E-5</v>
      </c>
      <c r="Q178" s="537" t="s">
        <v>2367</v>
      </c>
      <c r="R178" s="543">
        <v>212.82</v>
      </c>
      <c r="S178" s="540" t="s">
        <v>2174</v>
      </c>
      <c r="T178" s="543">
        <v>373.1</v>
      </c>
      <c r="U178" s="540" t="s">
        <v>2179</v>
      </c>
      <c r="V178" s="451">
        <v>4459.2548200000001</v>
      </c>
      <c r="W178" s="540" t="s">
        <v>2174</v>
      </c>
      <c r="X178" s="449" t="s">
        <v>1750</v>
      </c>
      <c r="Y178" s="455" t="s">
        <v>43</v>
      </c>
      <c r="Z178" s="455" t="s">
        <v>2203</v>
      </c>
      <c r="AA178" s="455" t="s">
        <v>43</v>
      </c>
      <c r="AB178" s="455">
        <v>2E-3</v>
      </c>
      <c r="AC178" s="455" t="s">
        <v>280</v>
      </c>
      <c r="AD178" s="452" t="s">
        <v>1731</v>
      </c>
      <c r="AE178" s="484" t="s">
        <v>1731</v>
      </c>
      <c r="AF178" s="484" t="s">
        <v>2512</v>
      </c>
      <c r="AG178" s="452" t="s">
        <v>2047</v>
      </c>
      <c r="AH178" s="550"/>
    </row>
    <row r="179" spans="1:34" s="439" customFormat="1" ht="15">
      <c r="A179" s="453" t="s">
        <v>1019</v>
      </c>
      <c r="B179" s="453" t="s">
        <v>1020</v>
      </c>
      <c r="C179" s="448">
        <v>74.123999999999995</v>
      </c>
      <c r="D179" s="448" t="s">
        <v>1801</v>
      </c>
      <c r="E179" s="449">
        <v>10.45</v>
      </c>
      <c r="F179" s="449" t="s">
        <v>1801</v>
      </c>
      <c r="G179" s="450">
        <f t="shared" si="4"/>
        <v>41668233.851185597</v>
      </c>
      <c r="H179" s="450" t="s">
        <v>2207</v>
      </c>
      <c r="I179" s="450">
        <v>85000</v>
      </c>
      <c r="J179" s="448" t="s">
        <v>1801</v>
      </c>
      <c r="K179" s="449">
        <v>9.7799999999999995E-6</v>
      </c>
      <c r="L179" s="449" t="s">
        <v>1801</v>
      </c>
      <c r="M179" s="922">
        <v>3.9980000000000001E-4</v>
      </c>
      <c r="N179" s="450">
        <v>8.9667700000000003E-2</v>
      </c>
      <c r="O179" s="537" t="s">
        <v>2367</v>
      </c>
      <c r="P179" s="450">
        <v>1.0000000000000001E-5</v>
      </c>
      <c r="Q179" s="537" t="s">
        <v>2367</v>
      </c>
      <c r="R179" s="543">
        <v>380.95</v>
      </c>
      <c r="S179" s="540" t="s">
        <v>414</v>
      </c>
      <c r="T179" s="543">
        <v>547.78</v>
      </c>
      <c r="U179" s="540" t="s">
        <v>2179</v>
      </c>
      <c r="V179" s="451">
        <v>103496.65</v>
      </c>
      <c r="W179" s="540" t="s">
        <v>2187</v>
      </c>
      <c r="X179" s="449">
        <v>2.919</v>
      </c>
      <c r="Y179" s="455" t="s">
        <v>414</v>
      </c>
      <c r="Z179" s="455" t="s">
        <v>2203</v>
      </c>
      <c r="AA179" s="455" t="s">
        <v>43</v>
      </c>
      <c r="AB179" s="455" t="s">
        <v>2203</v>
      </c>
      <c r="AC179" s="455" t="s">
        <v>43</v>
      </c>
      <c r="AD179" s="452" t="s">
        <v>1731</v>
      </c>
      <c r="AE179" s="484" t="s">
        <v>1731</v>
      </c>
      <c r="AF179" s="484" t="s">
        <v>2512</v>
      </c>
      <c r="AG179" s="452"/>
      <c r="AH179" s="550"/>
    </row>
    <row r="180" spans="1:34" s="439" customFormat="1" ht="15">
      <c r="A180" s="453" t="s">
        <v>1023</v>
      </c>
      <c r="B180" s="453" t="s">
        <v>1024</v>
      </c>
      <c r="C180" s="448">
        <v>309.37</v>
      </c>
      <c r="D180" s="448" t="s">
        <v>1801</v>
      </c>
      <c r="E180" s="449">
        <v>3.0000000000000001E-5</v>
      </c>
      <c r="F180" s="449" t="s">
        <v>1801</v>
      </c>
      <c r="G180" s="450">
        <f t="shared" si="4"/>
        <v>499.26302879029134</v>
      </c>
      <c r="H180" s="450" t="s">
        <v>2207</v>
      </c>
      <c r="I180" s="450">
        <v>0.11</v>
      </c>
      <c r="J180" s="448" t="s">
        <v>1801</v>
      </c>
      <c r="K180" s="449">
        <v>1.11E-4</v>
      </c>
      <c r="L180" s="449" t="s">
        <v>414</v>
      </c>
      <c r="M180" s="922">
        <v>4.5380000000000004E-3</v>
      </c>
      <c r="N180" s="450">
        <v>2.1278999999999999E-2</v>
      </c>
      <c r="O180" s="537" t="s">
        <v>2367</v>
      </c>
      <c r="P180" s="450">
        <v>5.3086999999999997E-6</v>
      </c>
      <c r="Q180" s="537" t="s">
        <v>2367</v>
      </c>
      <c r="R180" s="543">
        <v>679.56999999999994</v>
      </c>
      <c r="S180" s="540" t="s">
        <v>414</v>
      </c>
      <c r="T180" s="543" t="s">
        <v>2035</v>
      </c>
      <c r="U180" s="540"/>
      <c r="V180" s="451" t="s">
        <v>2024</v>
      </c>
      <c r="W180" s="540"/>
      <c r="X180" s="449">
        <v>11430</v>
      </c>
      <c r="Y180" s="455" t="s">
        <v>414</v>
      </c>
      <c r="Z180" s="455" t="s">
        <v>2203</v>
      </c>
      <c r="AA180" s="455" t="s">
        <v>43</v>
      </c>
      <c r="AB180" s="455" t="s">
        <v>2203</v>
      </c>
      <c r="AC180" s="455" t="s">
        <v>43</v>
      </c>
      <c r="AD180" s="452" t="s">
        <v>1731</v>
      </c>
      <c r="AE180" s="484" t="s">
        <v>1731</v>
      </c>
      <c r="AF180" s="484" t="s">
        <v>2512</v>
      </c>
      <c r="AG180" s="452"/>
      <c r="AH180" s="550"/>
    </row>
    <row r="181" spans="1:34" s="439" customFormat="1" ht="15">
      <c r="A181" s="453" t="s">
        <v>1025</v>
      </c>
      <c r="B181" s="447" t="s">
        <v>1026</v>
      </c>
      <c r="C181" s="448">
        <v>60.097000000000001</v>
      </c>
      <c r="D181" s="448" t="s">
        <v>1801</v>
      </c>
      <c r="E181" s="449">
        <v>45.42</v>
      </c>
      <c r="F181" s="449" t="s">
        <v>1801</v>
      </c>
      <c r="G181" s="450">
        <f t="shared" si="4"/>
        <v>146835098.11937857</v>
      </c>
      <c r="H181" s="450" t="s">
        <v>2207</v>
      </c>
      <c r="I181" s="450">
        <v>1000000</v>
      </c>
      <c r="J181" s="448" t="s">
        <v>1801</v>
      </c>
      <c r="K181" s="449">
        <v>8.1000000000000004E-6</v>
      </c>
      <c r="L181" s="449" t="s">
        <v>1801</v>
      </c>
      <c r="M181" s="922">
        <v>3.3119999999999997E-4</v>
      </c>
      <c r="N181" s="450">
        <v>0.1032261</v>
      </c>
      <c r="O181" s="537" t="s">
        <v>2367</v>
      </c>
      <c r="P181" s="450">
        <v>1.1199999999999999E-5</v>
      </c>
      <c r="Q181" s="537" t="s">
        <v>2367</v>
      </c>
      <c r="R181" s="543">
        <v>355.45</v>
      </c>
      <c r="S181" s="540" t="s">
        <v>414</v>
      </c>
      <c r="T181" s="543">
        <v>508.3</v>
      </c>
      <c r="U181" s="540" t="s">
        <v>2179</v>
      </c>
      <c r="V181" s="451">
        <v>10841.219940000001</v>
      </c>
      <c r="W181" s="540" t="s">
        <v>2174</v>
      </c>
      <c r="X181" s="449">
        <v>1.53</v>
      </c>
      <c r="Y181" s="455" t="s">
        <v>414</v>
      </c>
      <c r="Z181" s="455" t="s">
        <v>2203</v>
      </c>
      <c r="AA181" s="455" t="s">
        <v>43</v>
      </c>
      <c r="AB181" s="455">
        <v>0.2</v>
      </c>
      <c r="AC181" s="455" t="s">
        <v>281</v>
      </c>
      <c r="AD181" s="452" t="s">
        <v>1731</v>
      </c>
      <c r="AE181" s="484" t="s">
        <v>1731</v>
      </c>
      <c r="AF181" s="484" t="s">
        <v>2512</v>
      </c>
      <c r="AG181" s="452"/>
      <c r="AH181" s="550"/>
    </row>
    <row r="182" spans="1:34" s="439" customFormat="1" ht="15">
      <c r="A182" s="453" t="s">
        <v>2194</v>
      </c>
      <c r="B182" s="453" t="s">
        <v>2199</v>
      </c>
      <c r="C182" s="448">
        <v>207.32</v>
      </c>
      <c r="D182" s="448" t="s">
        <v>1801</v>
      </c>
      <c r="E182" s="449">
        <v>0.57999999999999996</v>
      </c>
      <c r="F182" s="449" t="s">
        <v>1801</v>
      </c>
      <c r="G182" s="450">
        <f t="shared" si="4"/>
        <v>6468433.9630761277</v>
      </c>
      <c r="H182" s="450" t="s">
        <v>2207</v>
      </c>
      <c r="I182" s="450">
        <v>500</v>
      </c>
      <c r="J182" s="448" t="s">
        <v>1801</v>
      </c>
      <c r="K182" s="449">
        <v>2.1800000000000001E-4</v>
      </c>
      <c r="L182" s="449" t="s">
        <v>414</v>
      </c>
      <c r="M182" s="922">
        <v>8.9099999999999995E-3</v>
      </c>
      <c r="N182" s="450">
        <v>3.2784099999999997E-2</v>
      </c>
      <c r="O182" s="537" t="s">
        <v>2367</v>
      </c>
      <c r="P182" s="450">
        <v>9.0550000000000005E-6</v>
      </c>
      <c r="Q182" s="537" t="s">
        <v>2367</v>
      </c>
      <c r="R182" s="543">
        <v>463.15</v>
      </c>
      <c r="S182" s="540" t="s">
        <v>1801</v>
      </c>
      <c r="T182" s="543">
        <v>694.72499999999991</v>
      </c>
      <c r="U182" s="540" t="s">
        <v>2182</v>
      </c>
      <c r="V182" s="451" t="s">
        <v>2024</v>
      </c>
      <c r="W182" s="540"/>
      <c r="X182" s="449">
        <v>110.6</v>
      </c>
      <c r="Y182" s="455" t="s">
        <v>414</v>
      </c>
      <c r="Z182" s="455" t="s">
        <v>2203</v>
      </c>
      <c r="AA182" s="455" t="s">
        <v>43</v>
      </c>
      <c r="AB182" s="455" t="s">
        <v>2203</v>
      </c>
      <c r="AC182" s="455" t="s">
        <v>43</v>
      </c>
      <c r="AD182" s="452" t="s">
        <v>1731</v>
      </c>
      <c r="AE182" s="484" t="s">
        <v>1731</v>
      </c>
      <c r="AF182" s="484" t="s">
        <v>2512</v>
      </c>
      <c r="AG182" s="452"/>
      <c r="AH182" s="550"/>
    </row>
    <row r="183" spans="1:34" s="439" customFormat="1" ht="15">
      <c r="A183" s="453" t="s">
        <v>113</v>
      </c>
      <c r="B183" s="447" t="s">
        <v>1077</v>
      </c>
      <c r="C183" s="448">
        <v>200.59</v>
      </c>
      <c r="D183" s="448" t="s">
        <v>1801</v>
      </c>
      <c r="E183" s="449">
        <v>1.9580000000000001E-3</v>
      </c>
      <c r="F183" s="449" t="s">
        <v>1801</v>
      </c>
      <c r="G183" s="450">
        <f t="shared" si="4"/>
        <v>21127.685372466323</v>
      </c>
      <c r="H183" s="450" t="s">
        <v>2207</v>
      </c>
      <c r="I183" s="450">
        <v>0.06</v>
      </c>
      <c r="J183" s="448" t="s">
        <v>1801</v>
      </c>
      <c r="K183" s="449">
        <v>8.6219999999999995E-3</v>
      </c>
      <c r="L183" s="449" t="s">
        <v>2369</v>
      </c>
      <c r="M183" s="922">
        <v>0.35199999999999998</v>
      </c>
      <c r="N183" s="450">
        <v>3.0700000000000002E-2</v>
      </c>
      <c r="O183" s="537" t="s">
        <v>2367</v>
      </c>
      <c r="P183" s="450">
        <v>6.2999999999999998E-6</v>
      </c>
      <c r="Q183" s="537" t="s">
        <v>2367</v>
      </c>
      <c r="R183" s="543">
        <v>356.6</v>
      </c>
      <c r="S183" s="540" t="s">
        <v>2177</v>
      </c>
      <c r="T183" s="543">
        <v>1750</v>
      </c>
      <c r="U183" s="540" t="s">
        <v>2180</v>
      </c>
      <c r="V183" s="451">
        <v>14127</v>
      </c>
      <c r="W183" s="540" t="s">
        <v>2180</v>
      </c>
      <c r="X183" s="449" t="s">
        <v>1750</v>
      </c>
      <c r="Y183" s="455" t="s">
        <v>43</v>
      </c>
      <c r="Z183" s="455" t="s">
        <v>2203</v>
      </c>
      <c r="AA183" s="455" t="s">
        <v>43</v>
      </c>
      <c r="AB183" s="455">
        <v>2.9999999999999997E-4</v>
      </c>
      <c r="AC183" s="455" t="s">
        <v>280</v>
      </c>
      <c r="AD183" s="452" t="s">
        <v>1731</v>
      </c>
      <c r="AE183" s="484" t="s">
        <v>1731</v>
      </c>
      <c r="AF183" s="484" t="s">
        <v>2512</v>
      </c>
      <c r="AG183" s="452"/>
      <c r="AH183" s="550"/>
    </row>
    <row r="184" spans="1:34" s="439" customFormat="1" ht="15">
      <c r="A184" s="453" t="s">
        <v>1083</v>
      </c>
      <c r="B184" s="453" t="s">
        <v>1084</v>
      </c>
      <c r="C184" s="448">
        <v>298.51</v>
      </c>
      <c r="D184" s="448" t="s">
        <v>1801</v>
      </c>
      <c r="E184" s="449">
        <v>2.0000000000000002E-5</v>
      </c>
      <c r="F184" s="449" t="s">
        <v>1801</v>
      </c>
      <c r="G184" s="450">
        <f t="shared" si="4"/>
        <v>321.15806687610279</v>
      </c>
      <c r="H184" s="450" t="s">
        <v>2207</v>
      </c>
      <c r="I184" s="450">
        <v>3.5000000000000001E-3</v>
      </c>
      <c r="J184" s="448" t="s">
        <v>1801</v>
      </c>
      <c r="K184" s="449">
        <v>2.27E-5</v>
      </c>
      <c r="L184" s="449" t="s">
        <v>1801</v>
      </c>
      <c r="M184" s="922">
        <v>9.2800000000000001E-4</v>
      </c>
      <c r="N184" s="450">
        <v>2.0400000000000001E-2</v>
      </c>
      <c r="O184" s="537" t="s">
        <v>2367</v>
      </c>
      <c r="P184" s="450">
        <v>5.0286999999999998E-6</v>
      </c>
      <c r="Q184" s="537" t="s">
        <v>2367</v>
      </c>
      <c r="R184" s="543">
        <v>424.15</v>
      </c>
      <c r="S184" s="540" t="s">
        <v>414</v>
      </c>
      <c r="T184" s="543" t="s">
        <v>2035</v>
      </c>
      <c r="U184" s="540"/>
      <c r="V184" s="451" t="s">
        <v>2024</v>
      </c>
      <c r="W184" s="540"/>
      <c r="X184" s="449">
        <v>48970</v>
      </c>
      <c r="Y184" s="455" t="s">
        <v>414</v>
      </c>
      <c r="Z184" s="455" t="s">
        <v>2203</v>
      </c>
      <c r="AA184" s="455" t="s">
        <v>43</v>
      </c>
      <c r="AB184" s="455" t="s">
        <v>2203</v>
      </c>
      <c r="AC184" s="455" t="s">
        <v>43</v>
      </c>
      <c r="AD184" s="452" t="s">
        <v>1731</v>
      </c>
      <c r="AE184" s="484" t="s">
        <v>1731</v>
      </c>
      <c r="AF184" s="484" t="s">
        <v>2512</v>
      </c>
      <c r="AG184" s="452"/>
      <c r="AH184" s="550"/>
    </row>
    <row r="185" spans="1:34" s="439" customFormat="1" ht="15">
      <c r="A185" s="453" t="s">
        <v>104</v>
      </c>
      <c r="B185" s="447" t="s">
        <v>1089</v>
      </c>
      <c r="C185" s="448">
        <v>67.090999999999994</v>
      </c>
      <c r="D185" s="448" t="s">
        <v>1801</v>
      </c>
      <c r="E185" s="449">
        <v>71.2</v>
      </c>
      <c r="F185" s="449" t="s">
        <v>1801</v>
      </c>
      <c r="G185" s="450">
        <f t="shared" si="4"/>
        <v>256965141.79971594</v>
      </c>
      <c r="H185" s="450" t="s">
        <v>2207</v>
      </c>
      <c r="I185" s="450">
        <v>25400</v>
      </c>
      <c r="J185" s="448" t="s">
        <v>1801</v>
      </c>
      <c r="K185" s="449">
        <v>2.4699999999999999E-4</v>
      </c>
      <c r="L185" s="449" t="s">
        <v>414</v>
      </c>
      <c r="M185" s="922">
        <v>1.00981E-2</v>
      </c>
      <c r="N185" s="450">
        <v>9.6429899999999999E-2</v>
      </c>
      <c r="O185" s="537" t="s">
        <v>2367</v>
      </c>
      <c r="P185" s="450">
        <v>1.06E-5</v>
      </c>
      <c r="Q185" s="537" t="s">
        <v>2367</v>
      </c>
      <c r="R185" s="543">
        <v>363.3</v>
      </c>
      <c r="S185" s="540" t="s">
        <v>414</v>
      </c>
      <c r="T185" s="543">
        <v>554</v>
      </c>
      <c r="U185" s="540" t="s">
        <v>2183</v>
      </c>
      <c r="V185" s="451">
        <v>7600.2</v>
      </c>
      <c r="W185" s="540" t="s">
        <v>2179</v>
      </c>
      <c r="X185" s="449">
        <v>13.05</v>
      </c>
      <c r="Y185" s="455" t="s">
        <v>414</v>
      </c>
      <c r="Z185" s="455" t="s">
        <v>2203</v>
      </c>
      <c r="AA185" s="455" t="s">
        <v>43</v>
      </c>
      <c r="AB185" s="455">
        <v>0.03</v>
      </c>
      <c r="AC185" s="455" t="s">
        <v>281</v>
      </c>
      <c r="AD185" s="452" t="s">
        <v>1731</v>
      </c>
      <c r="AE185" s="484" t="s">
        <v>1731</v>
      </c>
      <c r="AF185" s="484" t="s">
        <v>2512</v>
      </c>
      <c r="AG185" s="452"/>
      <c r="AH185" s="550"/>
    </row>
    <row r="186" spans="1:34" s="439" customFormat="1" ht="15">
      <c r="A186" s="453" t="s">
        <v>1092</v>
      </c>
      <c r="B186" s="447" t="s">
        <v>1093</v>
      </c>
      <c r="C186" s="448">
        <v>32.042000000000002</v>
      </c>
      <c r="D186" s="448" t="s">
        <v>1801</v>
      </c>
      <c r="E186" s="449">
        <v>127</v>
      </c>
      <c r="F186" s="449" t="s">
        <v>1801</v>
      </c>
      <c r="G186" s="450">
        <f t="shared" si="4"/>
        <v>218903795.67069757</v>
      </c>
      <c r="H186" s="450" t="s">
        <v>2207</v>
      </c>
      <c r="I186" s="450">
        <v>1000000</v>
      </c>
      <c r="J186" s="448" t="s">
        <v>1801</v>
      </c>
      <c r="K186" s="449">
        <v>4.5499999999999996E-6</v>
      </c>
      <c r="L186" s="449" t="s">
        <v>1801</v>
      </c>
      <c r="M186" s="922">
        <v>1.8599999999999999E-4</v>
      </c>
      <c r="N186" s="450">
        <v>0.1582741</v>
      </c>
      <c r="O186" s="537" t="s">
        <v>2367</v>
      </c>
      <c r="P186" s="450">
        <v>1.6500000000000001E-5</v>
      </c>
      <c r="Q186" s="537" t="s">
        <v>2367</v>
      </c>
      <c r="R186" s="543">
        <v>337.84999999999997</v>
      </c>
      <c r="S186" s="540" t="s">
        <v>414</v>
      </c>
      <c r="T186" s="543">
        <v>513.15</v>
      </c>
      <c r="U186" s="540" t="s">
        <v>2174</v>
      </c>
      <c r="V186" s="451">
        <v>8918.5096400000002</v>
      </c>
      <c r="W186" s="540" t="s">
        <v>2174</v>
      </c>
      <c r="X186" s="449">
        <v>1</v>
      </c>
      <c r="Y186" s="455" t="s">
        <v>414</v>
      </c>
      <c r="Z186" s="455" t="s">
        <v>2203</v>
      </c>
      <c r="AA186" s="455" t="s">
        <v>43</v>
      </c>
      <c r="AB186" s="455">
        <v>20</v>
      </c>
      <c r="AC186" s="455" t="s">
        <v>280</v>
      </c>
      <c r="AD186" s="452" t="s">
        <v>1731</v>
      </c>
      <c r="AE186" s="484" t="s">
        <v>1731</v>
      </c>
      <c r="AF186" s="484" t="s">
        <v>2512</v>
      </c>
      <c r="AG186" s="452"/>
      <c r="AH186" s="550"/>
    </row>
    <row r="187" spans="1:34" s="439" customFormat="1" ht="15">
      <c r="A187" s="453" t="s">
        <v>1101</v>
      </c>
      <c r="B187" s="447" t="s">
        <v>1102</v>
      </c>
      <c r="C187" s="448">
        <v>118.13</v>
      </c>
      <c r="D187" s="448" t="s">
        <v>1801</v>
      </c>
      <c r="E187" s="449">
        <v>7</v>
      </c>
      <c r="F187" s="449" t="s">
        <v>1801</v>
      </c>
      <c r="G187" s="450">
        <f t="shared" si="4"/>
        <v>44482398.760597311</v>
      </c>
      <c r="H187" s="450" t="s">
        <v>2207</v>
      </c>
      <c r="I187" s="450">
        <v>1000000</v>
      </c>
      <c r="J187" s="448" t="s">
        <v>1801</v>
      </c>
      <c r="K187" s="449">
        <v>3.1100000000000002E-7</v>
      </c>
      <c r="L187" s="449" t="s">
        <v>414</v>
      </c>
      <c r="M187" s="922">
        <v>1.27E-5</v>
      </c>
      <c r="N187" s="450">
        <v>6.5834699999999996E-2</v>
      </c>
      <c r="O187" s="537" t="s">
        <v>2367</v>
      </c>
      <c r="P187" s="450">
        <v>8.7051999999999993E-6</v>
      </c>
      <c r="Q187" s="537" t="s">
        <v>2367</v>
      </c>
      <c r="R187" s="543">
        <v>416.15</v>
      </c>
      <c r="S187" s="540" t="s">
        <v>414</v>
      </c>
      <c r="T187" s="543">
        <v>624.22499999999991</v>
      </c>
      <c r="U187" s="540" t="s">
        <v>2182</v>
      </c>
      <c r="V187" s="451">
        <v>10485.339399999999</v>
      </c>
      <c r="W187" s="540" t="s">
        <v>2174</v>
      </c>
      <c r="X187" s="449">
        <v>2.492</v>
      </c>
      <c r="Y187" s="455" t="s">
        <v>414</v>
      </c>
      <c r="Z187" s="455" t="s">
        <v>2203</v>
      </c>
      <c r="AA187" s="455" t="s">
        <v>43</v>
      </c>
      <c r="AB187" s="455">
        <v>1E-3</v>
      </c>
      <c r="AC187" s="455" t="s">
        <v>281</v>
      </c>
      <c r="AD187" s="452" t="s">
        <v>1731</v>
      </c>
      <c r="AE187" s="484" t="s">
        <v>1731</v>
      </c>
      <c r="AF187" s="484" t="s">
        <v>2512</v>
      </c>
      <c r="AG187" s="452"/>
      <c r="AH187" s="550"/>
    </row>
    <row r="188" spans="1:34" s="439" customFormat="1" ht="15">
      <c r="A188" s="453" t="s">
        <v>1103</v>
      </c>
      <c r="B188" s="447" t="s">
        <v>1104</v>
      </c>
      <c r="C188" s="448">
        <v>76.096000000000004</v>
      </c>
      <c r="D188" s="448" t="s">
        <v>1801</v>
      </c>
      <c r="E188" s="449">
        <v>9.5</v>
      </c>
      <c r="F188" s="449" t="s">
        <v>1801</v>
      </c>
      <c r="G188" s="450">
        <f t="shared" si="4"/>
        <v>38887980.376124285</v>
      </c>
      <c r="H188" s="450" t="s">
        <v>2207</v>
      </c>
      <c r="I188" s="450">
        <v>1000000</v>
      </c>
      <c r="J188" s="448" t="s">
        <v>1801</v>
      </c>
      <c r="K188" s="449">
        <v>3.3000000000000002E-7</v>
      </c>
      <c r="L188" s="449" t="s">
        <v>1801</v>
      </c>
      <c r="M188" s="922">
        <v>1.3499999999999999E-5</v>
      </c>
      <c r="N188" s="450">
        <v>9.5155699999999996E-2</v>
      </c>
      <c r="O188" s="537" t="s">
        <v>2367</v>
      </c>
      <c r="P188" s="450">
        <v>1.1E-5</v>
      </c>
      <c r="Q188" s="537" t="s">
        <v>2367</v>
      </c>
      <c r="R188" s="543">
        <v>397.25</v>
      </c>
      <c r="S188" s="540" t="s">
        <v>414</v>
      </c>
      <c r="T188" s="543">
        <v>597.6</v>
      </c>
      <c r="U188" s="540" t="s">
        <v>2179</v>
      </c>
      <c r="V188" s="451">
        <v>8966.278839999999</v>
      </c>
      <c r="W188" s="540" t="s">
        <v>2174</v>
      </c>
      <c r="X188" s="449">
        <v>1</v>
      </c>
      <c r="Y188" s="455" t="s">
        <v>414</v>
      </c>
      <c r="Z188" s="455" t="s">
        <v>2203</v>
      </c>
      <c r="AA188" s="455" t="s">
        <v>43</v>
      </c>
      <c r="AB188" s="455">
        <v>0.02</v>
      </c>
      <c r="AC188" s="455" t="s">
        <v>280</v>
      </c>
      <c r="AD188" s="452" t="s">
        <v>1731</v>
      </c>
      <c r="AE188" s="484" t="s">
        <v>1731</v>
      </c>
      <c r="AF188" s="484" t="s">
        <v>2512</v>
      </c>
      <c r="AG188" s="452"/>
      <c r="AH188" s="550"/>
    </row>
    <row r="189" spans="1:34" s="439" customFormat="1" ht="15">
      <c r="A189" s="453" t="s">
        <v>1105</v>
      </c>
      <c r="B189" s="447" t="s">
        <v>1106</v>
      </c>
      <c r="C189" s="448">
        <v>74.08</v>
      </c>
      <c r="D189" s="448" t="s">
        <v>1801</v>
      </c>
      <c r="E189" s="449">
        <v>216.2</v>
      </c>
      <c r="F189" s="449" t="s">
        <v>1801</v>
      </c>
      <c r="G189" s="450">
        <f t="shared" si="4"/>
        <v>861562163.7905066</v>
      </c>
      <c r="H189" s="450" t="s">
        <v>2207</v>
      </c>
      <c r="I189" s="450">
        <v>243000</v>
      </c>
      <c r="J189" s="448" t="s">
        <v>1801</v>
      </c>
      <c r="K189" s="449">
        <v>1.15E-4</v>
      </c>
      <c r="L189" s="449" t="s">
        <v>1801</v>
      </c>
      <c r="M189" s="922">
        <v>4.7016000000000002E-3</v>
      </c>
      <c r="N189" s="450">
        <v>9.5776299999999995E-2</v>
      </c>
      <c r="O189" s="537" t="s">
        <v>2367</v>
      </c>
      <c r="P189" s="450">
        <v>1.1E-5</v>
      </c>
      <c r="Q189" s="537" t="s">
        <v>2367</v>
      </c>
      <c r="R189" s="543">
        <v>365</v>
      </c>
      <c r="S189" s="540" t="s">
        <v>414</v>
      </c>
      <c r="T189" s="543">
        <v>506.7</v>
      </c>
      <c r="U189" s="540" t="s">
        <v>2179</v>
      </c>
      <c r="V189" s="451">
        <v>7260.0790999999999</v>
      </c>
      <c r="W189" s="540" t="s">
        <v>2179</v>
      </c>
      <c r="X189" s="449">
        <v>3.0640000000000001</v>
      </c>
      <c r="Y189" s="455" t="s">
        <v>414</v>
      </c>
      <c r="Z189" s="455" t="s">
        <v>2203</v>
      </c>
      <c r="AA189" s="455" t="s">
        <v>43</v>
      </c>
      <c r="AB189" s="455" t="s">
        <v>2203</v>
      </c>
      <c r="AC189" s="455" t="s">
        <v>43</v>
      </c>
      <c r="AD189" s="452" t="s">
        <v>1731</v>
      </c>
      <c r="AE189" s="484" t="s">
        <v>1731</v>
      </c>
      <c r="AF189" s="484" t="s">
        <v>2512</v>
      </c>
      <c r="AG189" s="452"/>
      <c r="AH189" s="550"/>
    </row>
    <row r="190" spans="1:34" s="439" customFormat="1" ht="15">
      <c r="A190" s="453" t="s">
        <v>1107</v>
      </c>
      <c r="B190" s="447" t="s">
        <v>1108</v>
      </c>
      <c r="C190" s="448">
        <v>86.090999999999994</v>
      </c>
      <c r="D190" s="448" t="s">
        <v>1801</v>
      </c>
      <c r="E190" s="449">
        <v>86.56</v>
      </c>
      <c r="F190" s="449" t="s">
        <v>1801</v>
      </c>
      <c r="G190" s="450">
        <f t="shared" si="4"/>
        <v>400871291.47480309</v>
      </c>
      <c r="H190" s="450" t="s">
        <v>2207</v>
      </c>
      <c r="I190" s="450">
        <v>49400</v>
      </c>
      <c r="J190" s="448" t="s">
        <v>1801</v>
      </c>
      <c r="K190" s="449">
        <v>1.9900000000000001E-4</v>
      </c>
      <c r="L190" s="449" t="s">
        <v>414</v>
      </c>
      <c r="M190" s="922">
        <v>8.1356999999999992E-3</v>
      </c>
      <c r="N190" s="450">
        <v>8.5997199999999996E-2</v>
      </c>
      <c r="O190" s="537" t="s">
        <v>2367</v>
      </c>
      <c r="P190" s="450">
        <v>1.0200000000000001E-5</v>
      </c>
      <c r="Q190" s="537" t="s">
        <v>2367</v>
      </c>
      <c r="R190" s="543">
        <v>353.2</v>
      </c>
      <c r="S190" s="540" t="s">
        <v>414</v>
      </c>
      <c r="T190" s="543">
        <v>536</v>
      </c>
      <c r="U190" s="540" t="s">
        <v>2185</v>
      </c>
      <c r="V190" s="451">
        <v>7749</v>
      </c>
      <c r="W190" s="540" t="s">
        <v>2185</v>
      </c>
      <c r="X190" s="449">
        <v>5.8440000000000003</v>
      </c>
      <c r="Y190" s="455" t="s">
        <v>414</v>
      </c>
      <c r="Z190" s="455" t="s">
        <v>2203</v>
      </c>
      <c r="AA190" s="455" t="s">
        <v>43</v>
      </c>
      <c r="AB190" s="455">
        <v>0.02</v>
      </c>
      <c r="AC190" s="455" t="s">
        <v>281</v>
      </c>
      <c r="AD190" s="452" t="s">
        <v>1731</v>
      </c>
      <c r="AE190" s="484" t="s">
        <v>1731</v>
      </c>
      <c r="AF190" s="484" t="s">
        <v>2512</v>
      </c>
      <c r="AG190" s="452"/>
      <c r="AH190" s="550"/>
    </row>
    <row r="191" spans="1:34" s="439" customFormat="1" ht="15">
      <c r="A191" s="453" t="s">
        <v>1109</v>
      </c>
      <c r="B191" s="447" t="s">
        <v>1110</v>
      </c>
      <c r="C191" s="448">
        <v>72.108000000000004</v>
      </c>
      <c r="D191" s="448" t="s">
        <v>1801</v>
      </c>
      <c r="E191" s="449">
        <v>90.6</v>
      </c>
      <c r="F191" s="449" t="s">
        <v>1801</v>
      </c>
      <c r="G191" s="450">
        <f t="shared" si="4"/>
        <v>351432241.68352193</v>
      </c>
      <c r="H191" s="450" t="s">
        <v>2207</v>
      </c>
      <c r="I191" s="450">
        <v>223000</v>
      </c>
      <c r="J191" s="448" t="s">
        <v>1801</v>
      </c>
      <c r="K191" s="449">
        <v>5.6900000000000001E-5</v>
      </c>
      <c r="L191" s="449" t="s">
        <v>1801</v>
      </c>
      <c r="M191" s="922">
        <v>2.3262000000000001E-3</v>
      </c>
      <c r="N191" s="450">
        <v>9.1446200000000005E-2</v>
      </c>
      <c r="O191" s="537" t="s">
        <v>2367</v>
      </c>
      <c r="P191" s="450">
        <v>1.0200000000000001E-5</v>
      </c>
      <c r="Q191" s="537" t="s">
        <v>2367</v>
      </c>
      <c r="R191" s="543">
        <v>352.5</v>
      </c>
      <c r="S191" s="540" t="s">
        <v>414</v>
      </c>
      <c r="T191" s="543">
        <v>536.78</v>
      </c>
      <c r="U191" s="540" t="s">
        <v>2181</v>
      </c>
      <c r="V191" s="451">
        <v>7480.7</v>
      </c>
      <c r="W191" s="540" t="s">
        <v>2181</v>
      </c>
      <c r="X191" s="449">
        <v>4.51</v>
      </c>
      <c r="Y191" s="455" t="s">
        <v>414</v>
      </c>
      <c r="Z191" s="455" t="s">
        <v>2203</v>
      </c>
      <c r="AA191" s="455" t="s">
        <v>43</v>
      </c>
      <c r="AB191" s="455">
        <v>5</v>
      </c>
      <c r="AC191" s="455" t="s">
        <v>280</v>
      </c>
      <c r="AD191" s="452" t="s">
        <v>1731</v>
      </c>
      <c r="AE191" s="484" t="s">
        <v>1731</v>
      </c>
      <c r="AF191" s="484" t="s">
        <v>2512</v>
      </c>
      <c r="AG191" s="452"/>
      <c r="AH191" s="550"/>
    </row>
    <row r="192" spans="1:34" s="439" customFormat="1" ht="15">
      <c r="A192" s="453" t="s">
        <v>1825</v>
      </c>
      <c r="B192" s="447" t="s">
        <v>1826</v>
      </c>
      <c r="C192" s="448">
        <v>46.072000000000003</v>
      </c>
      <c r="D192" s="448" t="s">
        <v>1801</v>
      </c>
      <c r="E192" s="449">
        <v>50</v>
      </c>
      <c r="F192" s="449" t="s">
        <v>1801</v>
      </c>
      <c r="G192" s="450">
        <f t="shared" si="4"/>
        <v>123918750.2689676</v>
      </c>
      <c r="H192" s="450" t="s">
        <v>2207</v>
      </c>
      <c r="I192" s="450">
        <v>1000000</v>
      </c>
      <c r="J192" s="448" t="s">
        <v>1801</v>
      </c>
      <c r="K192" s="449">
        <v>3.0309999999999999E-6</v>
      </c>
      <c r="L192" s="449" t="s">
        <v>1801</v>
      </c>
      <c r="M192" s="922">
        <v>1.239E-4</v>
      </c>
      <c r="N192" s="450">
        <v>0.12908939999999999</v>
      </c>
      <c r="O192" s="537" t="s">
        <v>2367</v>
      </c>
      <c r="P192" s="450">
        <v>1.4E-5</v>
      </c>
      <c r="Q192" s="537" t="s">
        <v>2367</v>
      </c>
      <c r="R192" s="543">
        <v>360.65</v>
      </c>
      <c r="S192" s="540" t="s">
        <v>414</v>
      </c>
      <c r="T192" s="543">
        <v>585.15</v>
      </c>
      <c r="U192" s="540" t="s">
        <v>2174</v>
      </c>
      <c r="V192" s="451">
        <v>8887.9373520000008</v>
      </c>
      <c r="W192" s="540" t="s">
        <v>2174</v>
      </c>
      <c r="X192" s="449">
        <v>13.31</v>
      </c>
      <c r="Y192" s="455" t="s">
        <v>414</v>
      </c>
      <c r="Z192" s="455">
        <v>1E-3</v>
      </c>
      <c r="AA192" s="455" t="s">
        <v>0</v>
      </c>
      <c r="AB192" s="455">
        <v>2.0000000000000002E-5</v>
      </c>
      <c r="AC192" s="455" t="s">
        <v>0</v>
      </c>
      <c r="AD192" s="452" t="s">
        <v>1731</v>
      </c>
      <c r="AE192" s="484" t="s">
        <v>1731</v>
      </c>
      <c r="AF192" s="484" t="s">
        <v>2512</v>
      </c>
      <c r="AG192" s="452"/>
      <c r="AH192" s="550"/>
    </row>
    <row r="193" spans="1:34" s="439" customFormat="1" ht="15">
      <c r="A193" s="453" t="s">
        <v>1111</v>
      </c>
      <c r="B193" s="447" t="s">
        <v>1112</v>
      </c>
      <c r="C193" s="448">
        <v>100.16</v>
      </c>
      <c r="D193" s="448" t="s">
        <v>1801</v>
      </c>
      <c r="E193" s="449">
        <v>19.86</v>
      </c>
      <c r="F193" s="449" t="s">
        <v>1801</v>
      </c>
      <c r="G193" s="450">
        <f t="shared" si="4"/>
        <v>107004862.9341137</v>
      </c>
      <c r="H193" s="450" t="s">
        <v>2207</v>
      </c>
      <c r="I193" s="450">
        <v>19000</v>
      </c>
      <c r="J193" s="448" t="s">
        <v>1801</v>
      </c>
      <c r="K193" s="449">
        <v>1.3799999999999999E-4</v>
      </c>
      <c r="L193" s="449" t="s">
        <v>414</v>
      </c>
      <c r="M193" s="922">
        <v>5.6419E-3</v>
      </c>
      <c r="N193" s="450">
        <v>6.97797E-2</v>
      </c>
      <c r="O193" s="537" t="s">
        <v>2367</v>
      </c>
      <c r="P193" s="450">
        <v>8.3476999999999997E-6</v>
      </c>
      <c r="Q193" s="537" t="s">
        <v>2367</v>
      </c>
      <c r="R193" s="543">
        <v>389.5</v>
      </c>
      <c r="S193" s="540" t="s">
        <v>414</v>
      </c>
      <c r="T193" s="543">
        <v>571</v>
      </c>
      <c r="U193" s="540" t="s">
        <v>2181</v>
      </c>
      <c r="V193" s="451">
        <v>8243.11</v>
      </c>
      <c r="W193" s="540" t="s">
        <v>2181</v>
      </c>
      <c r="X193" s="449">
        <v>12.6</v>
      </c>
      <c r="Y193" s="455" t="s">
        <v>414</v>
      </c>
      <c r="Z193" s="455" t="s">
        <v>2203</v>
      </c>
      <c r="AA193" s="455" t="s">
        <v>43</v>
      </c>
      <c r="AB193" s="455">
        <v>3</v>
      </c>
      <c r="AC193" s="455" t="s">
        <v>280</v>
      </c>
      <c r="AD193" s="452" t="s">
        <v>1731</v>
      </c>
      <c r="AE193" s="484" t="s">
        <v>1731</v>
      </c>
      <c r="AF193" s="484" t="s">
        <v>2512</v>
      </c>
      <c r="AG193" s="452"/>
      <c r="AH193" s="550"/>
    </row>
    <row r="194" spans="1:34" s="439" customFormat="1" ht="15">
      <c r="A194" s="453" t="s">
        <v>1113</v>
      </c>
      <c r="B194" s="447" t="s">
        <v>1114</v>
      </c>
      <c r="C194" s="448">
        <v>57.052</v>
      </c>
      <c r="D194" s="448" t="s">
        <v>1801</v>
      </c>
      <c r="E194" s="449">
        <v>348</v>
      </c>
      <c r="F194" s="449" t="s">
        <v>1801</v>
      </c>
      <c r="G194" s="450">
        <f t="shared" si="4"/>
        <v>1068021689.5468433</v>
      </c>
      <c r="H194" s="450" t="s">
        <v>2207</v>
      </c>
      <c r="I194" s="450">
        <v>29200</v>
      </c>
      <c r="J194" s="448" t="s">
        <v>1801</v>
      </c>
      <c r="K194" s="449">
        <v>9.2599999999999996E-4</v>
      </c>
      <c r="L194" s="449" t="s">
        <v>1801</v>
      </c>
      <c r="M194" s="922">
        <v>3.7857700000000001E-2</v>
      </c>
      <c r="N194" s="450">
        <v>0.1165494</v>
      </c>
      <c r="O194" s="537" t="s">
        <v>2367</v>
      </c>
      <c r="P194" s="450">
        <v>1.31E-5</v>
      </c>
      <c r="Q194" s="537" t="s">
        <v>2367</v>
      </c>
      <c r="R194" s="543">
        <v>312.25</v>
      </c>
      <c r="S194" s="540" t="s">
        <v>2178</v>
      </c>
      <c r="T194" s="543">
        <v>491</v>
      </c>
      <c r="U194" s="540" t="s">
        <v>2172</v>
      </c>
      <c r="V194" s="451" t="s">
        <v>2024</v>
      </c>
      <c r="W194" s="540"/>
      <c r="X194" s="449">
        <v>39.6</v>
      </c>
      <c r="Y194" s="455" t="s">
        <v>414</v>
      </c>
      <c r="Z194" s="455" t="s">
        <v>2203</v>
      </c>
      <c r="AA194" s="455" t="s">
        <v>43</v>
      </c>
      <c r="AB194" s="455">
        <v>1E-3</v>
      </c>
      <c r="AC194" s="455" t="s">
        <v>2507</v>
      </c>
      <c r="AD194" s="452" t="s">
        <v>1731</v>
      </c>
      <c r="AE194" s="484" t="s">
        <v>1731</v>
      </c>
      <c r="AF194" s="484" t="s">
        <v>2512</v>
      </c>
      <c r="AG194" s="452"/>
      <c r="AH194" s="550"/>
    </row>
    <row r="195" spans="1:34" s="439" customFormat="1" ht="15">
      <c r="A195" s="453" t="s">
        <v>1115</v>
      </c>
      <c r="B195" s="447" t="s">
        <v>1116</v>
      </c>
      <c r="C195" s="448">
        <v>100.12</v>
      </c>
      <c r="D195" s="448" t="s">
        <v>1801</v>
      </c>
      <c r="E195" s="449">
        <v>38.5</v>
      </c>
      <c r="F195" s="449" t="s">
        <v>1801</v>
      </c>
      <c r="G195" s="450">
        <f t="shared" si="4"/>
        <v>207353574.04139948</v>
      </c>
      <c r="H195" s="450" t="s">
        <v>2207</v>
      </c>
      <c r="I195" s="450">
        <v>15000</v>
      </c>
      <c r="J195" s="448" t="s">
        <v>1801</v>
      </c>
      <c r="K195" s="449">
        <v>3.19E-4</v>
      </c>
      <c r="L195" s="449" t="s">
        <v>414</v>
      </c>
      <c r="M195" s="922">
        <v>1.30417E-2</v>
      </c>
      <c r="N195" s="450">
        <v>7.5044700000000006E-2</v>
      </c>
      <c r="O195" s="537" t="s">
        <v>2367</v>
      </c>
      <c r="P195" s="450">
        <v>9.2087000000000004E-6</v>
      </c>
      <c r="Q195" s="537" t="s">
        <v>2367</v>
      </c>
      <c r="R195" s="543">
        <v>373.5</v>
      </c>
      <c r="S195" s="540" t="s">
        <v>414</v>
      </c>
      <c r="T195" s="543">
        <v>567</v>
      </c>
      <c r="U195" s="540" t="s">
        <v>2179</v>
      </c>
      <c r="V195" s="451">
        <v>8974.9</v>
      </c>
      <c r="W195" s="540" t="s">
        <v>2179</v>
      </c>
      <c r="X195" s="449">
        <v>9.14</v>
      </c>
      <c r="Y195" s="455" t="s">
        <v>414</v>
      </c>
      <c r="Z195" s="455" t="s">
        <v>2203</v>
      </c>
      <c r="AA195" s="455" t="s">
        <v>43</v>
      </c>
      <c r="AB195" s="455">
        <v>0.7</v>
      </c>
      <c r="AC195" s="455" t="s">
        <v>280</v>
      </c>
      <c r="AD195" s="452" t="s">
        <v>1731</v>
      </c>
      <c r="AE195" s="484" t="s">
        <v>1731</v>
      </c>
      <c r="AF195" s="484" t="s">
        <v>2512</v>
      </c>
      <c r="AG195" s="452"/>
      <c r="AH195" s="550"/>
    </row>
    <row r="196" spans="1:34" s="439" customFormat="1" ht="15">
      <c r="A196" s="453" t="s">
        <v>1121</v>
      </c>
      <c r="B196" s="447" t="s">
        <v>1122</v>
      </c>
      <c r="C196" s="448">
        <v>354.54</v>
      </c>
      <c r="D196" s="448" t="s">
        <v>1801</v>
      </c>
      <c r="E196" s="449">
        <v>1.5</v>
      </c>
      <c r="F196" s="449" t="s">
        <v>1801</v>
      </c>
      <c r="G196" s="450">
        <f t="shared" si="4"/>
        <v>28607931.316434998</v>
      </c>
      <c r="H196" s="450" t="s">
        <v>2207</v>
      </c>
      <c r="I196" s="450">
        <v>89</v>
      </c>
      <c r="J196" s="448" t="s">
        <v>1801</v>
      </c>
      <c r="K196" s="449">
        <v>2.6199999999999999E-3</v>
      </c>
      <c r="L196" s="449" t="s">
        <v>1801</v>
      </c>
      <c r="M196" s="922">
        <v>0.10711370000000001</v>
      </c>
      <c r="N196" s="450">
        <v>1.7396999999999999E-2</v>
      </c>
      <c r="O196" s="537" t="s">
        <v>2367</v>
      </c>
      <c r="P196" s="450">
        <v>4.1792999999999999E-6</v>
      </c>
      <c r="Q196" s="537" t="s">
        <v>2367</v>
      </c>
      <c r="R196" s="543">
        <v>437.65</v>
      </c>
      <c r="S196" s="540" t="s">
        <v>2179</v>
      </c>
      <c r="T196" s="543">
        <v>655</v>
      </c>
      <c r="U196" s="540" t="s">
        <v>2174</v>
      </c>
      <c r="V196" s="451">
        <v>12027.44</v>
      </c>
      <c r="W196" s="540" t="s">
        <v>2174</v>
      </c>
      <c r="X196" s="449">
        <v>715.8</v>
      </c>
      <c r="Y196" s="455" t="s">
        <v>414</v>
      </c>
      <c r="Z196" s="455" t="s">
        <v>2203</v>
      </c>
      <c r="AA196" s="455" t="s">
        <v>43</v>
      </c>
      <c r="AB196" s="455">
        <v>0.04</v>
      </c>
      <c r="AC196" s="455" t="s">
        <v>13</v>
      </c>
      <c r="AD196" s="452" t="s">
        <v>1731</v>
      </c>
      <c r="AE196" s="484" t="s">
        <v>1731</v>
      </c>
      <c r="AF196" s="484" t="s">
        <v>2512</v>
      </c>
      <c r="AG196" s="452" t="s">
        <v>2048</v>
      </c>
      <c r="AH196" s="550"/>
    </row>
    <row r="197" spans="1:34" s="439" customFormat="1" ht="15">
      <c r="A197" s="453" t="s">
        <v>1125</v>
      </c>
      <c r="B197" s="447" t="s">
        <v>1126</v>
      </c>
      <c r="C197" s="448">
        <v>88.150999999999996</v>
      </c>
      <c r="D197" s="448" t="s">
        <v>1801</v>
      </c>
      <c r="E197" s="449">
        <v>250</v>
      </c>
      <c r="F197" s="449" t="s">
        <v>1801</v>
      </c>
      <c r="G197" s="450">
        <f t="shared" si="4"/>
        <v>1185488122.3910141</v>
      </c>
      <c r="H197" s="450" t="s">
        <v>2207</v>
      </c>
      <c r="I197" s="450">
        <v>51000</v>
      </c>
      <c r="J197" s="448" t="s">
        <v>1801</v>
      </c>
      <c r="K197" s="449">
        <v>5.8699999999999996E-4</v>
      </c>
      <c r="L197" s="449" t="s">
        <v>1801</v>
      </c>
      <c r="M197" s="922">
        <v>2.39984E-2</v>
      </c>
      <c r="N197" s="450">
        <v>7.5267200000000006E-2</v>
      </c>
      <c r="O197" s="537" t="s">
        <v>2367</v>
      </c>
      <c r="P197" s="450">
        <v>8.5903999999999999E-6</v>
      </c>
      <c r="Q197" s="537" t="s">
        <v>2367</v>
      </c>
      <c r="R197" s="543">
        <v>328.2</v>
      </c>
      <c r="S197" s="540" t="s">
        <v>414</v>
      </c>
      <c r="T197" s="543">
        <v>497.1</v>
      </c>
      <c r="U197" s="540" t="s">
        <v>2181</v>
      </c>
      <c r="V197" s="451">
        <v>6677.66</v>
      </c>
      <c r="W197" s="540" t="s">
        <v>2181</v>
      </c>
      <c r="X197" s="449">
        <v>11.56</v>
      </c>
      <c r="Y197" s="455" t="s">
        <v>414</v>
      </c>
      <c r="Z197" s="455">
        <v>2.6E-7</v>
      </c>
      <c r="AA197" s="455" t="s">
        <v>2507</v>
      </c>
      <c r="AB197" s="455">
        <v>3</v>
      </c>
      <c r="AC197" s="455" t="s">
        <v>280</v>
      </c>
      <c r="AD197" s="452" t="s">
        <v>1731</v>
      </c>
      <c r="AE197" s="484" t="s">
        <v>1731</v>
      </c>
      <c r="AF197" s="484" t="s">
        <v>2512</v>
      </c>
      <c r="AG197" s="452"/>
      <c r="AH197" s="550"/>
    </row>
    <row r="198" spans="1:34" s="439" customFormat="1" ht="15">
      <c r="A198" s="453" t="s">
        <v>1137</v>
      </c>
      <c r="B198" s="447" t="s">
        <v>1138</v>
      </c>
      <c r="C198" s="448">
        <v>84.933000000000007</v>
      </c>
      <c r="D198" s="448" t="s">
        <v>1801</v>
      </c>
      <c r="E198" s="449">
        <v>435</v>
      </c>
      <c r="F198" s="449" t="s">
        <v>1801</v>
      </c>
      <c r="G198" s="450">
        <f t="shared" si="4"/>
        <v>1987447551.3190169</v>
      </c>
      <c r="H198" s="450" t="s">
        <v>2207</v>
      </c>
      <c r="I198" s="450">
        <v>13000</v>
      </c>
      <c r="J198" s="448" t="s">
        <v>1801</v>
      </c>
      <c r="K198" s="449">
        <v>3.2499999999999999E-3</v>
      </c>
      <c r="L198" s="449" t="s">
        <v>1801</v>
      </c>
      <c r="M198" s="922">
        <v>0.13286999999999999</v>
      </c>
      <c r="N198" s="450">
        <v>9.9936200000000003E-2</v>
      </c>
      <c r="O198" s="537" t="s">
        <v>2367</v>
      </c>
      <c r="P198" s="450">
        <v>1.2500000000000001E-5</v>
      </c>
      <c r="Q198" s="537" t="s">
        <v>2367</v>
      </c>
      <c r="R198" s="543">
        <v>313</v>
      </c>
      <c r="S198" s="540" t="s">
        <v>414</v>
      </c>
      <c r="T198" s="543">
        <v>510</v>
      </c>
      <c r="U198" s="540" t="s">
        <v>2180</v>
      </c>
      <c r="V198" s="451">
        <v>6706</v>
      </c>
      <c r="W198" s="540" t="s">
        <v>2180</v>
      </c>
      <c r="X198" s="449">
        <v>21.73</v>
      </c>
      <c r="Y198" s="455" t="s">
        <v>414</v>
      </c>
      <c r="Z198" s="455">
        <v>1E-8</v>
      </c>
      <c r="AA198" s="455" t="s">
        <v>280</v>
      </c>
      <c r="AB198" s="455">
        <v>0.6</v>
      </c>
      <c r="AC198" s="455" t="s">
        <v>280</v>
      </c>
      <c r="AD198" s="452" t="s">
        <v>2513</v>
      </c>
      <c r="AE198" s="484" t="s">
        <v>1731</v>
      </c>
      <c r="AF198" s="484" t="s">
        <v>2512</v>
      </c>
      <c r="AG198" s="452" t="s">
        <v>2049</v>
      </c>
      <c r="AH198" s="550"/>
    </row>
    <row r="199" spans="1:34" s="439" customFormat="1" ht="15">
      <c r="A199" s="453" t="s">
        <v>2155</v>
      </c>
      <c r="B199" s="447" t="s">
        <v>1388</v>
      </c>
      <c r="C199" s="448">
        <v>142.19999999999999</v>
      </c>
      <c r="D199" s="448" t="s">
        <v>1801</v>
      </c>
      <c r="E199" s="449">
        <v>6.7000000000000004E-2</v>
      </c>
      <c r="F199" s="449" t="s">
        <v>1801</v>
      </c>
      <c r="G199" s="450">
        <f t="shared" si="4"/>
        <v>512512.37250936008</v>
      </c>
      <c r="H199" s="450" t="s">
        <v>2207</v>
      </c>
      <c r="I199" s="450">
        <v>25.8</v>
      </c>
      <c r="J199" s="448" t="s">
        <v>1801</v>
      </c>
      <c r="K199" s="449">
        <v>5.1400000000000003E-4</v>
      </c>
      <c r="L199" s="449" t="s">
        <v>1801</v>
      </c>
      <c r="M199" s="922">
        <v>2.1013899999999999E-2</v>
      </c>
      <c r="N199" s="450">
        <v>5.2770499999999998E-2</v>
      </c>
      <c r="O199" s="537" t="s">
        <v>2367</v>
      </c>
      <c r="P199" s="450">
        <v>7.8476999999999994E-6</v>
      </c>
      <c r="Q199" s="537" t="s">
        <v>2367</v>
      </c>
      <c r="R199" s="543">
        <v>517.70000000000005</v>
      </c>
      <c r="S199" s="540" t="s">
        <v>2173</v>
      </c>
      <c r="T199" s="543">
        <v>771.8</v>
      </c>
      <c r="U199" s="540" t="s">
        <v>2043</v>
      </c>
      <c r="V199" s="451">
        <v>13690.65</v>
      </c>
      <c r="W199" s="540" t="s">
        <v>2027</v>
      </c>
      <c r="X199" s="449">
        <v>2528</v>
      </c>
      <c r="Y199" s="455" t="s">
        <v>414</v>
      </c>
      <c r="Z199" s="455" t="s">
        <v>2203</v>
      </c>
      <c r="AA199" s="455" t="s">
        <v>43</v>
      </c>
      <c r="AB199" s="455" t="s">
        <v>2203</v>
      </c>
      <c r="AC199" s="455" t="s">
        <v>43</v>
      </c>
      <c r="AD199" s="452" t="s">
        <v>1731</v>
      </c>
      <c r="AE199" s="484" t="s">
        <v>1731</v>
      </c>
      <c r="AF199" s="484" t="s">
        <v>2512</v>
      </c>
      <c r="AG199" s="452"/>
      <c r="AH199" s="550"/>
    </row>
    <row r="200" spans="1:34" s="439" customFormat="1" ht="15">
      <c r="A200" s="453" t="s">
        <v>169</v>
      </c>
      <c r="B200" s="447" t="s">
        <v>1390</v>
      </c>
      <c r="C200" s="448">
        <v>142.19999999999999</v>
      </c>
      <c r="D200" s="448" t="s">
        <v>1801</v>
      </c>
      <c r="E200" s="449">
        <v>5.5E-2</v>
      </c>
      <c r="F200" s="449" t="s">
        <v>1801</v>
      </c>
      <c r="G200" s="450">
        <f t="shared" si="4"/>
        <v>420719.11176141497</v>
      </c>
      <c r="H200" s="450" t="s">
        <v>2207</v>
      </c>
      <c r="I200" s="450">
        <v>24.6</v>
      </c>
      <c r="J200" s="448" t="s">
        <v>1801</v>
      </c>
      <c r="K200" s="449">
        <v>5.1800000000000001E-4</v>
      </c>
      <c r="L200" s="449" t="s">
        <v>1801</v>
      </c>
      <c r="M200" s="922">
        <v>2.1177399999999999E-2</v>
      </c>
      <c r="N200" s="450">
        <v>5.2431899999999997E-2</v>
      </c>
      <c r="O200" s="537" t="s">
        <v>2367</v>
      </c>
      <c r="P200" s="450">
        <v>7.7811000000000008E-6</v>
      </c>
      <c r="Q200" s="537" t="s">
        <v>2367</v>
      </c>
      <c r="R200" s="543">
        <v>514.1</v>
      </c>
      <c r="S200" s="540" t="s">
        <v>414</v>
      </c>
      <c r="T200" s="543">
        <v>761</v>
      </c>
      <c r="U200" s="540" t="s">
        <v>2181</v>
      </c>
      <c r="V200" s="451">
        <v>12600</v>
      </c>
      <c r="W200" s="540" t="s">
        <v>2183</v>
      </c>
      <c r="X200" s="449">
        <v>2478</v>
      </c>
      <c r="Y200" s="455" t="s">
        <v>414</v>
      </c>
      <c r="Z200" s="455" t="s">
        <v>2203</v>
      </c>
      <c r="AA200" s="455" t="s">
        <v>43</v>
      </c>
      <c r="AB200" s="455" t="s">
        <v>2203</v>
      </c>
      <c r="AC200" s="455" t="s">
        <v>43</v>
      </c>
      <c r="AD200" s="452" t="s">
        <v>1731</v>
      </c>
      <c r="AE200" s="484" t="s">
        <v>1731</v>
      </c>
      <c r="AF200" s="484" t="s">
        <v>2512</v>
      </c>
      <c r="AG200" s="452" t="s">
        <v>71</v>
      </c>
      <c r="AH200" s="550"/>
    </row>
    <row r="201" spans="1:34" s="439" customFormat="1" ht="15">
      <c r="A201" s="453" t="s">
        <v>1147</v>
      </c>
      <c r="B201" s="447" t="s">
        <v>1148</v>
      </c>
      <c r="C201" s="448">
        <v>118.18</v>
      </c>
      <c r="D201" s="448" t="s">
        <v>1801</v>
      </c>
      <c r="E201" s="449">
        <v>1.9</v>
      </c>
      <c r="F201" s="449" t="s">
        <v>414</v>
      </c>
      <c r="G201" s="450">
        <f t="shared" si="4"/>
        <v>12078904.333605887</v>
      </c>
      <c r="H201" s="450" t="s">
        <v>2207</v>
      </c>
      <c r="I201" s="450">
        <v>116</v>
      </c>
      <c r="J201" s="448" t="s">
        <v>1801</v>
      </c>
      <c r="K201" s="449">
        <v>2.5500000000000002E-3</v>
      </c>
      <c r="L201" s="449" t="s">
        <v>414</v>
      </c>
      <c r="M201" s="922">
        <v>0.10425180000000001</v>
      </c>
      <c r="N201" s="450">
        <v>6.2902E-2</v>
      </c>
      <c r="O201" s="537" t="s">
        <v>2367</v>
      </c>
      <c r="P201" s="450">
        <v>8.1911000000000002E-6</v>
      </c>
      <c r="Q201" s="537" t="s">
        <v>2367</v>
      </c>
      <c r="R201" s="543">
        <v>438.4</v>
      </c>
      <c r="S201" s="540" t="s">
        <v>2173</v>
      </c>
      <c r="T201" s="543">
        <v>657</v>
      </c>
      <c r="U201" s="540" t="s">
        <v>2174</v>
      </c>
      <c r="V201" s="451">
        <v>11419.16</v>
      </c>
      <c r="W201" s="540" t="s">
        <v>2174</v>
      </c>
      <c r="X201" s="449">
        <v>697.8</v>
      </c>
      <c r="Y201" s="455" t="s">
        <v>414</v>
      </c>
      <c r="Z201" s="455" t="s">
        <v>2203</v>
      </c>
      <c r="AA201" s="455" t="s">
        <v>43</v>
      </c>
      <c r="AB201" s="455" t="s">
        <v>2203</v>
      </c>
      <c r="AC201" s="455" t="s">
        <v>43</v>
      </c>
      <c r="AD201" s="452" t="s">
        <v>1731</v>
      </c>
      <c r="AE201" s="484" t="s">
        <v>1731</v>
      </c>
      <c r="AF201" s="484" t="s">
        <v>2512</v>
      </c>
      <c r="AG201" s="452"/>
      <c r="AH201" s="550"/>
    </row>
    <row r="202" spans="1:34" s="439" customFormat="1" ht="15">
      <c r="A202" s="453" t="s">
        <v>1153</v>
      </c>
      <c r="B202" s="447" t="s">
        <v>1154</v>
      </c>
      <c r="C202" s="448">
        <v>170.34</v>
      </c>
      <c r="D202" s="448" t="s">
        <v>414</v>
      </c>
      <c r="E202" s="449">
        <v>0.13500000000000001</v>
      </c>
      <c r="F202" s="449" t="s">
        <v>414</v>
      </c>
      <c r="G202" s="450">
        <f t="shared" si="4"/>
        <v>1237030.3825795068</v>
      </c>
      <c r="H202" s="450" t="s">
        <v>2207</v>
      </c>
      <c r="I202" s="450">
        <v>3.7000000000000002E-3</v>
      </c>
      <c r="J202" s="448" t="s">
        <v>414</v>
      </c>
      <c r="K202" s="449">
        <v>8.18</v>
      </c>
      <c r="L202" s="449" t="s">
        <v>414</v>
      </c>
      <c r="M202" s="922">
        <v>334.42354999999998</v>
      </c>
      <c r="N202" s="450">
        <v>3.6193999999999997E-2</v>
      </c>
      <c r="O202" s="537" t="s">
        <v>2367</v>
      </c>
      <c r="P202" s="450">
        <v>6.4309999999999999E-6</v>
      </c>
      <c r="Q202" s="537" t="s">
        <v>2367</v>
      </c>
      <c r="R202" s="543" t="s">
        <v>2034</v>
      </c>
      <c r="S202" s="540"/>
      <c r="T202" s="543" t="s">
        <v>2035</v>
      </c>
      <c r="U202" s="540"/>
      <c r="V202" s="451" t="s">
        <v>2024</v>
      </c>
      <c r="W202" s="540"/>
      <c r="X202" s="449">
        <v>4818</v>
      </c>
      <c r="Y202" s="455" t="s">
        <v>414</v>
      </c>
      <c r="Z202" s="455" t="s">
        <v>2203</v>
      </c>
      <c r="AA202" s="455" t="s">
        <v>43</v>
      </c>
      <c r="AB202" s="455" t="s">
        <v>2203</v>
      </c>
      <c r="AC202" s="455" t="s">
        <v>43</v>
      </c>
      <c r="AD202" s="452" t="s">
        <v>1731</v>
      </c>
      <c r="AE202" s="484" t="s">
        <v>1731</v>
      </c>
      <c r="AF202" s="484" t="s">
        <v>2512</v>
      </c>
      <c r="AG202" s="452" t="s">
        <v>112</v>
      </c>
      <c r="AH202" s="550"/>
    </row>
    <row r="203" spans="1:34" s="439" customFormat="1" ht="15">
      <c r="A203" s="453" t="s">
        <v>1155</v>
      </c>
      <c r="B203" s="447" t="s">
        <v>1156</v>
      </c>
      <c r="C203" s="448">
        <v>545.54999999999995</v>
      </c>
      <c r="D203" s="448" t="s">
        <v>1801</v>
      </c>
      <c r="E203" s="449">
        <v>7.9999999999999996E-7</v>
      </c>
      <c r="F203" s="449" t="s">
        <v>1801</v>
      </c>
      <c r="G203" s="450">
        <f t="shared" si="4"/>
        <v>23.477643413521534</v>
      </c>
      <c r="H203" s="450" t="s">
        <v>2207</v>
      </c>
      <c r="I203" s="450">
        <v>8.5000000000000006E-2</v>
      </c>
      <c r="J203" s="448" t="s">
        <v>1801</v>
      </c>
      <c r="K203" s="449">
        <v>8.1099999999999998E-4</v>
      </c>
      <c r="L203" s="449" t="s">
        <v>1801</v>
      </c>
      <c r="M203" s="922">
        <v>3.3156199999999997E-2</v>
      </c>
      <c r="N203" s="450">
        <v>2.1880199999999999E-2</v>
      </c>
      <c r="O203" s="537" t="s">
        <v>2367</v>
      </c>
      <c r="P203" s="450">
        <v>5.6296000000000003E-6</v>
      </c>
      <c r="Q203" s="537" t="s">
        <v>2367</v>
      </c>
      <c r="R203" s="543">
        <v>639.21</v>
      </c>
      <c r="S203" s="540" t="s">
        <v>414</v>
      </c>
      <c r="T203" s="543">
        <v>958.81500000000005</v>
      </c>
      <c r="U203" s="540" t="s">
        <v>2182</v>
      </c>
      <c r="V203" s="451" t="s">
        <v>2024</v>
      </c>
      <c r="W203" s="540"/>
      <c r="X203" s="449">
        <v>356600</v>
      </c>
      <c r="Y203" s="455" t="s">
        <v>414</v>
      </c>
      <c r="Z203" s="455">
        <v>5.1000000000000004E-3</v>
      </c>
      <c r="AA203" s="455" t="s">
        <v>2507</v>
      </c>
      <c r="AB203" s="455" t="s">
        <v>2203</v>
      </c>
      <c r="AC203" s="455" t="s">
        <v>43</v>
      </c>
      <c r="AD203" s="452" t="s">
        <v>1731</v>
      </c>
      <c r="AE203" s="484" t="s">
        <v>1731</v>
      </c>
      <c r="AF203" s="484" t="s">
        <v>2512</v>
      </c>
      <c r="AG203" s="452"/>
      <c r="AH203" s="550"/>
    </row>
    <row r="204" spans="1:34" s="439" customFormat="1" ht="15">
      <c r="A204" s="453" t="s">
        <v>1167</v>
      </c>
      <c r="B204" s="453" t="s">
        <v>1168</v>
      </c>
      <c r="C204" s="448">
        <v>380.79</v>
      </c>
      <c r="D204" s="448" t="s">
        <v>1801</v>
      </c>
      <c r="E204" s="449">
        <v>2.0000000000000001E-4</v>
      </c>
      <c r="F204" s="449" t="s">
        <v>1801</v>
      </c>
      <c r="G204" s="450">
        <f t="shared" si="4"/>
        <v>4096.806816714723</v>
      </c>
      <c r="H204" s="450" t="s">
        <v>2207</v>
      </c>
      <c r="I204" s="450">
        <v>1.5</v>
      </c>
      <c r="J204" s="448" t="s">
        <v>1801</v>
      </c>
      <c r="K204" s="449">
        <v>6.5099999999999997E-5</v>
      </c>
      <c r="L204" s="449" t="s">
        <v>414</v>
      </c>
      <c r="M204" s="922">
        <v>2.6614999999999998E-3</v>
      </c>
      <c r="N204" s="450">
        <v>2.45667E-2</v>
      </c>
      <c r="O204" s="537" t="s">
        <v>2367</v>
      </c>
      <c r="P204" s="450">
        <v>6.4300000000000003E-6</v>
      </c>
      <c r="Q204" s="537" t="s">
        <v>2367</v>
      </c>
      <c r="R204" s="543">
        <v>383.15</v>
      </c>
      <c r="S204" s="540" t="s">
        <v>414</v>
      </c>
      <c r="T204" s="543" t="s">
        <v>2035</v>
      </c>
      <c r="U204" s="540"/>
      <c r="V204" s="451" t="s">
        <v>2024</v>
      </c>
      <c r="W204" s="540"/>
      <c r="X204" s="449">
        <v>126.7</v>
      </c>
      <c r="Y204" s="455" t="s">
        <v>414</v>
      </c>
      <c r="Z204" s="455" t="s">
        <v>2203</v>
      </c>
      <c r="AA204" s="455" t="s">
        <v>43</v>
      </c>
      <c r="AB204" s="455" t="s">
        <v>2203</v>
      </c>
      <c r="AC204" s="455" t="s">
        <v>43</v>
      </c>
      <c r="AD204" s="452" t="s">
        <v>1731</v>
      </c>
      <c r="AE204" s="484" t="s">
        <v>1731</v>
      </c>
      <c r="AF204" s="484" t="s">
        <v>2512</v>
      </c>
      <c r="AG204" s="452"/>
      <c r="AH204" s="550"/>
    </row>
    <row r="205" spans="1:34" s="439" customFormat="1" ht="15">
      <c r="A205" s="453" t="s">
        <v>1169</v>
      </c>
      <c r="B205" s="453" t="s">
        <v>2165</v>
      </c>
      <c r="C205" s="448" t="s">
        <v>2499</v>
      </c>
      <c r="D205" s="448" t="s">
        <v>43</v>
      </c>
      <c r="E205" s="449">
        <v>8.5000000000000006E-2</v>
      </c>
      <c r="F205" s="449" t="s">
        <v>414</v>
      </c>
      <c r="G205" s="450" t="e">
        <f t="shared" si="4"/>
        <v>#VALUE!</v>
      </c>
      <c r="H205" s="450" t="s">
        <v>2207</v>
      </c>
      <c r="I205" s="450">
        <v>31</v>
      </c>
      <c r="J205" s="448" t="s">
        <v>414</v>
      </c>
      <c r="K205" s="449">
        <v>4.4000000000000002E-4</v>
      </c>
      <c r="L205" s="449" t="s">
        <v>414</v>
      </c>
      <c r="M205" s="922">
        <v>1.79886E-2</v>
      </c>
      <c r="N205" s="450" t="s">
        <v>2504</v>
      </c>
      <c r="O205" s="537" t="s">
        <v>43</v>
      </c>
      <c r="P205" s="450" t="s">
        <v>2505</v>
      </c>
      <c r="Q205" s="537" t="s">
        <v>43</v>
      </c>
      <c r="R205" s="543" t="s">
        <v>2034</v>
      </c>
      <c r="S205" s="540"/>
      <c r="T205" s="543" t="s">
        <v>2035</v>
      </c>
      <c r="U205" s="540"/>
      <c r="V205" s="451" t="s">
        <v>2024</v>
      </c>
      <c r="W205" s="540"/>
      <c r="X205" s="449" t="s">
        <v>1750</v>
      </c>
      <c r="Y205" s="455" t="s">
        <v>43</v>
      </c>
      <c r="Z205" s="455" t="s">
        <v>2203</v>
      </c>
      <c r="AA205" s="455" t="s">
        <v>43</v>
      </c>
      <c r="AB205" s="455">
        <v>0.1</v>
      </c>
      <c r="AC205" s="455" t="s">
        <v>281</v>
      </c>
      <c r="AD205" s="452" t="s">
        <v>1731</v>
      </c>
      <c r="AE205" s="484" t="s">
        <v>1731</v>
      </c>
      <c r="AF205" s="484" t="s">
        <v>2512</v>
      </c>
      <c r="AG205" s="452"/>
      <c r="AH205" s="550"/>
    </row>
    <row r="206" spans="1:34" s="439" customFormat="1" ht="15">
      <c r="A206" s="453" t="s">
        <v>74</v>
      </c>
      <c r="B206" s="447" t="s">
        <v>1392</v>
      </c>
      <c r="C206" s="448">
        <v>128.18</v>
      </c>
      <c r="D206" s="448" t="s">
        <v>1801</v>
      </c>
      <c r="E206" s="449">
        <v>8.5000000000000006E-2</v>
      </c>
      <c r="F206" s="449" t="s">
        <v>1801</v>
      </c>
      <c r="G206" s="450">
        <f t="shared" si="4"/>
        <v>586096.52709041617</v>
      </c>
      <c r="H206" s="450" t="s">
        <v>2207</v>
      </c>
      <c r="I206" s="450">
        <v>31</v>
      </c>
      <c r="J206" s="448" t="s">
        <v>1801</v>
      </c>
      <c r="K206" s="449">
        <v>4.4000000000000002E-4</v>
      </c>
      <c r="L206" s="449" t="s">
        <v>1801</v>
      </c>
      <c r="M206" s="922">
        <v>1.79886E-2</v>
      </c>
      <c r="N206" s="450">
        <v>6.0499400000000002E-2</v>
      </c>
      <c r="O206" s="537" t="s">
        <v>2367</v>
      </c>
      <c r="P206" s="450">
        <v>8.3769999999999996E-6</v>
      </c>
      <c r="Q206" s="537" t="s">
        <v>2367</v>
      </c>
      <c r="R206" s="543">
        <v>490.9</v>
      </c>
      <c r="S206" s="540" t="s">
        <v>414</v>
      </c>
      <c r="T206" s="543">
        <v>748.4</v>
      </c>
      <c r="U206" s="540" t="s">
        <v>2180</v>
      </c>
      <c r="V206" s="451">
        <v>10373</v>
      </c>
      <c r="W206" s="540" t="s">
        <v>2180</v>
      </c>
      <c r="X206" s="449">
        <v>1544</v>
      </c>
      <c r="Y206" s="455" t="s">
        <v>414</v>
      </c>
      <c r="Z206" s="455">
        <v>3.4E-5</v>
      </c>
      <c r="AA206" s="455" t="s">
        <v>2507</v>
      </c>
      <c r="AB206" s="455">
        <v>3.0000000000000001E-3</v>
      </c>
      <c r="AC206" s="455" t="s">
        <v>280</v>
      </c>
      <c r="AD206" s="452" t="s">
        <v>1731</v>
      </c>
      <c r="AE206" s="484" t="s">
        <v>2513</v>
      </c>
      <c r="AF206" s="484" t="s">
        <v>2512</v>
      </c>
      <c r="AG206" s="452"/>
      <c r="AH206" s="550"/>
    </row>
    <row r="207" spans="1:34" s="439" customFormat="1" ht="15">
      <c r="A207" s="453" t="s">
        <v>1174</v>
      </c>
      <c r="B207" s="447" t="s">
        <v>1175</v>
      </c>
      <c r="C207" s="448">
        <v>170.73400000000001</v>
      </c>
      <c r="D207" s="448" t="s">
        <v>1796</v>
      </c>
      <c r="E207" s="449">
        <v>315</v>
      </c>
      <c r="F207" s="449" t="s">
        <v>2170</v>
      </c>
      <c r="G207" s="450">
        <f t="shared" si="4"/>
        <v>2893080539.6565828</v>
      </c>
      <c r="H207" s="450" t="s">
        <v>2207</v>
      </c>
      <c r="I207" s="450">
        <v>180</v>
      </c>
      <c r="J207" s="448" t="s">
        <v>1802</v>
      </c>
      <c r="K207" s="449">
        <v>0.5</v>
      </c>
      <c r="L207" s="449" t="s">
        <v>2172</v>
      </c>
      <c r="M207" s="922">
        <v>20.440000000000001</v>
      </c>
      <c r="N207" s="450">
        <v>4.3301899999999997E-2</v>
      </c>
      <c r="O207" s="537" t="s">
        <v>2367</v>
      </c>
      <c r="P207" s="450">
        <v>8.1704000000000006E-6</v>
      </c>
      <c r="Q207" s="537" t="s">
        <v>2367</v>
      </c>
      <c r="R207" s="543">
        <v>316.14999999999998</v>
      </c>
      <c r="S207" s="540" t="s">
        <v>2174</v>
      </c>
      <c r="T207" s="543">
        <v>473.15</v>
      </c>
      <c r="U207" s="540" t="s">
        <v>2174</v>
      </c>
      <c r="V207" s="451">
        <v>6829.3600000000006</v>
      </c>
      <c r="W207" s="540" t="s">
        <v>2174</v>
      </c>
      <c r="X207" s="449" t="s">
        <v>1750</v>
      </c>
      <c r="Y207" s="455" t="s">
        <v>43</v>
      </c>
      <c r="Z207" s="455">
        <v>2.5999999999999998E-4</v>
      </c>
      <c r="AA207" s="455" t="s">
        <v>2507</v>
      </c>
      <c r="AB207" s="455">
        <v>1.4E-5</v>
      </c>
      <c r="AC207" s="455" t="s">
        <v>2507</v>
      </c>
      <c r="AD207" s="452" t="s">
        <v>1731</v>
      </c>
      <c r="AE207" s="484" t="s">
        <v>1731</v>
      </c>
      <c r="AF207" s="484" t="s">
        <v>2512</v>
      </c>
      <c r="AG207" s="452"/>
      <c r="AH207" s="550"/>
    </row>
    <row r="208" spans="1:34" s="439" customFormat="1" ht="15">
      <c r="A208" s="453" t="s">
        <v>83</v>
      </c>
      <c r="B208" s="447" t="s">
        <v>1191</v>
      </c>
      <c r="C208" s="448">
        <v>123.11</v>
      </c>
      <c r="D208" s="448" t="s">
        <v>1801</v>
      </c>
      <c r="E208" s="449">
        <v>0.245</v>
      </c>
      <c r="F208" s="449" t="s">
        <v>1801</v>
      </c>
      <c r="G208" s="450">
        <f t="shared" si="4"/>
        <v>1622517.4291001421</v>
      </c>
      <c r="H208" s="450" t="s">
        <v>2207</v>
      </c>
      <c r="I208" s="450">
        <v>2090</v>
      </c>
      <c r="J208" s="448" t="s">
        <v>1801</v>
      </c>
      <c r="K208" s="449">
        <v>2.4000000000000001E-5</v>
      </c>
      <c r="L208" s="449" t="s">
        <v>1801</v>
      </c>
      <c r="M208" s="922">
        <v>9.812E-4</v>
      </c>
      <c r="N208" s="450">
        <v>6.8054000000000003E-2</v>
      </c>
      <c r="O208" s="537" t="s">
        <v>2367</v>
      </c>
      <c r="P208" s="450">
        <v>9.4494999999999999E-6</v>
      </c>
      <c r="Q208" s="537" t="s">
        <v>2367</v>
      </c>
      <c r="R208" s="543">
        <v>483.8</v>
      </c>
      <c r="S208" s="540" t="s">
        <v>414</v>
      </c>
      <c r="T208" s="543">
        <v>719</v>
      </c>
      <c r="U208" s="540" t="s">
        <v>2180</v>
      </c>
      <c r="V208" s="451">
        <v>10566</v>
      </c>
      <c r="W208" s="540" t="s">
        <v>2180</v>
      </c>
      <c r="X208" s="449">
        <v>226.4</v>
      </c>
      <c r="Y208" s="455" t="s">
        <v>414</v>
      </c>
      <c r="Z208" s="455">
        <v>4.0000000000000003E-5</v>
      </c>
      <c r="AA208" s="455" t="s">
        <v>280</v>
      </c>
      <c r="AB208" s="455">
        <v>8.9999999999999993E-3</v>
      </c>
      <c r="AC208" s="455" t="s">
        <v>280</v>
      </c>
      <c r="AD208" s="452" t="s">
        <v>1731</v>
      </c>
      <c r="AE208" s="484" t="s">
        <v>1731</v>
      </c>
      <c r="AF208" s="484" t="s">
        <v>2512</v>
      </c>
      <c r="AG208" s="452"/>
      <c r="AH208" s="550"/>
    </row>
    <row r="209" spans="1:34" s="439" customFormat="1" ht="15">
      <c r="A209" s="453" t="s">
        <v>1202</v>
      </c>
      <c r="B209" s="447" t="s">
        <v>1203</v>
      </c>
      <c r="C209" s="448">
        <v>61.040999999999997</v>
      </c>
      <c r="D209" s="448" t="s">
        <v>1801</v>
      </c>
      <c r="E209" s="449">
        <v>35.840000000000003</v>
      </c>
      <c r="F209" s="449" t="s">
        <v>1801</v>
      </c>
      <c r="G209" s="450">
        <f t="shared" si="4"/>
        <v>117684589.23268922</v>
      </c>
      <c r="H209" s="450" t="s">
        <v>2207</v>
      </c>
      <c r="I209" s="450">
        <v>111000</v>
      </c>
      <c r="J209" s="448" t="s">
        <v>1801</v>
      </c>
      <c r="K209" s="449">
        <v>2.8600000000000001E-5</v>
      </c>
      <c r="L209" s="449" t="s">
        <v>1801</v>
      </c>
      <c r="M209" s="922">
        <v>1.1693000000000001E-3</v>
      </c>
      <c r="N209" s="450">
        <v>0.11928370000000001</v>
      </c>
      <c r="O209" s="537" t="s">
        <v>2367</v>
      </c>
      <c r="P209" s="450">
        <v>1.3900000000000001E-5</v>
      </c>
      <c r="Q209" s="537" t="s">
        <v>2367</v>
      </c>
      <c r="R209" s="543">
        <v>374.1</v>
      </c>
      <c r="S209" s="540" t="s">
        <v>2173</v>
      </c>
      <c r="T209" s="543">
        <v>588</v>
      </c>
      <c r="U209" s="540" t="s">
        <v>2174</v>
      </c>
      <c r="V209" s="451">
        <v>9140.6299999999992</v>
      </c>
      <c r="W209" s="540" t="s">
        <v>2174</v>
      </c>
      <c r="X209" s="449">
        <v>10.32</v>
      </c>
      <c r="Y209" s="455" t="s">
        <v>414</v>
      </c>
      <c r="Z209" s="455">
        <v>8.8000000000000004E-6</v>
      </c>
      <c r="AA209" s="455" t="s">
        <v>281</v>
      </c>
      <c r="AB209" s="455">
        <v>5.0000000000000001E-3</v>
      </c>
      <c r="AC209" s="455" t="s">
        <v>281</v>
      </c>
      <c r="AD209" s="452" t="s">
        <v>1731</v>
      </c>
      <c r="AE209" s="484" t="s">
        <v>1731</v>
      </c>
      <c r="AF209" s="484" t="s">
        <v>2512</v>
      </c>
      <c r="AG209" s="452"/>
      <c r="AH209" s="550"/>
    </row>
    <row r="210" spans="1:34" s="439" customFormat="1" ht="15">
      <c r="A210" s="453" t="s">
        <v>170</v>
      </c>
      <c r="B210" s="447" t="s">
        <v>1204</v>
      </c>
      <c r="C210" s="448">
        <v>89.094999999999999</v>
      </c>
      <c r="D210" s="448" t="s">
        <v>1801</v>
      </c>
      <c r="E210" s="449">
        <v>17.21</v>
      </c>
      <c r="F210" s="449" t="s">
        <v>1801</v>
      </c>
      <c r="G210" s="450">
        <f t="shared" si="4"/>
        <v>82482944.764814734</v>
      </c>
      <c r="H210" s="450" t="s">
        <v>2207</v>
      </c>
      <c r="I210" s="450">
        <v>17000</v>
      </c>
      <c r="J210" s="448" t="s">
        <v>1801</v>
      </c>
      <c r="K210" s="449">
        <v>1.1900000000000001E-4</v>
      </c>
      <c r="L210" s="449" t="s">
        <v>414</v>
      </c>
      <c r="M210" s="922">
        <v>4.8650999999999998E-3</v>
      </c>
      <c r="N210" s="450">
        <v>8.4693400000000002E-2</v>
      </c>
      <c r="O210" s="537" t="s">
        <v>2367</v>
      </c>
      <c r="P210" s="450">
        <v>1.0200000000000001E-5</v>
      </c>
      <c r="Q210" s="537" t="s">
        <v>2367</v>
      </c>
      <c r="R210" s="543">
        <v>393.2</v>
      </c>
      <c r="S210" s="540" t="s">
        <v>414</v>
      </c>
      <c r="T210" s="543">
        <v>594</v>
      </c>
      <c r="U210" s="540" t="s">
        <v>2183</v>
      </c>
      <c r="V210" s="451">
        <v>8383</v>
      </c>
      <c r="W210" s="540" t="s">
        <v>2183</v>
      </c>
      <c r="X210" s="449">
        <v>30.8</v>
      </c>
      <c r="Y210" s="455" t="s">
        <v>414</v>
      </c>
      <c r="Z210" s="455">
        <v>2.7000000000000001E-3</v>
      </c>
      <c r="AA210" s="455" t="s">
        <v>13</v>
      </c>
      <c r="AB210" s="455">
        <v>0.02</v>
      </c>
      <c r="AC210" s="455" t="s">
        <v>280</v>
      </c>
      <c r="AD210" s="452" t="s">
        <v>1731</v>
      </c>
      <c r="AE210" s="484" t="s">
        <v>1731</v>
      </c>
      <c r="AF210" s="484" t="s">
        <v>2512</v>
      </c>
      <c r="AG210" s="452"/>
      <c r="AH210" s="550"/>
    </row>
    <row r="211" spans="1:34" s="439" customFormat="1" ht="15">
      <c r="A211" s="453" t="s">
        <v>1217</v>
      </c>
      <c r="B211" s="447" t="s">
        <v>1218</v>
      </c>
      <c r="C211" s="448">
        <v>74.082999999999998</v>
      </c>
      <c r="D211" s="448" t="s">
        <v>1801</v>
      </c>
      <c r="E211" s="449">
        <v>2.7</v>
      </c>
      <c r="F211" s="449" t="s">
        <v>1801</v>
      </c>
      <c r="G211" s="450">
        <f t="shared" si="4"/>
        <v>10760000.215174075</v>
      </c>
      <c r="H211" s="450" t="s">
        <v>2207</v>
      </c>
      <c r="I211" s="450">
        <v>1000000</v>
      </c>
      <c r="J211" s="448" t="s">
        <v>1801</v>
      </c>
      <c r="K211" s="449">
        <v>1.8199999999999999E-6</v>
      </c>
      <c r="L211" s="449" t="s">
        <v>1801</v>
      </c>
      <c r="M211" s="922">
        <v>7.4400000000000006E-5</v>
      </c>
      <c r="N211" s="450">
        <v>9.8767400000000005E-2</v>
      </c>
      <c r="O211" s="537" t="s">
        <v>2367</v>
      </c>
      <c r="P211" s="450">
        <v>1.15E-5</v>
      </c>
      <c r="Q211" s="537" t="s">
        <v>2367</v>
      </c>
      <c r="R211" s="543">
        <v>427.15</v>
      </c>
      <c r="S211" s="540" t="s">
        <v>414</v>
      </c>
      <c r="T211" s="543">
        <v>640.72499999999991</v>
      </c>
      <c r="U211" s="540" t="s">
        <v>2182</v>
      </c>
      <c r="V211" s="451" t="s">
        <v>2024</v>
      </c>
      <c r="W211" s="540"/>
      <c r="X211" s="449">
        <v>22.79</v>
      </c>
      <c r="Y211" s="455" t="s">
        <v>414</v>
      </c>
      <c r="Z211" s="455">
        <v>1.4E-2</v>
      </c>
      <c r="AA211" s="455" t="s">
        <v>280</v>
      </c>
      <c r="AB211" s="455">
        <v>4.0000000000000003E-5</v>
      </c>
      <c r="AC211" s="455" t="s">
        <v>0</v>
      </c>
      <c r="AD211" s="452" t="s">
        <v>2513</v>
      </c>
      <c r="AE211" s="484" t="s">
        <v>1731</v>
      </c>
      <c r="AF211" s="484" t="s">
        <v>2512</v>
      </c>
      <c r="AG211" s="452"/>
      <c r="AH211" s="550"/>
    </row>
    <row r="212" spans="1:34" s="439" customFormat="1" ht="15">
      <c r="A212" s="453" t="s">
        <v>1209</v>
      </c>
      <c r="B212" s="447" t="s">
        <v>1210</v>
      </c>
      <c r="C212" s="448">
        <v>158.25</v>
      </c>
      <c r="D212" s="448" t="s">
        <v>1801</v>
      </c>
      <c r="E212" s="449">
        <v>4.6899999999999997E-2</v>
      </c>
      <c r="F212" s="449" t="s">
        <v>414</v>
      </c>
      <c r="G212" s="450">
        <f t="shared" si="4"/>
        <v>399251.46318371565</v>
      </c>
      <c r="H212" s="450" t="s">
        <v>2207</v>
      </c>
      <c r="I212" s="450">
        <v>1270</v>
      </c>
      <c r="J212" s="448" t="s">
        <v>1801</v>
      </c>
      <c r="K212" s="449">
        <v>1.3200000000000001E-5</v>
      </c>
      <c r="L212" s="449" t="s">
        <v>1801</v>
      </c>
      <c r="M212" s="922">
        <v>5.3970000000000005E-4</v>
      </c>
      <c r="N212" s="450">
        <v>4.2166299999999997E-2</v>
      </c>
      <c r="O212" s="537" t="s">
        <v>2367</v>
      </c>
      <c r="P212" s="450">
        <v>6.8307999999999999E-6</v>
      </c>
      <c r="Q212" s="537" t="s">
        <v>2367</v>
      </c>
      <c r="R212" s="543">
        <v>389</v>
      </c>
      <c r="S212" s="540" t="s">
        <v>2177</v>
      </c>
      <c r="T212" s="543">
        <v>583.5</v>
      </c>
      <c r="U212" s="540" t="s">
        <v>2182</v>
      </c>
      <c r="V212" s="451" t="s">
        <v>2024</v>
      </c>
      <c r="W212" s="540"/>
      <c r="X212" s="449">
        <v>914.6</v>
      </c>
      <c r="Y212" s="455" t="s">
        <v>414</v>
      </c>
      <c r="Z212" s="455">
        <v>1.6000000000000001E-3</v>
      </c>
      <c r="AA212" s="455" t="s">
        <v>280</v>
      </c>
      <c r="AB212" s="455" t="s">
        <v>2203</v>
      </c>
      <c r="AC212" s="455" t="s">
        <v>43</v>
      </c>
      <c r="AD212" s="452" t="s">
        <v>1731</v>
      </c>
      <c r="AE212" s="484" t="s">
        <v>1731</v>
      </c>
      <c r="AF212" s="484" t="s">
        <v>2512</v>
      </c>
      <c r="AG212" s="452"/>
      <c r="AH212" s="550"/>
    </row>
    <row r="213" spans="1:34" s="439" customFormat="1" ht="15">
      <c r="A213" s="453" t="s">
        <v>1221</v>
      </c>
      <c r="B213" s="447" t="s">
        <v>1222</v>
      </c>
      <c r="C213" s="448">
        <v>88.11</v>
      </c>
      <c r="D213" s="448" t="s">
        <v>1801</v>
      </c>
      <c r="E213" s="449">
        <v>1.1000000000000001</v>
      </c>
      <c r="F213" s="449" t="s">
        <v>1801</v>
      </c>
      <c r="G213" s="450">
        <f t="shared" si="4"/>
        <v>5213721.6508155102</v>
      </c>
      <c r="H213" s="450" t="s">
        <v>2207</v>
      </c>
      <c r="I213" s="450">
        <v>300000</v>
      </c>
      <c r="J213" s="448" t="s">
        <v>1801</v>
      </c>
      <c r="K213" s="449">
        <v>1.44E-6</v>
      </c>
      <c r="L213" s="449" t="s">
        <v>1801</v>
      </c>
      <c r="M213" s="922">
        <v>5.8900000000000002E-5</v>
      </c>
      <c r="N213" s="450">
        <v>8.4054699999999996E-2</v>
      </c>
      <c r="O213" s="537" t="s">
        <v>2367</v>
      </c>
      <c r="P213" s="450">
        <v>9.9876000000000007E-6</v>
      </c>
      <c r="Q213" s="537" t="s">
        <v>2367</v>
      </c>
      <c r="R213" s="543">
        <v>443.15</v>
      </c>
      <c r="S213" s="540" t="s">
        <v>414</v>
      </c>
      <c r="T213" s="543">
        <v>664.72499999999991</v>
      </c>
      <c r="U213" s="540" t="s">
        <v>2182</v>
      </c>
      <c r="V213" s="451" t="s">
        <v>2024</v>
      </c>
      <c r="W213" s="540"/>
      <c r="X213" s="449">
        <v>43.47</v>
      </c>
      <c r="Y213" s="455" t="s">
        <v>414</v>
      </c>
      <c r="Z213" s="455">
        <v>6.3E-3</v>
      </c>
      <c r="AA213" s="455" t="s">
        <v>2507</v>
      </c>
      <c r="AB213" s="455" t="s">
        <v>2203</v>
      </c>
      <c r="AC213" s="455" t="s">
        <v>43</v>
      </c>
      <c r="AD213" s="452" t="s">
        <v>1731</v>
      </c>
      <c r="AE213" s="484" t="s">
        <v>1731</v>
      </c>
      <c r="AF213" s="484" t="s">
        <v>2512</v>
      </c>
      <c r="AG213" s="452"/>
      <c r="AH213" s="550"/>
    </row>
    <row r="214" spans="1:34" s="439" customFormat="1" ht="15">
      <c r="A214" s="453" t="s">
        <v>174</v>
      </c>
      <c r="B214" s="447" t="s">
        <v>1231</v>
      </c>
      <c r="C214" s="448">
        <v>137.13999999999999</v>
      </c>
      <c r="D214" s="448" t="s">
        <v>1801</v>
      </c>
      <c r="E214" s="449">
        <v>0.188</v>
      </c>
      <c r="F214" s="449" t="s">
        <v>414</v>
      </c>
      <c r="G214" s="450">
        <f t="shared" si="4"/>
        <v>1386921.719671214</v>
      </c>
      <c r="H214" s="450" t="s">
        <v>2207</v>
      </c>
      <c r="I214" s="450">
        <v>650</v>
      </c>
      <c r="J214" s="448" t="s">
        <v>1801</v>
      </c>
      <c r="K214" s="449">
        <v>1.2500000000000001E-5</v>
      </c>
      <c r="L214" s="449" t="s">
        <v>1801</v>
      </c>
      <c r="M214" s="922">
        <v>5.1099999999999995E-4</v>
      </c>
      <c r="N214" s="450">
        <v>5.87535E-2</v>
      </c>
      <c r="O214" s="537" t="s">
        <v>2367</v>
      </c>
      <c r="P214" s="450">
        <v>8.6674999999999996E-6</v>
      </c>
      <c r="Q214" s="537" t="s">
        <v>2367</v>
      </c>
      <c r="R214" s="543">
        <v>495</v>
      </c>
      <c r="S214" s="540" t="s">
        <v>414</v>
      </c>
      <c r="T214" s="543">
        <v>720</v>
      </c>
      <c r="U214" s="540" t="s">
        <v>2183</v>
      </c>
      <c r="V214" s="451">
        <v>12239.1</v>
      </c>
      <c r="W214" s="540" t="s">
        <v>2179</v>
      </c>
      <c r="X214" s="449">
        <v>370.6</v>
      </c>
      <c r="Y214" s="455" t="s">
        <v>414</v>
      </c>
      <c r="Z214" s="455" t="s">
        <v>2203</v>
      </c>
      <c r="AA214" s="455" t="s">
        <v>43</v>
      </c>
      <c r="AB214" s="455" t="s">
        <v>2203</v>
      </c>
      <c r="AC214" s="455" t="s">
        <v>43</v>
      </c>
      <c r="AD214" s="452" t="s">
        <v>1731</v>
      </c>
      <c r="AE214" s="484" t="s">
        <v>1731</v>
      </c>
      <c r="AF214" s="484" t="s">
        <v>2512</v>
      </c>
      <c r="AG214" s="452"/>
      <c r="AH214" s="550"/>
    </row>
    <row r="215" spans="1:34" s="439" customFormat="1" ht="15">
      <c r="A215" s="453" t="s">
        <v>1234</v>
      </c>
      <c r="B215" s="447" t="s">
        <v>1235</v>
      </c>
      <c r="C215" s="448">
        <v>128.26</v>
      </c>
      <c r="D215" s="448" t="s">
        <v>1801</v>
      </c>
      <c r="E215" s="449">
        <v>4.45</v>
      </c>
      <c r="F215" s="449" t="s">
        <v>1801</v>
      </c>
      <c r="G215" s="450">
        <f t="shared" si="4"/>
        <v>30703027.499246888</v>
      </c>
      <c r="H215" s="450" t="s">
        <v>2207</v>
      </c>
      <c r="I215" s="450">
        <v>0.22</v>
      </c>
      <c r="J215" s="448" t="s">
        <v>1801</v>
      </c>
      <c r="K215" s="449">
        <v>3.4</v>
      </c>
      <c r="L215" s="449" t="s">
        <v>414</v>
      </c>
      <c r="M215" s="922">
        <v>139.00245000000001</v>
      </c>
      <c r="N215" s="450">
        <v>5.1431999999999999E-2</v>
      </c>
      <c r="O215" s="537" t="s">
        <v>2367</v>
      </c>
      <c r="P215" s="450">
        <v>6.7689999999999999E-6</v>
      </c>
      <c r="Q215" s="537" t="s">
        <v>2367</v>
      </c>
      <c r="R215" s="543">
        <v>423.8</v>
      </c>
      <c r="S215" s="540" t="s">
        <v>2173</v>
      </c>
      <c r="T215" s="543">
        <v>594</v>
      </c>
      <c r="U215" s="540" t="s">
        <v>2174</v>
      </c>
      <c r="V215" s="451">
        <v>11082.45</v>
      </c>
      <c r="W215" s="540" t="s">
        <v>2174</v>
      </c>
      <c r="X215" s="449">
        <v>796</v>
      </c>
      <c r="Y215" s="455" t="s">
        <v>414</v>
      </c>
      <c r="Z215" s="455" t="s">
        <v>2203</v>
      </c>
      <c r="AA215" s="455" t="s">
        <v>43</v>
      </c>
      <c r="AB215" s="455">
        <v>0.02</v>
      </c>
      <c r="AC215" s="455" t="s">
        <v>281</v>
      </c>
      <c r="AD215" s="452" t="s">
        <v>1731</v>
      </c>
      <c r="AE215" s="484" t="s">
        <v>2513</v>
      </c>
      <c r="AF215" s="484" t="s">
        <v>2512</v>
      </c>
      <c r="AG215" s="452" t="s">
        <v>70</v>
      </c>
      <c r="AH215" s="550"/>
    </row>
    <row r="216" spans="1:34" s="439" customFormat="1" ht="15">
      <c r="A216" s="453" t="s">
        <v>1256</v>
      </c>
      <c r="B216" s="453" t="s">
        <v>1257</v>
      </c>
      <c r="C216" s="448">
        <v>203.35</v>
      </c>
      <c r="D216" s="448" t="s">
        <v>1801</v>
      </c>
      <c r="E216" s="449">
        <v>8.8499999999999995E-2</v>
      </c>
      <c r="F216" s="449" t="s">
        <v>1801</v>
      </c>
      <c r="G216" s="450">
        <f t="shared" ref="G216:G279" si="5">E216/760*1000000000*C216/24.46</f>
        <v>968093.71906872652</v>
      </c>
      <c r="H216" s="450" t="s">
        <v>2207</v>
      </c>
      <c r="I216" s="450">
        <v>100</v>
      </c>
      <c r="J216" s="448" t="s">
        <v>1801</v>
      </c>
      <c r="K216" s="449">
        <v>2.3699999999999999E-4</v>
      </c>
      <c r="L216" s="449" t="s">
        <v>414</v>
      </c>
      <c r="M216" s="922">
        <v>9.6892999999999996E-3</v>
      </c>
      <c r="N216" s="450">
        <v>2.4144200000000001E-2</v>
      </c>
      <c r="O216" s="537" t="s">
        <v>2367</v>
      </c>
      <c r="P216" s="450">
        <v>6.0507000000000004E-6</v>
      </c>
      <c r="Q216" s="537" t="s">
        <v>2367</v>
      </c>
      <c r="R216" s="543">
        <v>415.15</v>
      </c>
      <c r="S216" s="540" t="s">
        <v>414</v>
      </c>
      <c r="T216" s="543" t="s">
        <v>2035</v>
      </c>
      <c r="U216" s="540"/>
      <c r="V216" s="451" t="s">
        <v>2024</v>
      </c>
      <c r="W216" s="540"/>
      <c r="X216" s="449">
        <v>299.10000000000002</v>
      </c>
      <c r="Y216" s="455" t="s">
        <v>414</v>
      </c>
      <c r="Z216" s="455" t="s">
        <v>2203</v>
      </c>
      <c r="AA216" s="455" t="s">
        <v>43</v>
      </c>
      <c r="AB216" s="455" t="s">
        <v>2203</v>
      </c>
      <c r="AC216" s="455" t="s">
        <v>43</v>
      </c>
      <c r="AD216" s="452" t="s">
        <v>1731</v>
      </c>
      <c r="AE216" s="484" t="s">
        <v>1731</v>
      </c>
      <c r="AF216" s="484" t="s">
        <v>2512</v>
      </c>
      <c r="AG216" s="452"/>
      <c r="AH216" s="550"/>
    </row>
    <row r="217" spans="1:34" s="439" customFormat="1" ht="15">
      <c r="A217" s="453" t="s">
        <v>1260</v>
      </c>
      <c r="B217" s="453" t="s">
        <v>1261</v>
      </c>
      <c r="C217" s="448">
        <v>564.69000000000005</v>
      </c>
      <c r="D217" s="448" t="s">
        <v>1801</v>
      </c>
      <c r="E217" s="449">
        <v>3.1E-8</v>
      </c>
      <c r="F217" s="449" t="s">
        <v>414</v>
      </c>
      <c r="G217" s="450">
        <f t="shared" si="5"/>
        <v>0.94167652881180874</v>
      </c>
      <c r="H217" s="450" t="s">
        <v>2207</v>
      </c>
      <c r="I217" s="450">
        <v>2.3999999999999998E-3</v>
      </c>
      <c r="J217" s="448" t="s">
        <v>1801</v>
      </c>
      <c r="K217" s="449">
        <v>1.08E-4</v>
      </c>
      <c r="L217" s="449" t="s">
        <v>1801</v>
      </c>
      <c r="M217" s="922">
        <v>4.4153999999999999E-3</v>
      </c>
      <c r="N217" s="450">
        <v>2.78108E-2</v>
      </c>
      <c r="O217" s="537" t="s">
        <v>2367</v>
      </c>
      <c r="P217" s="450">
        <v>3.2495E-6</v>
      </c>
      <c r="Q217" s="537" t="s">
        <v>2367</v>
      </c>
      <c r="R217" s="543"/>
      <c r="S217" s="540"/>
      <c r="T217" s="543" t="s">
        <v>2035</v>
      </c>
      <c r="U217" s="540"/>
      <c r="V217" s="451" t="s">
        <v>2024</v>
      </c>
      <c r="W217" s="540"/>
      <c r="X217" s="449">
        <v>21660</v>
      </c>
      <c r="Y217" s="455" t="s">
        <v>414</v>
      </c>
      <c r="Z217" s="455" t="s">
        <v>2203</v>
      </c>
      <c r="AA217" s="455" t="s">
        <v>43</v>
      </c>
      <c r="AB217" s="455" t="s">
        <v>2203</v>
      </c>
      <c r="AC217" s="455" t="s">
        <v>43</v>
      </c>
      <c r="AD217" s="452" t="s">
        <v>1731</v>
      </c>
      <c r="AE217" s="484" t="s">
        <v>1731</v>
      </c>
      <c r="AF217" s="484" t="s">
        <v>2512</v>
      </c>
      <c r="AG217" s="452" t="s">
        <v>2050</v>
      </c>
      <c r="AH217" s="550"/>
    </row>
    <row r="218" spans="1:34" s="439" customFormat="1" ht="15">
      <c r="A218" s="453" t="s">
        <v>1264</v>
      </c>
      <c r="B218" s="453" t="s">
        <v>1265</v>
      </c>
      <c r="C218" s="448">
        <v>250.34</v>
      </c>
      <c r="D218" s="448" t="s">
        <v>1801</v>
      </c>
      <c r="E218" s="449">
        <v>1.01E-3</v>
      </c>
      <c r="F218" s="449" t="s">
        <v>414</v>
      </c>
      <c r="G218" s="450">
        <f t="shared" si="5"/>
        <v>13601.33623101089</v>
      </c>
      <c r="H218" s="450" t="s">
        <v>2207</v>
      </c>
      <c r="I218" s="450">
        <v>0.83099999999999996</v>
      </c>
      <c r="J218" s="448" t="s">
        <v>1801</v>
      </c>
      <c r="K218" s="449">
        <v>7.0299999999999996E-4</v>
      </c>
      <c r="L218" s="449" t="s">
        <v>1801</v>
      </c>
      <c r="M218" s="922">
        <v>2.87408E-2</v>
      </c>
      <c r="N218" s="450">
        <v>2.94332E-2</v>
      </c>
      <c r="O218" s="537" t="s">
        <v>2367</v>
      </c>
      <c r="P218" s="450">
        <v>7.9472999999999993E-6</v>
      </c>
      <c r="Q218" s="537" t="s">
        <v>2367</v>
      </c>
      <c r="R218" s="543">
        <v>550.15</v>
      </c>
      <c r="S218" s="540" t="s">
        <v>414</v>
      </c>
      <c r="T218" s="543" t="s">
        <v>2035</v>
      </c>
      <c r="U218" s="540"/>
      <c r="V218" s="451" t="s">
        <v>2024</v>
      </c>
      <c r="W218" s="540"/>
      <c r="X218" s="449">
        <v>3708</v>
      </c>
      <c r="Y218" s="455" t="s">
        <v>414</v>
      </c>
      <c r="Z218" s="455" t="s">
        <v>2203</v>
      </c>
      <c r="AA218" s="455" t="s">
        <v>43</v>
      </c>
      <c r="AB218" s="455" t="s">
        <v>2203</v>
      </c>
      <c r="AC218" s="455" t="s">
        <v>43</v>
      </c>
      <c r="AD218" s="452" t="s">
        <v>1731</v>
      </c>
      <c r="AE218" s="484" t="s">
        <v>1731</v>
      </c>
      <c r="AF218" s="484" t="s">
        <v>2512</v>
      </c>
      <c r="AG218" s="452"/>
      <c r="AH218" s="550"/>
    </row>
    <row r="219" spans="1:34" s="439" customFormat="1" ht="15">
      <c r="A219" s="453" t="s">
        <v>1746</v>
      </c>
      <c r="B219" s="447" t="s">
        <v>1343</v>
      </c>
      <c r="C219" s="448">
        <v>326.44</v>
      </c>
      <c r="D219" s="448" t="s">
        <v>1801</v>
      </c>
      <c r="E219" s="449">
        <v>6.5309999999999998E-6</v>
      </c>
      <c r="F219" s="449" t="s">
        <v>1801</v>
      </c>
      <c r="G219" s="450">
        <f t="shared" si="5"/>
        <v>114.68668717992854</v>
      </c>
      <c r="H219" s="450" t="s">
        <v>2207</v>
      </c>
      <c r="I219" s="450">
        <v>3.3999999999999998E-3</v>
      </c>
      <c r="J219" s="448" t="s">
        <v>1801</v>
      </c>
      <c r="K219" s="449">
        <v>2.8299999999999999E-4</v>
      </c>
      <c r="L219" s="449" t="s">
        <v>414</v>
      </c>
      <c r="M219" s="922">
        <v>1.1569899999999999E-2</v>
      </c>
      <c r="N219" s="450">
        <v>4.6705499999999997E-2</v>
      </c>
      <c r="O219" s="537" t="s">
        <v>2367</v>
      </c>
      <c r="P219" s="450">
        <v>6.0595000000000002E-6</v>
      </c>
      <c r="Q219" s="537" t="s">
        <v>2367</v>
      </c>
      <c r="R219" s="543">
        <v>651.25</v>
      </c>
      <c r="S219" s="540" t="s">
        <v>414</v>
      </c>
      <c r="T219" s="543">
        <v>976.875</v>
      </c>
      <c r="U219" s="540" t="s">
        <v>2182</v>
      </c>
      <c r="V219" s="451" t="s">
        <v>2024</v>
      </c>
      <c r="W219" s="540"/>
      <c r="X219" s="449">
        <v>130500</v>
      </c>
      <c r="Y219" s="455" t="s">
        <v>414</v>
      </c>
      <c r="Z219" s="455">
        <v>1.1000000000000001E-3</v>
      </c>
      <c r="AA219" s="455" t="s">
        <v>279</v>
      </c>
      <c r="AB219" s="455">
        <v>1.2999999999999999E-3</v>
      </c>
      <c r="AC219" s="455" t="s">
        <v>279</v>
      </c>
      <c r="AD219" s="452" t="s">
        <v>1731</v>
      </c>
      <c r="AE219" s="484" t="s">
        <v>1731</v>
      </c>
      <c r="AF219" s="484" t="s">
        <v>2512</v>
      </c>
      <c r="AG219" s="452"/>
      <c r="AH219" s="550"/>
    </row>
    <row r="220" spans="1:34" s="439" customFormat="1" ht="15">
      <c r="A220" s="453" t="s">
        <v>1747</v>
      </c>
      <c r="B220" s="447" t="s">
        <v>1345</v>
      </c>
      <c r="C220" s="448">
        <v>326.44</v>
      </c>
      <c r="D220" s="448" t="s">
        <v>1801</v>
      </c>
      <c r="E220" s="449">
        <v>5.4700000000000001E-6</v>
      </c>
      <c r="F220" s="449" t="s">
        <v>1801</v>
      </c>
      <c r="G220" s="450">
        <f t="shared" si="5"/>
        <v>96.055149115634549</v>
      </c>
      <c r="H220" s="450" t="s">
        <v>2207</v>
      </c>
      <c r="I220" s="450">
        <v>1.5980000000000001E-2</v>
      </c>
      <c r="J220" s="448" t="s">
        <v>1801</v>
      </c>
      <c r="K220" s="449">
        <v>9.2399999999999996E-5</v>
      </c>
      <c r="L220" s="449" t="s">
        <v>1801</v>
      </c>
      <c r="M220" s="922">
        <v>3.7775999999999999E-3</v>
      </c>
      <c r="N220" s="450">
        <v>4.6705499999999997E-2</v>
      </c>
      <c r="O220" s="537" t="s">
        <v>2367</v>
      </c>
      <c r="P220" s="450">
        <v>6.0595000000000002E-6</v>
      </c>
      <c r="Q220" s="537" t="s">
        <v>2367</v>
      </c>
      <c r="R220" s="543">
        <v>651.25</v>
      </c>
      <c r="S220" s="540" t="s">
        <v>414</v>
      </c>
      <c r="T220" s="543">
        <v>976.875</v>
      </c>
      <c r="U220" s="540" t="s">
        <v>2182</v>
      </c>
      <c r="V220" s="451" t="s">
        <v>2024</v>
      </c>
      <c r="W220" s="540"/>
      <c r="X220" s="449">
        <v>130500</v>
      </c>
      <c r="Y220" s="455" t="s">
        <v>414</v>
      </c>
      <c r="Z220" s="455">
        <v>1.1000000000000001E-3</v>
      </c>
      <c r="AA220" s="455" t="s">
        <v>279</v>
      </c>
      <c r="AB220" s="455">
        <v>1.2999999999999999E-3</v>
      </c>
      <c r="AC220" s="455" t="s">
        <v>279</v>
      </c>
      <c r="AD220" s="452" t="s">
        <v>1731</v>
      </c>
      <c r="AE220" s="484" t="s">
        <v>1731</v>
      </c>
      <c r="AF220" s="484" t="s">
        <v>2512</v>
      </c>
      <c r="AG220" s="452"/>
      <c r="AH220" s="550"/>
    </row>
    <row r="221" spans="1:34" s="439" customFormat="1" ht="15">
      <c r="A221" s="453" t="s">
        <v>1745</v>
      </c>
      <c r="B221" s="447" t="s">
        <v>1341</v>
      </c>
      <c r="C221" s="448">
        <v>326.44</v>
      </c>
      <c r="D221" s="448" t="s">
        <v>1801</v>
      </c>
      <c r="E221" s="449">
        <v>8.9740000000000008E-6</v>
      </c>
      <c r="F221" s="449" t="s">
        <v>1801</v>
      </c>
      <c r="G221" s="450">
        <f t="shared" si="5"/>
        <v>157.58663768989112</v>
      </c>
      <c r="H221" s="450" t="s">
        <v>2207</v>
      </c>
      <c r="I221" s="450">
        <v>1.34E-2</v>
      </c>
      <c r="J221" s="448" t="s">
        <v>1801</v>
      </c>
      <c r="K221" s="449">
        <v>2.8800000000000001E-4</v>
      </c>
      <c r="L221" s="449" t="s">
        <v>414</v>
      </c>
      <c r="M221" s="922">
        <v>1.17743E-2</v>
      </c>
      <c r="N221" s="450">
        <v>4.6705499999999997E-2</v>
      </c>
      <c r="O221" s="537" t="s">
        <v>2367</v>
      </c>
      <c r="P221" s="450">
        <v>6.0595000000000002E-6</v>
      </c>
      <c r="Q221" s="537" t="s">
        <v>2367</v>
      </c>
      <c r="R221" s="543">
        <v>651.25</v>
      </c>
      <c r="S221" s="540" t="s">
        <v>414</v>
      </c>
      <c r="T221" s="543">
        <v>976.875</v>
      </c>
      <c r="U221" s="540" t="s">
        <v>2182</v>
      </c>
      <c r="V221" s="451" t="s">
        <v>2024</v>
      </c>
      <c r="W221" s="540"/>
      <c r="X221" s="449">
        <v>127900</v>
      </c>
      <c r="Y221" s="455" t="s">
        <v>414</v>
      </c>
      <c r="Z221" s="455">
        <v>1.1000000000000001E-3</v>
      </c>
      <c r="AA221" s="455" t="s">
        <v>279</v>
      </c>
      <c r="AB221" s="455">
        <v>1.2999999999999999E-3</v>
      </c>
      <c r="AC221" s="455" t="s">
        <v>279</v>
      </c>
      <c r="AD221" s="452" t="s">
        <v>1731</v>
      </c>
      <c r="AE221" s="484" t="s">
        <v>1731</v>
      </c>
      <c r="AF221" s="484" t="s">
        <v>2512</v>
      </c>
      <c r="AG221" s="452"/>
      <c r="AH221" s="550"/>
    </row>
    <row r="222" spans="1:34" s="439" customFormat="1" ht="15">
      <c r="A222" s="453" t="s">
        <v>1744</v>
      </c>
      <c r="B222" s="447" t="s">
        <v>1339</v>
      </c>
      <c r="C222" s="448">
        <v>326.44</v>
      </c>
      <c r="D222" s="448" t="s">
        <v>414</v>
      </c>
      <c r="E222" s="449">
        <v>5.4700000000000001E-6</v>
      </c>
      <c r="F222" s="449" t="s">
        <v>414</v>
      </c>
      <c r="G222" s="450">
        <f t="shared" si="5"/>
        <v>96.055149115634549</v>
      </c>
      <c r="H222" s="450" t="s">
        <v>2207</v>
      </c>
      <c r="I222" s="450">
        <v>1.6E-2</v>
      </c>
      <c r="J222" s="448" t="s">
        <v>414</v>
      </c>
      <c r="K222" s="449">
        <v>1.9000000000000001E-4</v>
      </c>
      <c r="L222" s="449" t="s">
        <v>414</v>
      </c>
      <c r="M222" s="922">
        <v>7.7678000000000001E-3</v>
      </c>
      <c r="N222" s="450">
        <v>4.6705499999999997E-2</v>
      </c>
      <c r="O222" s="537" t="s">
        <v>2367</v>
      </c>
      <c r="P222" s="450">
        <v>6.0595000000000002E-6</v>
      </c>
      <c r="Q222" s="537" t="s">
        <v>2367</v>
      </c>
      <c r="R222" s="543">
        <v>651.25</v>
      </c>
      <c r="S222" s="540" t="s">
        <v>414</v>
      </c>
      <c r="T222" s="543">
        <v>976.875</v>
      </c>
      <c r="U222" s="540" t="s">
        <v>2182</v>
      </c>
      <c r="V222" s="451" t="s">
        <v>2024</v>
      </c>
      <c r="W222" s="540"/>
      <c r="X222" s="449">
        <v>130500</v>
      </c>
      <c r="Y222" s="455" t="s">
        <v>414</v>
      </c>
      <c r="Z222" s="455">
        <v>1.1000000000000001E-3</v>
      </c>
      <c r="AA222" s="455" t="s">
        <v>279</v>
      </c>
      <c r="AB222" s="455">
        <v>1.2999999999999999E-3</v>
      </c>
      <c r="AC222" s="455" t="s">
        <v>279</v>
      </c>
      <c r="AD222" s="452" t="s">
        <v>1731</v>
      </c>
      <c r="AE222" s="484" t="s">
        <v>1731</v>
      </c>
      <c r="AF222" s="484" t="s">
        <v>2512</v>
      </c>
      <c r="AG222" s="452"/>
      <c r="AH222" s="550"/>
    </row>
    <row r="223" spans="1:34" s="439" customFormat="1" ht="15">
      <c r="A223" s="453" t="s">
        <v>1748</v>
      </c>
      <c r="B223" s="447" t="s">
        <v>1347</v>
      </c>
      <c r="C223" s="448">
        <v>326.44</v>
      </c>
      <c r="D223" s="448" t="s">
        <v>414</v>
      </c>
      <c r="E223" s="449">
        <v>2.2199999999999999E-6</v>
      </c>
      <c r="F223" s="449" t="s">
        <v>414</v>
      </c>
      <c r="G223" s="450">
        <f t="shared" si="5"/>
        <v>38.98399104875844</v>
      </c>
      <c r="H223" s="450" t="s">
        <v>2207</v>
      </c>
      <c r="I223" s="450">
        <v>7.3282E-3</v>
      </c>
      <c r="J223" s="448" t="s">
        <v>414</v>
      </c>
      <c r="K223" s="449">
        <v>1.9000000000000001E-4</v>
      </c>
      <c r="L223" s="449" t="s">
        <v>414</v>
      </c>
      <c r="M223" s="922">
        <v>7.7678000000000001E-3</v>
      </c>
      <c r="N223" s="450">
        <v>4.6705499999999997E-2</v>
      </c>
      <c r="O223" s="537" t="s">
        <v>2367</v>
      </c>
      <c r="P223" s="450">
        <v>6.0595000000000002E-6</v>
      </c>
      <c r="Q223" s="537" t="s">
        <v>2367</v>
      </c>
      <c r="R223" s="543">
        <v>651.25</v>
      </c>
      <c r="S223" s="540" t="s">
        <v>414</v>
      </c>
      <c r="T223" s="543">
        <v>976.875</v>
      </c>
      <c r="U223" s="540" t="s">
        <v>2182</v>
      </c>
      <c r="V223" s="451" t="s">
        <v>2024</v>
      </c>
      <c r="W223" s="540"/>
      <c r="X223" s="449">
        <v>127900</v>
      </c>
      <c r="Y223" s="455" t="s">
        <v>414</v>
      </c>
      <c r="Z223" s="455">
        <v>3.8</v>
      </c>
      <c r="AA223" s="455" t="s">
        <v>279</v>
      </c>
      <c r="AB223" s="455">
        <v>3.9999999999999998E-7</v>
      </c>
      <c r="AC223" s="455" t="s">
        <v>279</v>
      </c>
      <c r="AD223" s="452" t="s">
        <v>1731</v>
      </c>
      <c r="AE223" s="484" t="s">
        <v>1731</v>
      </c>
      <c r="AF223" s="484" t="s">
        <v>2512</v>
      </c>
      <c r="AG223" s="452"/>
      <c r="AH223" s="550"/>
    </row>
    <row r="224" spans="1:34" s="439" customFormat="1" ht="15">
      <c r="A224" s="453" t="s">
        <v>1266</v>
      </c>
      <c r="B224" s="453" t="s">
        <v>1267</v>
      </c>
      <c r="C224" s="448">
        <v>202.3</v>
      </c>
      <c r="D224" s="448" t="s">
        <v>1801</v>
      </c>
      <c r="E224" s="449">
        <v>3.5</v>
      </c>
      <c r="F224" s="449" t="s">
        <v>1801</v>
      </c>
      <c r="G224" s="450">
        <f t="shared" si="5"/>
        <v>38088501.097387783</v>
      </c>
      <c r="H224" s="450" t="s">
        <v>2207</v>
      </c>
      <c r="I224" s="450">
        <v>490</v>
      </c>
      <c r="J224" s="448" t="s">
        <v>1801</v>
      </c>
      <c r="K224" s="449">
        <v>1.9400000000000001E-3</v>
      </c>
      <c r="L224" s="449" t="s">
        <v>414</v>
      </c>
      <c r="M224" s="922">
        <v>7.93132E-2</v>
      </c>
      <c r="N224" s="450">
        <v>3.1516700000000002E-2</v>
      </c>
      <c r="O224" s="537" t="s">
        <v>2367</v>
      </c>
      <c r="P224" s="450">
        <v>8.5663999999999998E-6</v>
      </c>
      <c r="Q224" s="537" t="s">
        <v>2367</v>
      </c>
      <c r="R224" s="543">
        <v>435.15</v>
      </c>
      <c r="S224" s="540" t="s">
        <v>414</v>
      </c>
      <c r="T224" s="543" t="s">
        <v>2035</v>
      </c>
      <c r="U224" s="540" t="s">
        <v>2179</v>
      </c>
      <c r="V224" s="451">
        <v>157743</v>
      </c>
      <c r="W224" s="540" t="s">
        <v>2187</v>
      </c>
      <c r="X224" s="449">
        <v>136.19999999999999</v>
      </c>
      <c r="Y224" s="455" t="s">
        <v>414</v>
      </c>
      <c r="Z224" s="455" t="s">
        <v>2203</v>
      </c>
      <c r="AA224" s="455" t="s">
        <v>43</v>
      </c>
      <c r="AB224" s="455" t="s">
        <v>2203</v>
      </c>
      <c r="AC224" s="455" t="s">
        <v>43</v>
      </c>
      <c r="AD224" s="452" t="s">
        <v>1731</v>
      </c>
      <c r="AE224" s="484" t="s">
        <v>1731</v>
      </c>
      <c r="AF224" s="484" t="s">
        <v>2512</v>
      </c>
      <c r="AG224" s="452"/>
      <c r="AH224" s="550"/>
    </row>
    <row r="225" spans="1:34" s="439" customFormat="1" ht="15">
      <c r="A225" s="453" t="s">
        <v>1268</v>
      </c>
      <c r="B225" s="453" t="s">
        <v>1269</v>
      </c>
      <c r="C225" s="448">
        <v>295.33999999999997</v>
      </c>
      <c r="D225" s="448" t="s">
        <v>1801</v>
      </c>
      <c r="E225" s="449">
        <v>5.0000000000000002E-5</v>
      </c>
      <c r="F225" s="449" t="s">
        <v>1801</v>
      </c>
      <c r="G225" s="450">
        <f t="shared" si="5"/>
        <v>794.36889443559835</v>
      </c>
      <c r="H225" s="450" t="s">
        <v>2207</v>
      </c>
      <c r="I225" s="450">
        <v>0.44</v>
      </c>
      <c r="J225" s="448" t="s">
        <v>1801</v>
      </c>
      <c r="K225" s="449">
        <v>4.4199999999999997E-5</v>
      </c>
      <c r="L225" s="449" t="s">
        <v>414</v>
      </c>
      <c r="M225" s="922">
        <v>1.807E-3</v>
      </c>
      <c r="N225" s="450">
        <v>2.6274200000000001E-2</v>
      </c>
      <c r="O225" s="537" t="s">
        <v>2367</v>
      </c>
      <c r="P225" s="450">
        <v>6.9198000000000002E-6</v>
      </c>
      <c r="Q225" s="537" t="s">
        <v>2367</v>
      </c>
      <c r="R225" s="543">
        <v>601.15</v>
      </c>
      <c r="S225" s="540" t="s">
        <v>414</v>
      </c>
      <c r="T225" s="543" t="s">
        <v>2035</v>
      </c>
      <c r="U225" s="540"/>
      <c r="V225" s="451" t="s">
        <v>2024</v>
      </c>
      <c r="W225" s="540"/>
      <c r="X225" s="449">
        <v>5996</v>
      </c>
      <c r="Y225" s="455" t="s">
        <v>414</v>
      </c>
      <c r="Z225" s="455" t="s">
        <v>2203</v>
      </c>
      <c r="AA225" s="455" t="s">
        <v>43</v>
      </c>
      <c r="AB225" s="455" t="s">
        <v>2203</v>
      </c>
      <c r="AC225" s="455" t="s">
        <v>43</v>
      </c>
      <c r="AD225" s="452" t="s">
        <v>1731</v>
      </c>
      <c r="AE225" s="484" t="s">
        <v>1731</v>
      </c>
      <c r="AF225" s="484" t="s">
        <v>2512</v>
      </c>
      <c r="AG225" s="452"/>
      <c r="AH225" s="550"/>
    </row>
    <row r="226" spans="1:34" s="439" customFormat="1" ht="15">
      <c r="A226" s="453" t="s">
        <v>1272</v>
      </c>
      <c r="B226" s="447" t="s">
        <v>1273</v>
      </c>
      <c r="C226" s="448">
        <v>72.150999999999996</v>
      </c>
      <c r="D226" s="448" t="s">
        <v>1801</v>
      </c>
      <c r="E226" s="449">
        <v>514</v>
      </c>
      <c r="F226" s="449" t="s">
        <v>1801</v>
      </c>
      <c r="G226" s="450">
        <f t="shared" si="5"/>
        <v>1994965679.7349055</v>
      </c>
      <c r="H226" s="450" t="s">
        <v>2207</v>
      </c>
      <c r="I226" s="450">
        <v>38</v>
      </c>
      <c r="J226" s="448" t="s">
        <v>1801</v>
      </c>
      <c r="K226" s="449">
        <v>1.25</v>
      </c>
      <c r="L226" s="449" t="s">
        <v>1801</v>
      </c>
      <c r="M226" s="922">
        <v>51.103842999999998</v>
      </c>
      <c r="N226" s="450">
        <v>8.2129300000000002E-2</v>
      </c>
      <c r="O226" s="537" t="s">
        <v>2367</v>
      </c>
      <c r="P226" s="450">
        <v>8.7973999999999998E-6</v>
      </c>
      <c r="Q226" s="537" t="s">
        <v>2367</v>
      </c>
      <c r="R226" s="543">
        <v>309</v>
      </c>
      <c r="S226" s="540" t="s">
        <v>2173</v>
      </c>
      <c r="T226" s="543">
        <v>469.7</v>
      </c>
      <c r="U226" s="540" t="s">
        <v>2179</v>
      </c>
      <c r="V226" s="451">
        <v>6155.06</v>
      </c>
      <c r="W226" s="540" t="s">
        <v>2174</v>
      </c>
      <c r="X226" s="449">
        <v>72.17</v>
      </c>
      <c r="Y226" s="455" t="s">
        <v>414</v>
      </c>
      <c r="Z226" s="455" t="s">
        <v>2203</v>
      </c>
      <c r="AA226" s="455" t="s">
        <v>43</v>
      </c>
      <c r="AB226" s="455">
        <v>1</v>
      </c>
      <c r="AC226" s="455" t="s">
        <v>281</v>
      </c>
      <c r="AD226" s="452" t="s">
        <v>1731</v>
      </c>
      <c r="AE226" s="484" t="s">
        <v>2513</v>
      </c>
      <c r="AF226" s="484" t="s">
        <v>2512</v>
      </c>
      <c r="AG226" s="452"/>
      <c r="AH226" s="550"/>
    </row>
    <row r="227" spans="1:34" s="439" customFormat="1" ht="15">
      <c r="A227" s="453" t="s">
        <v>1293</v>
      </c>
      <c r="B227" s="447" t="s">
        <v>1294</v>
      </c>
      <c r="C227" s="448">
        <v>98.917000000000002</v>
      </c>
      <c r="D227" s="448" t="s">
        <v>1801</v>
      </c>
      <c r="E227" s="449">
        <v>1418</v>
      </c>
      <c r="F227" s="449" t="s">
        <v>1801</v>
      </c>
      <c r="G227" s="450">
        <f t="shared" si="5"/>
        <v>7545310603.7784567</v>
      </c>
      <c r="H227" s="450" t="s">
        <v>2207</v>
      </c>
      <c r="I227" s="450">
        <v>6825.5</v>
      </c>
      <c r="J227" s="448" t="s">
        <v>1816</v>
      </c>
      <c r="K227" s="449">
        <v>1.67E-2</v>
      </c>
      <c r="L227" s="449" t="s">
        <v>1801</v>
      </c>
      <c r="M227" s="922">
        <v>0.68274729999999995</v>
      </c>
      <c r="N227" s="450">
        <v>8.9328199999999996E-2</v>
      </c>
      <c r="O227" s="537" t="s">
        <v>2367</v>
      </c>
      <c r="P227" s="450">
        <v>1.17E-5</v>
      </c>
      <c r="Q227" s="537" t="s">
        <v>2367</v>
      </c>
      <c r="R227" s="543">
        <v>281.2</v>
      </c>
      <c r="S227" s="540" t="s">
        <v>2173</v>
      </c>
      <c r="T227" s="543">
        <v>455</v>
      </c>
      <c r="U227" s="540" t="s">
        <v>2179</v>
      </c>
      <c r="V227" s="451">
        <v>7352.39</v>
      </c>
      <c r="W227" s="540" t="s">
        <v>2174</v>
      </c>
      <c r="X227" s="449">
        <v>1</v>
      </c>
      <c r="Y227" s="455" t="s">
        <v>414</v>
      </c>
      <c r="Z227" s="455" t="s">
        <v>2203</v>
      </c>
      <c r="AA227" s="455" t="s">
        <v>43</v>
      </c>
      <c r="AB227" s="455">
        <v>2.9999999999999997E-4</v>
      </c>
      <c r="AC227" s="455" t="s">
        <v>280</v>
      </c>
      <c r="AD227" s="452" t="s">
        <v>1731</v>
      </c>
      <c r="AE227" s="484" t="s">
        <v>1731</v>
      </c>
      <c r="AF227" s="484" t="s">
        <v>2512</v>
      </c>
      <c r="AG227" s="452"/>
      <c r="AH227" s="550"/>
    </row>
    <row r="228" spans="1:34" s="439" customFormat="1" ht="15">
      <c r="A228" s="453" t="s">
        <v>1297</v>
      </c>
      <c r="B228" s="447" t="s">
        <v>1298</v>
      </c>
      <c r="C228" s="448">
        <v>33.997999999999998</v>
      </c>
      <c r="D228" s="448" t="s">
        <v>1801</v>
      </c>
      <c r="E228" s="449">
        <v>29300</v>
      </c>
      <c r="F228" s="449" t="s">
        <v>1801</v>
      </c>
      <c r="G228" s="450">
        <f t="shared" si="5"/>
        <v>53585951284.589233</v>
      </c>
      <c r="H228" s="450" t="s">
        <v>2207</v>
      </c>
      <c r="I228" s="450">
        <v>260000</v>
      </c>
      <c r="J228" s="448" t="s">
        <v>1802</v>
      </c>
      <c r="K228" s="449">
        <v>2.4400000000000002E-2</v>
      </c>
      <c r="L228" s="449" t="s">
        <v>1801</v>
      </c>
      <c r="M228" s="922">
        <v>0.998</v>
      </c>
      <c r="N228" s="450">
        <v>0.1882017</v>
      </c>
      <c r="O228" s="537" t="s">
        <v>2367</v>
      </c>
      <c r="P228" s="450">
        <v>2.23E-5</v>
      </c>
      <c r="Q228" s="537" t="s">
        <v>2367</v>
      </c>
      <c r="R228" s="543">
        <v>185.45</v>
      </c>
      <c r="S228" s="540" t="s">
        <v>414</v>
      </c>
      <c r="T228" s="543">
        <v>325.14999999999998</v>
      </c>
      <c r="U228" s="540" t="s">
        <v>2174</v>
      </c>
      <c r="V228" s="451" t="s">
        <v>2024</v>
      </c>
      <c r="W228" s="540"/>
      <c r="X228" s="449" t="s">
        <v>1750</v>
      </c>
      <c r="Y228" s="455" t="s">
        <v>43</v>
      </c>
      <c r="Z228" s="455" t="s">
        <v>2203</v>
      </c>
      <c r="AA228" s="455" t="s">
        <v>43</v>
      </c>
      <c r="AB228" s="455">
        <v>2.9999999999999997E-4</v>
      </c>
      <c r="AC228" s="455" t="s">
        <v>280</v>
      </c>
      <c r="AD228" s="452" t="s">
        <v>1731</v>
      </c>
      <c r="AE228" s="484" t="s">
        <v>1731</v>
      </c>
      <c r="AF228" s="484" t="s">
        <v>2512</v>
      </c>
      <c r="AG228" s="452"/>
      <c r="AH228" s="550"/>
    </row>
    <row r="229" spans="1:34" s="439" customFormat="1" ht="15">
      <c r="A229" s="453" t="s">
        <v>1301</v>
      </c>
      <c r="B229" s="453" t="s">
        <v>1302</v>
      </c>
      <c r="C229" s="448">
        <v>30.974</v>
      </c>
      <c r="D229" s="448" t="s">
        <v>1816</v>
      </c>
      <c r="E229" s="449">
        <v>2.5000000000000001E-2</v>
      </c>
      <c r="F229" s="449" t="s">
        <v>2171</v>
      </c>
      <c r="G229" s="450">
        <f t="shared" si="5"/>
        <v>41655.01140422601</v>
      </c>
      <c r="H229" s="450" t="s">
        <v>2207</v>
      </c>
      <c r="I229" s="450">
        <v>3</v>
      </c>
      <c r="J229" s="448" t="s">
        <v>2171</v>
      </c>
      <c r="K229" s="449">
        <v>2.1099999999999999E-3</v>
      </c>
      <c r="L229" s="449" t="s">
        <v>2171</v>
      </c>
      <c r="M229" s="922">
        <v>8.5999999999999993E-2</v>
      </c>
      <c r="N229" s="450">
        <v>0.21936549999999999</v>
      </c>
      <c r="O229" s="537" t="s">
        <v>2367</v>
      </c>
      <c r="P229" s="450">
        <v>2.7699999999999999E-5</v>
      </c>
      <c r="Q229" s="537" t="s">
        <v>2367</v>
      </c>
      <c r="R229" s="543">
        <v>553.15</v>
      </c>
      <c r="S229" s="540" t="s">
        <v>414</v>
      </c>
      <c r="T229" s="543">
        <v>829.72499999999991</v>
      </c>
      <c r="U229" s="540" t="s">
        <v>2182</v>
      </c>
      <c r="V229" s="451" t="s">
        <v>2024</v>
      </c>
      <c r="W229" s="540"/>
      <c r="X229" s="449">
        <v>1122</v>
      </c>
      <c r="Y229" s="455" t="s">
        <v>2171</v>
      </c>
      <c r="Z229" s="455" t="s">
        <v>2203</v>
      </c>
      <c r="AA229" s="455" t="s">
        <v>43</v>
      </c>
      <c r="AB229" s="455" t="s">
        <v>2203</v>
      </c>
      <c r="AC229" s="455" t="s">
        <v>43</v>
      </c>
      <c r="AD229" s="452" t="s">
        <v>1731</v>
      </c>
      <c r="AE229" s="484" t="s">
        <v>1731</v>
      </c>
      <c r="AF229" s="484" t="s">
        <v>2512</v>
      </c>
      <c r="AG229" s="452"/>
      <c r="AH229" s="550"/>
    </row>
    <row r="230" spans="1:34" s="439" customFormat="1" ht="15">
      <c r="A230" s="453" t="s">
        <v>1400</v>
      </c>
      <c r="B230" s="453" t="s">
        <v>1401</v>
      </c>
      <c r="C230" s="448">
        <v>347.3</v>
      </c>
      <c r="D230" s="448" t="s">
        <v>1801</v>
      </c>
      <c r="E230" s="449">
        <v>6.3E-5</v>
      </c>
      <c r="F230" s="449" t="s">
        <v>1801</v>
      </c>
      <c r="G230" s="450">
        <f t="shared" si="5"/>
        <v>1176.9968154236776</v>
      </c>
      <c r="H230" s="450" t="s">
        <v>2207</v>
      </c>
      <c r="I230" s="450">
        <v>0.1</v>
      </c>
      <c r="J230" s="448" t="s">
        <v>1801</v>
      </c>
      <c r="K230" s="449">
        <v>2.9E-4</v>
      </c>
      <c r="L230" s="449" t="s">
        <v>414</v>
      </c>
      <c r="M230" s="922">
        <v>1.18561E-2</v>
      </c>
      <c r="N230" s="450">
        <v>2.18047E-2</v>
      </c>
      <c r="O230" s="537" t="s">
        <v>2367</v>
      </c>
      <c r="P230" s="450">
        <v>5.5052000000000002E-6</v>
      </c>
      <c r="Q230" s="537" t="s">
        <v>2367</v>
      </c>
      <c r="R230" s="543">
        <v>668.75</v>
      </c>
      <c r="S230" s="540" t="s">
        <v>414</v>
      </c>
      <c r="T230" s="543" t="s">
        <v>2035</v>
      </c>
      <c r="U230" s="540"/>
      <c r="V230" s="451" t="s">
        <v>2024</v>
      </c>
      <c r="W230" s="540"/>
      <c r="X230" s="449">
        <v>30520</v>
      </c>
      <c r="Y230" s="455" t="s">
        <v>414</v>
      </c>
      <c r="Z230" s="455" t="s">
        <v>2203</v>
      </c>
      <c r="AA230" s="455" t="s">
        <v>43</v>
      </c>
      <c r="AB230" s="455" t="s">
        <v>2203</v>
      </c>
      <c r="AC230" s="455" t="s">
        <v>43</v>
      </c>
      <c r="AD230" s="452" t="s">
        <v>1731</v>
      </c>
      <c r="AE230" s="484" t="s">
        <v>1731</v>
      </c>
      <c r="AF230" s="484" t="s">
        <v>2512</v>
      </c>
      <c r="AG230" s="452"/>
      <c r="AH230" s="550"/>
    </row>
    <row r="231" spans="1:34" s="439" customFormat="1" ht="15">
      <c r="A231" s="453" t="s">
        <v>1412</v>
      </c>
      <c r="B231" s="453" t="s">
        <v>1413</v>
      </c>
      <c r="C231" s="448">
        <v>56.064999999999998</v>
      </c>
      <c r="D231" s="448" t="s">
        <v>1801</v>
      </c>
      <c r="E231" s="449">
        <v>15.6</v>
      </c>
      <c r="F231" s="449" t="s">
        <v>1801</v>
      </c>
      <c r="G231" s="450">
        <f t="shared" si="5"/>
        <v>47048564.788914226</v>
      </c>
      <c r="H231" s="450" t="s">
        <v>2207</v>
      </c>
      <c r="I231" s="450">
        <v>1000000</v>
      </c>
      <c r="J231" s="448" t="s">
        <v>1801</v>
      </c>
      <c r="K231" s="449">
        <v>1.15E-6</v>
      </c>
      <c r="L231" s="449" t="s">
        <v>414</v>
      </c>
      <c r="M231" s="922">
        <v>4.6999999999999997E-5</v>
      </c>
      <c r="N231" s="450">
        <v>0.1173874</v>
      </c>
      <c r="O231" s="537" t="s">
        <v>2367</v>
      </c>
      <c r="P231" s="450">
        <v>1.31E-5</v>
      </c>
      <c r="Q231" s="537" t="s">
        <v>2367</v>
      </c>
      <c r="R231" s="543">
        <v>387.65</v>
      </c>
      <c r="S231" s="540" t="s">
        <v>414</v>
      </c>
      <c r="T231" s="543" t="s">
        <v>2035</v>
      </c>
      <c r="U231" s="540" t="s">
        <v>2179</v>
      </c>
      <c r="V231" s="451">
        <v>138623.32699999999</v>
      </c>
      <c r="W231" s="540" t="s">
        <v>2187</v>
      </c>
      <c r="X231" s="449">
        <v>1.9039999999999999</v>
      </c>
      <c r="Y231" s="455" t="s">
        <v>414</v>
      </c>
      <c r="Z231" s="455" t="s">
        <v>2203</v>
      </c>
      <c r="AA231" s="455" t="s">
        <v>43</v>
      </c>
      <c r="AB231" s="455" t="s">
        <v>2203</v>
      </c>
      <c r="AC231" s="455" t="s">
        <v>43</v>
      </c>
      <c r="AD231" s="452" t="s">
        <v>1731</v>
      </c>
      <c r="AE231" s="484" t="s">
        <v>1731</v>
      </c>
      <c r="AF231" s="484" t="s">
        <v>2512</v>
      </c>
      <c r="AG231" s="452"/>
      <c r="AH231" s="550"/>
    </row>
    <row r="232" spans="1:34" s="439" customFormat="1" ht="15">
      <c r="A232" s="453" t="s">
        <v>1420</v>
      </c>
      <c r="B232" s="447" t="s">
        <v>1421</v>
      </c>
      <c r="C232" s="448">
        <v>58.081000000000003</v>
      </c>
      <c r="D232" s="448" t="s">
        <v>1801</v>
      </c>
      <c r="E232" s="449">
        <v>316.8</v>
      </c>
      <c r="F232" s="449" t="s">
        <v>1801</v>
      </c>
      <c r="G232" s="450">
        <f t="shared" si="5"/>
        <v>989804019.45173645</v>
      </c>
      <c r="H232" s="450" t="s">
        <v>2207</v>
      </c>
      <c r="I232" s="450">
        <v>306000</v>
      </c>
      <c r="J232" s="448" t="s">
        <v>1801</v>
      </c>
      <c r="K232" s="449">
        <v>7.3399999999999995E-5</v>
      </c>
      <c r="L232" s="449" t="s">
        <v>1801</v>
      </c>
      <c r="M232" s="922">
        <v>3.0008000000000001E-3</v>
      </c>
      <c r="N232" s="450">
        <v>0.11037669999999999</v>
      </c>
      <c r="O232" s="537" t="s">
        <v>2367</v>
      </c>
      <c r="P232" s="450">
        <v>1.22E-5</v>
      </c>
      <c r="Q232" s="537" t="s">
        <v>2367</v>
      </c>
      <c r="R232" s="543">
        <v>321</v>
      </c>
      <c r="S232" s="540" t="s">
        <v>2173</v>
      </c>
      <c r="T232" s="543">
        <v>496</v>
      </c>
      <c r="U232" s="540" t="s">
        <v>2179</v>
      </c>
      <c r="V232" s="451">
        <v>7074.62</v>
      </c>
      <c r="W232" s="540" t="s">
        <v>2174</v>
      </c>
      <c r="X232" s="449">
        <v>1</v>
      </c>
      <c r="Y232" s="455" t="s">
        <v>414</v>
      </c>
      <c r="Z232" s="455" t="s">
        <v>2203</v>
      </c>
      <c r="AA232" s="455" t="s">
        <v>43</v>
      </c>
      <c r="AB232" s="455">
        <v>8.0000000000000002E-3</v>
      </c>
      <c r="AC232" s="455" t="s">
        <v>280</v>
      </c>
      <c r="AD232" s="452" t="s">
        <v>1731</v>
      </c>
      <c r="AE232" s="484" t="s">
        <v>1731</v>
      </c>
      <c r="AF232" s="484" t="s">
        <v>2512</v>
      </c>
      <c r="AG232" s="452"/>
      <c r="AH232" s="550"/>
    </row>
    <row r="233" spans="1:34" s="439" customFormat="1" ht="15">
      <c r="A233" s="453" t="s">
        <v>1422</v>
      </c>
      <c r="B233" s="447" t="s">
        <v>1423</v>
      </c>
      <c r="C233" s="448">
        <v>120.2</v>
      </c>
      <c r="D233" s="448" t="s">
        <v>1801</v>
      </c>
      <c r="E233" s="449">
        <v>3.42</v>
      </c>
      <c r="F233" s="449" t="s">
        <v>1801</v>
      </c>
      <c r="G233" s="450">
        <f t="shared" si="5"/>
        <v>22113654.946852002</v>
      </c>
      <c r="H233" s="450" t="s">
        <v>2207</v>
      </c>
      <c r="I233" s="450">
        <v>52.2</v>
      </c>
      <c r="J233" s="448" t="s">
        <v>1801</v>
      </c>
      <c r="K233" s="449">
        <v>1.0500000000000001E-2</v>
      </c>
      <c r="L233" s="449" t="s">
        <v>1801</v>
      </c>
      <c r="M233" s="922">
        <v>0.4292723</v>
      </c>
      <c r="N233" s="450">
        <v>6.0155800000000002E-2</v>
      </c>
      <c r="O233" s="537" t="s">
        <v>2367</v>
      </c>
      <c r="P233" s="450">
        <v>7.8310000000000001E-6</v>
      </c>
      <c r="Q233" s="537" t="s">
        <v>2367</v>
      </c>
      <c r="R233" s="543">
        <v>432.2</v>
      </c>
      <c r="S233" s="540" t="s">
        <v>414</v>
      </c>
      <c r="T233" s="543">
        <v>630</v>
      </c>
      <c r="U233" s="540" t="s">
        <v>2181</v>
      </c>
      <c r="V233" s="451">
        <v>9123</v>
      </c>
      <c r="W233" s="540" t="s">
        <v>2183</v>
      </c>
      <c r="X233" s="449">
        <v>813.1</v>
      </c>
      <c r="Y233" s="455" t="s">
        <v>414</v>
      </c>
      <c r="Z233" s="455" t="s">
        <v>2203</v>
      </c>
      <c r="AA233" s="455" t="s">
        <v>43</v>
      </c>
      <c r="AB233" s="455">
        <v>1</v>
      </c>
      <c r="AC233" s="455" t="s">
        <v>0</v>
      </c>
      <c r="AD233" s="452" t="s">
        <v>1731</v>
      </c>
      <c r="AE233" s="484" t="s">
        <v>2513</v>
      </c>
      <c r="AF233" s="484" t="s">
        <v>2512</v>
      </c>
      <c r="AG233" s="452"/>
      <c r="AH233" s="550"/>
    </row>
    <row r="234" spans="1:34" s="439" customFormat="1" ht="15">
      <c r="A234" s="453" t="s">
        <v>1424</v>
      </c>
      <c r="B234" s="447" t="s">
        <v>1425</v>
      </c>
      <c r="C234" s="448">
        <v>42.081000000000003</v>
      </c>
      <c r="D234" s="448" t="s">
        <v>1801</v>
      </c>
      <c r="E234" s="449">
        <v>8690</v>
      </c>
      <c r="F234" s="449" t="s">
        <v>1801</v>
      </c>
      <c r="G234" s="450">
        <f t="shared" si="5"/>
        <v>19671423268.924561</v>
      </c>
      <c r="H234" s="450" t="s">
        <v>2207</v>
      </c>
      <c r="I234" s="450">
        <v>200</v>
      </c>
      <c r="J234" s="448" t="s">
        <v>1801</v>
      </c>
      <c r="K234" s="449">
        <v>0.19600000000000001</v>
      </c>
      <c r="L234" s="449" t="s">
        <v>1801</v>
      </c>
      <c r="M234" s="922">
        <v>8.0130826000000006</v>
      </c>
      <c r="N234" s="450">
        <v>0.10969669999999999</v>
      </c>
      <c r="O234" s="537" t="s">
        <v>2367</v>
      </c>
      <c r="P234" s="450">
        <v>1.0699999999999999E-5</v>
      </c>
      <c r="Q234" s="537" t="s">
        <v>2367</v>
      </c>
      <c r="R234" s="543">
        <v>225.6</v>
      </c>
      <c r="S234" s="540" t="s">
        <v>2178</v>
      </c>
      <c r="T234" s="543">
        <v>364.95</v>
      </c>
      <c r="U234" s="540" t="s">
        <v>2179</v>
      </c>
      <c r="V234" s="451">
        <v>4402.41</v>
      </c>
      <c r="W234" s="540" t="s">
        <v>2174</v>
      </c>
      <c r="X234" s="449">
        <v>21.73</v>
      </c>
      <c r="Y234" s="455" t="s">
        <v>414</v>
      </c>
      <c r="Z234" s="455" t="s">
        <v>2203</v>
      </c>
      <c r="AA234" s="455" t="s">
        <v>43</v>
      </c>
      <c r="AB234" s="455">
        <v>3</v>
      </c>
      <c r="AC234" s="455" t="s">
        <v>2507</v>
      </c>
      <c r="AD234" s="452" t="s">
        <v>1731</v>
      </c>
      <c r="AE234" s="484" t="s">
        <v>2513</v>
      </c>
      <c r="AF234" s="484" t="s">
        <v>2512</v>
      </c>
      <c r="AG234" s="452"/>
      <c r="AH234" s="550"/>
    </row>
    <row r="235" spans="1:34" s="439" customFormat="1" ht="15">
      <c r="A235" s="453" t="s">
        <v>1430</v>
      </c>
      <c r="B235" s="447" t="s">
        <v>1431</v>
      </c>
      <c r="C235" s="448">
        <v>90.123000000000005</v>
      </c>
      <c r="D235" s="448" t="s">
        <v>1801</v>
      </c>
      <c r="E235" s="449">
        <v>12.5</v>
      </c>
      <c r="F235" s="449" t="s">
        <v>1801</v>
      </c>
      <c r="G235" s="450">
        <f t="shared" si="5"/>
        <v>60600416.361836717</v>
      </c>
      <c r="H235" s="450" t="s">
        <v>2207</v>
      </c>
      <c r="I235" s="450">
        <v>1000000</v>
      </c>
      <c r="J235" s="448" t="s">
        <v>1801</v>
      </c>
      <c r="K235" s="449">
        <v>9.1999999999999998E-7</v>
      </c>
      <c r="L235" s="449" t="s">
        <v>1801</v>
      </c>
      <c r="M235" s="922">
        <v>3.7599999999999999E-5</v>
      </c>
      <c r="N235" s="450">
        <v>8.3144999999999997E-2</v>
      </c>
      <c r="O235" s="537" t="s">
        <v>2367</v>
      </c>
      <c r="P235" s="450">
        <v>9.9604000000000004E-6</v>
      </c>
      <c r="Q235" s="537" t="s">
        <v>2367</v>
      </c>
      <c r="R235" s="543">
        <v>392.15</v>
      </c>
      <c r="S235" s="540" t="s">
        <v>414</v>
      </c>
      <c r="T235" s="543">
        <v>588.22499999999991</v>
      </c>
      <c r="U235" s="540" t="s">
        <v>2182</v>
      </c>
      <c r="V235" s="451">
        <v>7795.9334400000007</v>
      </c>
      <c r="W235" s="540" t="s">
        <v>2174</v>
      </c>
      <c r="X235" s="449">
        <v>1</v>
      </c>
      <c r="Y235" s="455" t="s">
        <v>414</v>
      </c>
      <c r="Z235" s="455" t="s">
        <v>2203</v>
      </c>
      <c r="AA235" s="455" t="s">
        <v>43</v>
      </c>
      <c r="AB235" s="455">
        <v>2</v>
      </c>
      <c r="AC235" s="455" t="s">
        <v>280</v>
      </c>
      <c r="AD235" s="452" t="s">
        <v>1731</v>
      </c>
      <c r="AE235" s="484" t="s">
        <v>1731</v>
      </c>
      <c r="AF235" s="484" t="s">
        <v>2512</v>
      </c>
      <c r="AG235" s="452"/>
      <c r="AH235" s="550"/>
    </row>
    <row r="236" spans="1:34" s="439" customFormat="1" ht="15">
      <c r="A236" s="453" t="s">
        <v>1432</v>
      </c>
      <c r="B236" s="447" t="s">
        <v>1433</v>
      </c>
      <c r="C236" s="448">
        <v>58.081000000000003</v>
      </c>
      <c r="D236" s="448" t="s">
        <v>1801</v>
      </c>
      <c r="E236" s="449">
        <v>538</v>
      </c>
      <c r="F236" s="449" t="s">
        <v>1801</v>
      </c>
      <c r="G236" s="450">
        <f t="shared" si="5"/>
        <v>1680917179.4982142</v>
      </c>
      <c r="H236" s="450" t="s">
        <v>2207</v>
      </c>
      <c r="I236" s="450">
        <v>590000</v>
      </c>
      <c r="J236" s="448" t="s">
        <v>1801</v>
      </c>
      <c r="K236" s="449">
        <v>6.9599999999999998E-5</v>
      </c>
      <c r="L236" s="449" t="s">
        <v>414</v>
      </c>
      <c r="M236" s="922">
        <v>2.8454999999999999E-3</v>
      </c>
      <c r="N236" s="450">
        <v>0.1085105</v>
      </c>
      <c r="O236" s="537" t="s">
        <v>2367</v>
      </c>
      <c r="P236" s="450">
        <v>1.19E-5</v>
      </c>
      <c r="Q236" s="537" t="s">
        <v>2367</v>
      </c>
      <c r="R236" s="543">
        <v>308</v>
      </c>
      <c r="S236" s="540" t="s">
        <v>2173</v>
      </c>
      <c r="T236" s="543">
        <v>482.1</v>
      </c>
      <c r="U236" s="540" t="s">
        <v>2174</v>
      </c>
      <c r="V236" s="451">
        <v>6621.12</v>
      </c>
      <c r="W236" s="540" t="s">
        <v>2174</v>
      </c>
      <c r="X236" s="449">
        <v>5.194</v>
      </c>
      <c r="Y236" s="455" t="s">
        <v>414</v>
      </c>
      <c r="Z236" s="455">
        <v>3.7000000000000002E-6</v>
      </c>
      <c r="AA236" s="455" t="s">
        <v>280</v>
      </c>
      <c r="AB236" s="455">
        <v>0.03</v>
      </c>
      <c r="AC236" s="455" t="s">
        <v>280</v>
      </c>
      <c r="AD236" s="452" t="s">
        <v>1731</v>
      </c>
      <c r="AE236" s="484" t="s">
        <v>1731</v>
      </c>
      <c r="AF236" s="484" t="s">
        <v>2512</v>
      </c>
      <c r="AG236" s="452"/>
      <c r="AH236" s="550"/>
    </row>
    <row r="237" spans="1:34" s="439" customFormat="1" ht="15">
      <c r="A237" s="453" t="s">
        <v>106</v>
      </c>
      <c r="B237" s="447" t="s">
        <v>1396</v>
      </c>
      <c r="C237" s="448">
        <v>202.26</v>
      </c>
      <c r="D237" s="448" t="s">
        <v>1801</v>
      </c>
      <c r="E237" s="449">
        <v>4.5000000000000001E-6</v>
      </c>
      <c r="F237" s="449" t="s">
        <v>1801</v>
      </c>
      <c r="G237" s="450">
        <f t="shared" si="5"/>
        <v>48.961247148943492</v>
      </c>
      <c r="H237" s="450" t="s">
        <v>2207</v>
      </c>
      <c r="I237" s="450">
        <v>0.13500000000000001</v>
      </c>
      <c r="J237" s="448" t="s">
        <v>1801</v>
      </c>
      <c r="K237" s="449">
        <v>1.19E-5</v>
      </c>
      <c r="L237" s="449" t="s">
        <v>1801</v>
      </c>
      <c r="M237" s="922">
        <v>4.8650000000000001E-4</v>
      </c>
      <c r="N237" s="450">
        <v>2.7787300000000001E-2</v>
      </c>
      <c r="O237" s="537" t="s">
        <v>2367</v>
      </c>
      <c r="P237" s="450">
        <v>7.2478999999999997E-6</v>
      </c>
      <c r="Q237" s="537" t="s">
        <v>2367</v>
      </c>
      <c r="R237" s="543">
        <v>677</v>
      </c>
      <c r="S237" s="540" t="s">
        <v>414</v>
      </c>
      <c r="T237" s="543">
        <v>936</v>
      </c>
      <c r="U237" s="540" t="s">
        <v>2180</v>
      </c>
      <c r="V237" s="451">
        <v>14370</v>
      </c>
      <c r="W237" s="540" t="s">
        <v>2180</v>
      </c>
      <c r="X237" s="449">
        <v>54340</v>
      </c>
      <c r="Y237" s="455" t="s">
        <v>414</v>
      </c>
      <c r="Z237" s="455" t="s">
        <v>2203</v>
      </c>
      <c r="AA237" s="455" t="s">
        <v>43</v>
      </c>
      <c r="AB237" s="455" t="s">
        <v>2203</v>
      </c>
      <c r="AC237" s="455" t="s">
        <v>43</v>
      </c>
      <c r="AD237" s="452" t="s">
        <v>1731</v>
      </c>
      <c r="AE237" s="484" t="s">
        <v>1731</v>
      </c>
      <c r="AF237" s="484" t="s">
        <v>2512</v>
      </c>
      <c r="AG237" s="452"/>
      <c r="AH237" s="550"/>
    </row>
    <row r="238" spans="1:34" s="439" customFormat="1" ht="15">
      <c r="A238" s="453" t="s">
        <v>1436</v>
      </c>
      <c r="B238" s="447" t="s">
        <v>1437</v>
      </c>
      <c r="C238" s="448">
        <v>79.102000000000004</v>
      </c>
      <c r="D238" s="448" t="s">
        <v>1801</v>
      </c>
      <c r="E238" s="449">
        <v>20.8</v>
      </c>
      <c r="F238" s="449" t="s">
        <v>1801</v>
      </c>
      <c r="G238" s="450">
        <f t="shared" si="5"/>
        <v>88507638.679691866</v>
      </c>
      <c r="H238" s="450" t="s">
        <v>2207</v>
      </c>
      <c r="I238" s="450">
        <v>1000000</v>
      </c>
      <c r="J238" s="448" t="s">
        <v>1801</v>
      </c>
      <c r="K238" s="449">
        <v>1.1E-5</v>
      </c>
      <c r="L238" s="449" t="s">
        <v>1801</v>
      </c>
      <c r="M238" s="922">
        <v>4.4969999999999998E-4</v>
      </c>
      <c r="N238" s="450">
        <v>9.3088299999999999E-2</v>
      </c>
      <c r="O238" s="537" t="s">
        <v>2367</v>
      </c>
      <c r="P238" s="450">
        <v>1.0900000000000001E-5</v>
      </c>
      <c r="Q238" s="537" t="s">
        <v>2367</v>
      </c>
      <c r="R238" s="543">
        <v>388.2</v>
      </c>
      <c r="S238" s="540" t="s">
        <v>414</v>
      </c>
      <c r="T238" s="543">
        <v>617.20000000000005</v>
      </c>
      <c r="U238" s="540" t="s">
        <v>2052</v>
      </c>
      <c r="V238" s="451">
        <v>35.1</v>
      </c>
      <c r="W238" s="540" t="s">
        <v>2178</v>
      </c>
      <c r="X238" s="449">
        <v>71.72</v>
      </c>
      <c r="Y238" s="455" t="s">
        <v>414</v>
      </c>
      <c r="Z238" s="455" t="s">
        <v>2203</v>
      </c>
      <c r="AA238" s="455" t="s">
        <v>43</v>
      </c>
      <c r="AB238" s="455" t="s">
        <v>2203</v>
      </c>
      <c r="AC238" s="455" t="s">
        <v>43</v>
      </c>
      <c r="AD238" s="452" t="s">
        <v>1731</v>
      </c>
      <c r="AE238" s="484" t="s">
        <v>1731</v>
      </c>
      <c r="AF238" s="484" t="s">
        <v>2512</v>
      </c>
      <c r="AG238" s="452"/>
      <c r="AH238" s="550"/>
    </row>
    <row r="239" spans="1:34" s="439" customFormat="1" ht="15">
      <c r="A239" s="453" t="s">
        <v>1445</v>
      </c>
      <c r="B239" s="453" t="s">
        <v>1446</v>
      </c>
      <c r="C239" s="448">
        <v>321.55</v>
      </c>
      <c r="D239" s="448" t="s">
        <v>1801</v>
      </c>
      <c r="E239" s="449">
        <v>7.4999999999999993E-5</v>
      </c>
      <c r="F239" s="449" t="s">
        <v>1801</v>
      </c>
      <c r="G239" s="450">
        <f t="shared" si="5"/>
        <v>1297.297951542798</v>
      </c>
      <c r="H239" s="450" t="s">
        <v>2207</v>
      </c>
      <c r="I239" s="450">
        <v>1</v>
      </c>
      <c r="J239" s="448" t="s">
        <v>1801</v>
      </c>
      <c r="K239" s="449">
        <v>3.1999999999999999E-5</v>
      </c>
      <c r="L239" s="449" t="s">
        <v>414</v>
      </c>
      <c r="M239" s="922">
        <v>1.3083000000000001E-3</v>
      </c>
      <c r="N239" s="450">
        <v>2.31577E-2</v>
      </c>
      <c r="O239" s="537" t="s">
        <v>2367</v>
      </c>
      <c r="P239" s="450">
        <v>5.9147999999999997E-6</v>
      </c>
      <c r="Q239" s="537" t="s">
        <v>2367</v>
      </c>
      <c r="R239" s="543">
        <v>425.65</v>
      </c>
      <c r="S239" s="540" t="s">
        <v>414</v>
      </c>
      <c r="T239" s="543" t="s">
        <v>2035</v>
      </c>
      <c r="U239" s="540"/>
      <c r="V239" s="451" t="s">
        <v>2024</v>
      </c>
      <c r="W239" s="540"/>
      <c r="X239" s="449">
        <v>4457</v>
      </c>
      <c r="Y239" s="455" t="s">
        <v>414</v>
      </c>
      <c r="Z239" s="455" t="s">
        <v>2203</v>
      </c>
      <c r="AA239" s="455" t="s">
        <v>43</v>
      </c>
      <c r="AB239" s="455" t="s">
        <v>2203</v>
      </c>
      <c r="AC239" s="455" t="s">
        <v>43</v>
      </c>
      <c r="AD239" s="452" t="s">
        <v>1731</v>
      </c>
      <c r="AE239" s="484" t="s">
        <v>1731</v>
      </c>
      <c r="AF239" s="484" t="s">
        <v>2512</v>
      </c>
      <c r="AG239" s="452" t="s">
        <v>88</v>
      </c>
      <c r="AH239" s="550" t="s">
        <v>173</v>
      </c>
    </row>
    <row r="240" spans="1:34" s="439" customFormat="1" ht="15">
      <c r="A240" s="453" t="s">
        <v>85</v>
      </c>
      <c r="B240" s="447" t="s">
        <v>1485</v>
      </c>
      <c r="C240" s="448">
        <v>104.15</v>
      </c>
      <c r="D240" s="448" t="s">
        <v>1801</v>
      </c>
      <c r="E240" s="449">
        <v>6.4</v>
      </c>
      <c r="F240" s="449" t="s">
        <v>1801</v>
      </c>
      <c r="G240" s="450">
        <f t="shared" si="5"/>
        <v>35856607.995868653</v>
      </c>
      <c r="H240" s="450" t="s">
        <v>2207</v>
      </c>
      <c r="I240" s="450">
        <v>310</v>
      </c>
      <c r="J240" s="448" t="s">
        <v>1801</v>
      </c>
      <c r="K240" s="449">
        <v>2.7499999999999998E-3</v>
      </c>
      <c r="L240" s="449" t="s">
        <v>1801</v>
      </c>
      <c r="M240" s="922">
        <v>0.1124285</v>
      </c>
      <c r="N240" s="450">
        <v>7.1113999999999997E-2</v>
      </c>
      <c r="O240" s="537" t="s">
        <v>2367</v>
      </c>
      <c r="P240" s="450">
        <v>8.7838000000000005E-6</v>
      </c>
      <c r="Q240" s="537" t="s">
        <v>2367</v>
      </c>
      <c r="R240" s="543">
        <v>418</v>
      </c>
      <c r="S240" s="540" t="s">
        <v>414</v>
      </c>
      <c r="T240" s="543">
        <v>636</v>
      </c>
      <c r="U240" s="540" t="s">
        <v>2180</v>
      </c>
      <c r="V240" s="451">
        <v>8737</v>
      </c>
      <c r="W240" s="540" t="s">
        <v>2180</v>
      </c>
      <c r="X240" s="449">
        <v>446.1</v>
      </c>
      <c r="Y240" s="455" t="s">
        <v>414</v>
      </c>
      <c r="Z240" s="455" t="s">
        <v>2203</v>
      </c>
      <c r="AA240" s="455" t="s">
        <v>43</v>
      </c>
      <c r="AB240" s="455">
        <v>1</v>
      </c>
      <c r="AC240" s="455" t="s">
        <v>280</v>
      </c>
      <c r="AD240" s="452" t="s">
        <v>1731</v>
      </c>
      <c r="AE240" s="484" t="s">
        <v>2513</v>
      </c>
      <c r="AF240" s="484" t="s">
        <v>2514</v>
      </c>
      <c r="AG240" s="452"/>
      <c r="AH240" s="550"/>
    </row>
    <row r="241" spans="1:34" s="439" customFormat="1" ht="15">
      <c r="A241" s="453" t="s">
        <v>2162</v>
      </c>
      <c r="B241" s="921" t="s">
        <v>2166</v>
      </c>
      <c r="C241" s="448">
        <v>80.061999999999998</v>
      </c>
      <c r="D241" s="448" t="s">
        <v>1801</v>
      </c>
      <c r="E241" s="449">
        <v>263.10000000000002</v>
      </c>
      <c r="F241" s="449" t="s">
        <v>1801</v>
      </c>
      <c r="G241" s="450">
        <f t="shared" si="5"/>
        <v>1133123477.6434135</v>
      </c>
      <c r="H241" s="450" t="s">
        <v>2207</v>
      </c>
      <c r="I241" s="450" t="s">
        <v>2500</v>
      </c>
      <c r="J241" s="448" t="s">
        <v>43</v>
      </c>
      <c r="K241" s="449" t="s">
        <v>1750</v>
      </c>
      <c r="L241" s="449" t="s">
        <v>43</v>
      </c>
      <c r="M241" s="922" t="s">
        <v>1750</v>
      </c>
      <c r="N241" s="450">
        <v>0.12078220000000001</v>
      </c>
      <c r="O241" s="537" t="s">
        <v>2367</v>
      </c>
      <c r="P241" s="450">
        <v>1.6099999999999998E-5</v>
      </c>
      <c r="Q241" s="537" t="s">
        <v>2367</v>
      </c>
      <c r="R241" s="543"/>
      <c r="S241" s="540"/>
      <c r="T241" s="543" t="s">
        <v>2035</v>
      </c>
      <c r="U241" s="540"/>
      <c r="V241" s="451" t="s">
        <v>2024</v>
      </c>
      <c r="W241" s="540"/>
      <c r="X241" s="449" t="s">
        <v>1750</v>
      </c>
      <c r="Y241" s="455" t="s">
        <v>43</v>
      </c>
      <c r="Z241" s="455" t="s">
        <v>2203</v>
      </c>
      <c r="AA241" s="455" t="s">
        <v>43</v>
      </c>
      <c r="AB241" s="455">
        <v>1E-3</v>
      </c>
      <c r="AC241" s="455" t="s">
        <v>2507</v>
      </c>
      <c r="AD241" s="452" t="s">
        <v>1731</v>
      </c>
      <c r="AE241" s="484" t="s">
        <v>1731</v>
      </c>
      <c r="AF241" s="484" t="s">
        <v>2512</v>
      </c>
      <c r="AG241" s="452"/>
      <c r="AH241" s="550"/>
    </row>
    <row r="242" spans="1:34" s="439" customFormat="1" ht="15">
      <c r="A242" s="453" t="s">
        <v>2149</v>
      </c>
      <c r="B242" s="447" t="s">
        <v>834</v>
      </c>
      <c r="C242" s="448">
        <v>321.98</v>
      </c>
      <c r="D242" s="448" t="s">
        <v>1801</v>
      </c>
      <c r="E242" s="449">
        <v>1.5E-9</v>
      </c>
      <c r="F242" s="449" t="s">
        <v>1801</v>
      </c>
      <c r="G242" s="450">
        <f t="shared" si="5"/>
        <v>2.5980655850583123E-2</v>
      </c>
      <c r="H242" s="450" t="s">
        <v>2207</v>
      </c>
      <c r="I242" s="450">
        <v>2.0000000000000001E-4</v>
      </c>
      <c r="J242" s="448" t="s">
        <v>1801</v>
      </c>
      <c r="K242" s="449">
        <v>5.0000000000000002E-5</v>
      </c>
      <c r="L242" s="449" t="s">
        <v>414</v>
      </c>
      <c r="M242" s="922">
        <v>2.0441999999999999E-3</v>
      </c>
      <c r="N242" s="450">
        <v>4.7027800000000002E-2</v>
      </c>
      <c r="O242" s="537" t="s">
        <v>2367</v>
      </c>
      <c r="P242" s="450">
        <v>6.7568000000000003E-6</v>
      </c>
      <c r="Q242" s="537" t="s">
        <v>2367</v>
      </c>
      <c r="R242" s="543">
        <v>652.31999999999994</v>
      </c>
      <c r="S242" s="540" t="s">
        <v>414</v>
      </c>
      <c r="T242" s="543">
        <v>978.4799999999999</v>
      </c>
      <c r="U242" s="540" t="s">
        <v>2182</v>
      </c>
      <c r="V242" s="451" t="s">
        <v>2024</v>
      </c>
      <c r="W242" s="540"/>
      <c r="X242" s="449">
        <v>249100</v>
      </c>
      <c r="Y242" s="455" t="s">
        <v>414</v>
      </c>
      <c r="Z242" s="455">
        <v>38</v>
      </c>
      <c r="AA242" s="455" t="s">
        <v>2507</v>
      </c>
      <c r="AB242" s="455">
        <v>4.0000000000000001E-8</v>
      </c>
      <c r="AC242" s="455" t="s">
        <v>2507</v>
      </c>
      <c r="AD242" s="452" t="s">
        <v>1731</v>
      </c>
      <c r="AE242" s="484" t="s">
        <v>1731</v>
      </c>
      <c r="AF242" s="484" t="s">
        <v>2512</v>
      </c>
      <c r="AG242" s="452"/>
      <c r="AH242" s="550"/>
    </row>
    <row r="243" spans="1:34" s="439" customFormat="1" ht="15">
      <c r="A243" s="453" t="s">
        <v>1499</v>
      </c>
      <c r="B243" s="453" t="s">
        <v>1500</v>
      </c>
      <c r="C243" s="448">
        <v>288.43</v>
      </c>
      <c r="D243" s="448" t="s">
        <v>1801</v>
      </c>
      <c r="E243" s="449">
        <v>3.2000000000000003E-4</v>
      </c>
      <c r="F243" s="449" t="s">
        <v>1801</v>
      </c>
      <c r="G243" s="450">
        <f t="shared" si="5"/>
        <v>4965.0126952704741</v>
      </c>
      <c r="H243" s="450" t="s">
        <v>2207</v>
      </c>
      <c r="I243" s="450">
        <v>5.07</v>
      </c>
      <c r="J243" s="448" t="s">
        <v>1801</v>
      </c>
      <c r="K243" s="449">
        <v>2.4000000000000001E-5</v>
      </c>
      <c r="L243" s="449" t="s">
        <v>414</v>
      </c>
      <c r="M243" s="922">
        <v>9.812E-4</v>
      </c>
      <c r="N243" s="450">
        <v>2.15955E-2</v>
      </c>
      <c r="O243" s="537" t="s">
        <v>2367</v>
      </c>
      <c r="P243" s="450">
        <v>5.3859999999999998E-6</v>
      </c>
      <c r="Q243" s="537" t="s">
        <v>2367</v>
      </c>
      <c r="R243" s="543">
        <v>342.15</v>
      </c>
      <c r="S243" s="540" t="s">
        <v>414</v>
      </c>
      <c r="T243" s="543" t="s">
        <v>2035</v>
      </c>
      <c r="U243" s="540"/>
      <c r="V243" s="451" t="s">
        <v>2024</v>
      </c>
      <c r="W243" s="540"/>
      <c r="X243" s="449">
        <v>998.9</v>
      </c>
      <c r="Y243" s="455" t="s">
        <v>414</v>
      </c>
      <c r="Z243" s="455" t="s">
        <v>2203</v>
      </c>
      <c r="AA243" s="455" t="s">
        <v>43</v>
      </c>
      <c r="AB243" s="455" t="s">
        <v>2203</v>
      </c>
      <c r="AC243" s="455" t="s">
        <v>43</v>
      </c>
      <c r="AD243" s="452" t="s">
        <v>1731</v>
      </c>
      <c r="AE243" s="484" t="s">
        <v>1731</v>
      </c>
      <c r="AF243" s="484" t="s">
        <v>2512</v>
      </c>
      <c r="AG243" s="452"/>
      <c r="AH243" s="550"/>
    </row>
    <row r="244" spans="1:34" s="439" customFormat="1" ht="15">
      <c r="A244" s="453" t="s">
        <v>1505</v>
      </c>
      <c r="B244" s="453" t="s">
        <v>1506</v>
      </c>
      <c r="C244" s="448">
        <v>215.89</v>
      </c>
      <c r="D244" s="448" t="s">
        <v>1801</v>
      </c>
      <c r="E244" s="449">
        <v>5.4000000000000003E-3</v>
      </c>
      <c r="F244" s="449" t="s">
        <v>414</v>
      </c>
      <c r="G244" s="450">
        <f t="shared" si="5"/>
        <v>62712.807160993245</v>
      </c>
      <c r="H244" s="450" t="s">
        <v>2207</v>
      </c>
      <c r="I244" s="450">
        <v>0.59499999999999997</v>
      </c>
      <c r="J244" s="448" t="s">
        <v>1801</v>
      </c>
      <c r="K244" s="449">
        <v>1E-3</v>
      </c>
      <c r="L244" s="449" t="s">
        <v>1801</v>
      </c>
      <c r="M244" s="922">
        <v>4.0883099999999999E-2</v>
      </c>
      <c r="N244" s="450">
        <v>3.1895800000000002E-2</v>
      </c>
      <c r="O244" s="537" t="s">
        <v>2367</v>
      </c>
      <c r="P244" s="450">
        <v>8.7530999999999993E-6</v>
      </c>
      <c r="Q244" s="537" t="s">
        <v>2367</v>
      </c>
      <c r="R244" s="543">
        <v>517.65</v>
      </c>
      <c r="S244" s="540" t="s">
        <v>414</v>
      </c>
      <c r="T244" s="543">
        <v>776.47499999999991</v>
      </c>
      <c r="U244" s="540" t="s">
        <v>2182</v>
      </c>
      <c r="V244" s="451" t="s">
        <v>2024</v>
      </c>
      <c r="W244" s="540"/>
      <c r="X244" s="449">
        <v>2220</v>
      </c>
      <c r="Y244" s="455" t="s">
        <v>414</v>
      </c>
      <c r="Z244" s="455" t="s">
        <v>2203</v>
      </c>
      <c r="AA244" s="455" t="s">
        <v>43</v>
      </c>
      <c r="AB244" s="455" t="s">
        <v>2203</v>
      </c>
      <c r="AC244" s="455" t="s">
        <v>43</v>
      </c>
      <c r="AD244" s="452" t="s">
        <v>1731</v>
      </c>
      <c r="AE244" s="484" t="s">
        <v>1731</v>
      </c>
      <c r="AF244" s="484" t="s">
        <v>2512</v>
      </c>
      <c r="AG244" s="452"/>
      <c r="AH244" s="550"/>
    </row>
    <row r="245" spans="1:34" s="439" customFormat="1" ht="15">
      <c r="A245" s="453" t="s">
        <v>1749</v>
      </c>
      <c r="B245" s="447" t="s">
        <v>1355</v>
      </c>
      <c r="C245" s="448">
        <v>291.99</v>
      </c>
      <c r="D245" s="448" t="s">
        <v>414</v>
      </c>
      <c r="E245" s="449">
        <v>8.4500000000000004E-6</v>
      </c>
      <c r="F245" s="449" t="s">
        <v>414</v>
      </c>
      <c r="G245" s="450">
        <f t="shared" si="5"/>
        <v>132.7255831217455</v>
      </c>
      <c r="H245" s="450" t="s">
        <v>2207</v>
      </c>
      <c r="I245" s="450">
        <v>3.2245000000000003E-2</v>
      </c>
      <c r="J245" s="448" t="s">
        <v>414</v>
      </c>
      <c r="K245" s="449">
        <v>2.23E-4</v>
      </c>
      <c r="L245" s="449" t="s">
        <v>414</v>
      </c>
      <c r="M245" s="922">
        <v>9.1169000000000007E-3</v>
      </c>
      <c r="N245" s="450">
        <v>4.9383900000000001E-2</v>
      </c>
      <c r="O245" s="537" t="s">
        <v>2367</v>
      </c>
      <c r="P245" s="450">
        <v>6.2697000000000003E-6</v>
      </c>
      <c r="Q245" s="537" t="s">
        <v>2367</v>
      </c>
      <c r="R245" s="543">
        <v>632.66</v>
      </c>
      <c r="S245" s="540" t="s">
        <v>414</v>
      </c>
      <c r="T245" s="543">
        <v>948.99</v>
      </c>
      <c r="U245" s="540" t="s">
        <v>2182</v>
      </c>
      <c r="V245" s="451" t="s">
        <v>2024</v>
      </c>
      <c r="W245" s="540"/>
      <c r="X245" s="449">
        <v>78100</v>
      </c>
      <c r="Y245" s="455" t="s">
        <v>414</v>
      </c>
      <c r="Z245" s="455">
        <v>1.0999999999999999E-2</v>
      </c>
      <c r="AA245" s="455" t="s">
        <v>279</v>
      </c>
      <c r="AB245" s="455">
        <v>1.2999999999999999E-4</v>
      </c>
      <c r="AC245" s="455" t="s">
        <v>279</v>
      </c>
      <c r="AD245" s="452" t="s">
        <v>1731</v>
      </c>
      <c r="AE245" s="484" t="s">
        <v>1731</v>
      </c>
      <c r="AF245" s="484" t="s">
        <v>2512</v>
      </c>
      <c r="AG245" s="452"/>
      <c r="AH245" s="550"/>
    </row>
    <row r="246" spans="1:34" s="439" customFormat="1" ht="15">
      <c r="A246" s="453" t="s">
        <v>150</v>
      </c>
      <c r="B246" s="447" t="s">
        <v>1507</v>
      </c>
      <c r="C246" s="448">
        <v>167.85</v>
      </c>
      <c r="D246" s="448" t="s">
        <v>1801</v>
      </c>
      <c r="E246" s="449">
        <v>12</v>
      </c>
      <c r="F246" s="449" t="s">
        <v>1801</v>
      </c>
      <c r="G246" s="450">
        <f t="shared" si="5"/>
        <v>108350905.88285923</v>
      </c>
      <c r="H246" s="450" t="s">
        <v>2207</v>
      </c>
      <c r="I246" s="450">
        <v>1070</v>
      </c>
      <c r="J246" s="448" t="s">
        <v>1801</v>
      </c>
      <c r="K246" s="449">
        <v>2.5000000000000001E-3</v>
      </c>
      <c r="L246" s="449" t="s">
        <v>1801</v>
      </c>
      <c r="M246" s="922">
        <v>0.1022077</v>
      </c>
      <c r="N246" s="450">
        <v>4.8176099999999999E-2</v>
      </c>
      <c r="O246" s="537" t="s">
        <v>2367</v>
      </c>
      <c r="P246" s="450">
        <v>9.0976999999999993E-6</v>
      </c>
      <c r="Q246" s="537" t="s">
        <v>2367</v>
      </c>
      <c r="R246" s="543">
        <v>403.5</v>
      </c>
      <c r="S246" s="540" t="s">
        <v>414</v>
      </c>
      <c r="T246" s="543">
        <v>624</v>
      </c>
      <c r="U246" s="540" t="s">
        <v>2179</v>
      </c>
      <c r="V246" s="451">
        <v>9768.2825249999987</v>
      </c>
      <c r="W246" s="540" t="s">
        <v>2179</v>
      </c>
      <c r="X246" s="449">
        <v>86.03</v>
      </c>
      <c r="Y246" s="455" t="s">
        <v>414</v>
      </c>
      <c r="Z246" s="455">
        <v>7.4000000000000003E-6</v>
      </c>
      <c r="AA246" s="455" t="s">
        <v>280</v>
      </c>
      <c r="AB246" s="455" t="s">
        <v>2203</v>
      </c>
      <c r="AC246" s="455" t="s">
        <v>43</v>
      </c>
      <c r="AD246" s="452" t="s">
        <v>1731</v>
      </c>
      <c r="AE246" s="484" t="s">
        <v>1731</v>
      </c>
      <c r="AF246" s="484" t="s">
        <v>2512</v>
      </c>
      <c r="AG246" s="452"/>
      <c r="AH246" s="550"/>
    </row>
    <row r="247" spans="1:34" s="439" customFormat="1" ht="15">
      <c r="A247" s="453" t="s">
        <v>152</v>
      </c>
      <c r="B247" s="447" t="s">
        <v>1508</v>
      </c>
      <c r="C247" s="448">
        <v>167.85</v>
      </c>
      <c r="D247" s="448" t="s">
        <v>1801</v>
      </c>
      <c r="E247" s="449">
        <v>4.62</v>
      </c>
      <c r="F247" s="449" t="s">
        <v>1801</v>
      </c>
      <c r="G247" s="450">
        <f t="shared" si="5"/>
        <v>41715098.764900804</v>
      </c>
      <c r="H247" s="450" t="s">
        <v>2207</v>
      </c>
      <c r="I247" s="450">
        <v>2830</v>
      </c>
      <c r="J247" s="448" t="s">
        <v>1801</v>
      </c>
      <c r="K247" s="449">
        <v>3.6699999999999998E-4</v>
      </c>
      <c r="L247" s="449" t="s">
        <v>1801</v>
      </c>
      <c r="M247" s="922">
        <v>1.5004099999999999E-2</v>
      </c>
      <c r="N247" s="450">
        <v>4.8920600000000002E-2</v>
      </c>
      <c r="O247" s="537" t="s">
        <v>2367</v>
      </c>
      <c r="P247" s="450">
        <v>9.2901999999999996E-6</v>
      </c>
      <c r="Q247" s="537" t="s">
        <v>2367</v>
      </c>
      <c r="R247" s="543">
        <v>419.5</v>
      </c>
      <c r="S247" s="540" t="s">
        <v>414</v>
      </c>
      <c r="T247" s="543">
        <v>661.15</v>
      </c>
      <c r="U247" s="540" t="s">
        <v>2180</v>
      </c>
      <c r="V247" s="451">
        <v>8996</v>
      </c>
      <c r="W247" s="540" t="s">
        <v>2180</v>
      </c>
      <c r="X247" s="449">
        <v>94.94</v>
      </c>
      <c r="Y247" s="455" t="s">
        <v>414</v>
      </c>
      <c r="Z247" s="455">
        <v>5.8E-5</v>
      </c>
      <c r="AA247" s="455" t="s">
        <v>2507</v>
      </c>
      <c r="AB247" s="455" t="s">
        <v>2203</v>
      </c>
      <c r="AC247" s="455" t="s">
        <v>43</v>
      </c>
      <c r="AD247" s="452" t="s">
        <v>1731</v>
      </c>
      <c r="AE247" s="484" t="s">
        <v>1731</v>
      </c>
      <c r="AF247" s="484" t="s">
        <v>2512</v>
      </c>
      <c r="AG247" s="452"/>
      <c r="AH247" s="550"/>
    </row>
    <row r="248" spans="1:34" s="439" customFormat="1" ht="15">
      <c r="A248" s="453" t="s">
        <v>105</v>
      </c>
      <c r="B248" s="447" t="s">
        <v>1509</v>
      </c>
      <c r="C248" s="448">
        <v>165.83</v>
      </c>
      <c r="D248" s="448" t="s">
        <v>1801</v>
      </c>
      <c r="E248" s="449">
        <v>18.5</v>
      </c>
      <c r="F248" s="449" t="s">
        <v>1801</v>
      </c>
      <c r="G248" s="450">
        <f t="shared" si="5"/>
        <v>165030716.09932435</v>
      </c>
      <c r="H248" s="450" t="s">
        <v>2207</v>
      </c>
      <c r="I248" s="450">
        <v>206</v>
      </c>
      <c r="J248" s="448" t="s">
        <v>1801</v>
      </c>
      <c r="K248" s="449">
        <v>1.77E-2</v>
      </c>
      <c r="L248" s="449" t="s">
        <v>1801</v>
      </c>
      <c r="M248" s="922">
        <v>0.72363040000000001</v>
      </c>
      <c r="N248" s="450">
        <v>5.0466400000000002E-2</v>
      </c>
      <c r="O248" s="537" t="s">
        <v>2367</v>
      </c>
      <c r="P248" s="450">
        <v>9.4551000000000003E-6</v>
      </c>
      <c r="Q248" s="537" t="s">
        <v>2367</v>
      </c>
      <c r="R248" s="543">
        <v>394.3</v>
      </c>
      <c r="S248" s="540" t="s">
        <v>414</v>
      </c>
      <c r="T248" s="543">
        <v>620.20000000000005</v>
      </c>
      <c r="U248" s="540" t="s">
        <v>2180</v>
      </c>
      <c r="V248" s="451">
        <v>8288</v>
      </c>
      <c r="W248" s="540" t="s">
        <v>2180</v>
      </c>
      <c r="X248" s="449">
        <v>94.94</v>
      </c>
      <c r="Y248" s="455" t="s">
        <v>414</v>
      </c>
      <c r="Z248" s="455">
        <v>2.6E-7</v>
      </c>
      <c r="AA248" s="455" t="s">
        <v>280</v>
      </c>
      <c r="AB248" s="455">
        <v>0.04</v>
      </c>
      <c r="AC248" s="455" t="s">
        <v>280</v>
      </c>
      <c r="AD248" s="452" t="s">
        <v>1731</v>
      </c>
      <c r="AE248" s="484" t="s">
        <v>1731</v>
      </c>
      <c r="AF248" s="484" t="s">
        <v>2512</v>
      </c>
      <c r="AG248" s="452"/>
      <c r="AH248" s="550"/>
    </row>
    <row r="249" spans="1:34" s="439" customFormat="1" ht="15">
      <c r="A249" s="453" t="s">
        <v>1512</v>
      </c>
      <c r="B249" s="453" t="s">
        <v>1513</v>
      </c>
      <c r="C249" s="448">
        <v>229.92</v>
      </c>
      <c r="D249" s="448" t="s">
        <v>1801</v>
      </c>
      <c r="E249" s="449">
        <v>3.8300000000000001E-2</v>
      </c>
      <c r="F249" s="449" t="s">
        <v>1801</v>
      </c>
      <c r="G249" s="450">
        <f t="shared" si="5"/>
        <v>473702.28514868522</v>
      </c>
      <c r="H249" s="450" t="s">
        <v>2207</v>
      </c>
      <c r="I249" s="450">
        <v>4.0389999999999997</v>
      </c>
      <c r="J249" s="448" t="s">
        <v>1801</v>
      </c>
      <c r="K249" s="449">
        <v>1.93E-4</v>
      </c>
      <c r="L249" s="449" t="s">
        <v>1801</v>
      </c>
      <c r="M249" s="922">
        <v>7.8904000000000005E-3</v>
      </c>
      <c r="N249" s="450">
        <v>2.7587299999999999E-2</v>
      </c>
      <c r="O249" s="537" t="s">
        <v>2367</v>
      </c>
      <c r="P249" s="450">
        <v>7.2524000000000002E-6</v>
      </c>
      <c r="Q249" s="537" t="s">
        <v>2367</v>
      </c>
      <c r="R249" s="543">
        <v>518.15</v>
      </c>
      <c r="S249" s="540" t="s">
        <v>414</v>
      </c>
      <c r="T249" s="543">
        <v>777.22499999999991</v>
      </c>
      <c r="U249" s="540" t="s">
        <v>2182</v>
      </c>
      <c r="V249" s="451" t="s">
        <v>2024</v>
      </c>
      <c r="W249" s="540"/>
      <c r="X249" s="449">
        <v>1606</v>
      </c>
      <c r="Y249" s="455" t="s">
        <v>414</v>
      </c>
      <c r="Z249" s="455" t="s">
        <v>2203</v>
      </c>
      <c r="AA249" s="455" t="s">
        <v>43</v>
      </c>
      <c r="AB249" s="455" t="s">
        <v>2203</v>
      </c>
      <c r="AC249" s="455" t="s">
        <v>43</v>
      </c>
      <c r="AD249" s="452" t="s">
        <v>1731</v>
      </c>
      <c r="AE249" s="484" t="s">
        <v>1731</v>
      </c>
      <c r="AF249" s="484" t="s">
        <v>2512</v>
      </c>
      <c r="AG249" s="452"/>
      <c r="AH249" s="550"/>
    </row>
    <row r="250" spans="1:34" s="439" customFormat="1" ht="15">
      <c r="A250" s="453" t="s">
        <v>2158</v>
      </c>
      <c r="B250" s="453" t="s">
        <v>1043</v>
      </c>
      <c r="C250" s="448">
        <v>323.44</v>
      </c>
      <c r="D250" s="448" t="s">
        <v>1801</v>
      </c>
      <c r="E250" s="449">
        <v>0.26</v>
      </c>
      <c r="F250" s="449" t="s">
        <v>1801</v>
      </c>
      <c r="G250" s="450">
        <f t="shared" si="5"/>
        <v>4523733.7005637567</v>
      </c>
      <c r="H250" s="450" t="s">
        <v>2207</v>
      </c>
      <c r="I250" s="450">
        <v>0.28999999999999998</v>
      </c>
      <c r="J250" s="448" t="s">
        <v>1801</v>
      </c>
      <c r="K250" s="449">
        <v>0.56799999999999995</v>
      </c>
      <c r="L250" s="449" t="s">
        <v>1801</v>
      </c>
      <c r="M250" s="922">
        <v>23.221585999999999</v>
      </c>
      <c r="N250" s="450">
        <v>2.4640100000000002E-2</v>
      </c>
      <c r="O250" s="537" t="s">
        <v>2367</v>
      </c>
      <c r="P250" s="450">
        <v>6.4026000000000003E-6</v>
      </c>
      <c r="Q250" s="537" t="s">
        <v>2367</v>
      </c>
      <c r="R250" s="543">
        <v>473.15</v>
      </c>
      <c r="S250" s="540" t="s">
        <v>414</v>
      </c>
      <c r="T250" s="543" t="s">
        <v>2035</v>
      </c>
      <c r="U250" s="540"/>
      <c r="V250" s="451" t="s">
        <v>2024</v>
      </c>
      <c r="W250" s="540"/>
      <c r="X250" s="449">
        <v>647.9</v>
      </c>
      <c r="Y250" s="455" t="s">
        <v>414</v>
      </c>
      <c r="Z250" s="455" t="s">
        <v>2203</v>
      </c>
      <c r="AA250" s="455" t="s">
        <v>43</v>
      </c>
      <c r="AB250" s="455" t="s">
        <v>2203</v>
      </c>
      <c r="AC250" s="455" t="s">
        <v>43</v>
      </c>
      <c r="AD250" s="452" t="s">
        <v>1731</v>
      </c>
      <c r="AE250" s="484" t="s">
        <v>1731</v>
      </c>
      <c r="AF250" s="484" t="s">
        <v>2512</v>
      </c>
      <c r="AG250" s="452"/>
      <c r="AH250" s="550"/>
    </row>
    <row r="251" spans="1:34" s="439" customFormat="1" ht="15">
      <c r="A251" s="453" t="s">
        <v>1516</v>
      </c>
      <c r="B251" s="447" t="s">
        <v>1517</v>
      </c>
      <c r="C251" s="448">
        <v>102.03</v>
      </c>
      <c r="D251" s="448" t="s">
        <v>1801</v>
      </c>
      <c r="E251" s="449">
        <v>4990</v>
      </c>
      <c r="F251" s="449" t="s">
        <v>1801</v>
      </c>
      <c r="G251" s="450">
        <f t="shared" si="5"/>
        <v>27387878168.438267</v>
      </c>
      <c r="H251" s="450" t="s">
        <v>2207</v>
      </c>
      <c r="I251" s="450">
        <v>2040</v>
      </c>
      <c r="J251" s="448" t="s">
        <v>1801</v>
      </c>
      <c r="K251" s="449">
        <v>0.05</v>
      </c>
      <c r="L251" s="449" t="s">
        <v>1801</v>
      </c>
      <c r="M251" s="922">
        <v>2.0441536999999999</v>
      </c>
      <c r="N251" s="450">
        <v>8.2306599999999994E-2</v>
      </c>
      <c r="O251" s="537" t="s">
        <v>2367</v>
      </c>
      <c r="P251" s="450">
        <v>1.06E-5</v>
      </c>
      <c r="Q251" s="537" t="s">
        <v>2367</v>
      </c>
      <c r="R251" s="543">
        <v>403.5</v>
      </c>
      <c r="S251" s="540" t="s">
        <v>2173</v>
      </c>
      <c r="T251" s="543">
        <v>624</v>
      </c>
      <c r="U251" s="540" t="s">
        <v>2179</v>
      </c>
      <c r="V251" s="451">
        <v>5933.96</v>
      </c>
      <c r="W251" s="540" t="s">
        <v>2174</v>
      </c>
      <c r="X251" s="449">
        <v>86.03</v>
      </c>
      <c r="Y251" s="455" t="s">
        <v>414</v>
      </c>
      <c r="Z251" s="455" t="s">
        <v>2203</v>
      </c>
      <c r="AA251" s="455" t="s">
        <v>43</v>
      </c>
      <c r="AB251" s="455">
        <v>80</v>
      </c>
      <c r="AC251" s="455" t="s">
        <v>280</v>
      </c>
      <c r="AD251" s="452" t="s">
        <v>1731</v>
      </c>
      <c r="AE251" s="484" t="s">
        <v>1731</v>
      </c>
      <c r="AF251" s="484" t="s">
        <v>2512</v>
      </c>
      <c r="AG251" s="452"/>
      <c r="AH251" s="550"/>
    </row>
    <row r="252" spans="1:34" s="439" customFormat="1" ht="15">
      <c r="A252" s="453" t="s">
        <v>2066</v>
      </c>
      <c r="B252" s="447" t="s">
        <v>1820</v>
      </c>
      <c r="C252" s="448">
        <v>72.108000000000004</v>
      </c>
      <c r="D252" s="448" t="s">
        <v>1801</v>
      </c>
      <c r="E252" s="449">
        <v>162.19999999999999</v>
      </c>
      <c r="F252" s="449" t="s">
        <v>1801</v>
      </c>
      <c r="G252" s="450">
        <f t="shared" si="5"/>
        <v>629164565.13319266</v>
      </c>
      <c r="H252" s="450" t="s">
        <v>2207</v>
      </c>
      <c r="I252" s="450">
        <v>1000000</v>
      </c>
      <c r="J252" s="448" t="s">
        <v>1801</v>
      </c>
      <c r="K252" s="449">
        <v>7.0500000000000006E-5</v>
      </c>
      <c r="L252" s="449" t="s">
        <v>1801</v>
      </c>
      <c r="M252" s="922">
        <v>2.8823E-3</v>
      </c>
      <c r="N252" s="450">
        <v>9.9375099999999994E-2</v>
      </c>
      <c r="O252" s="537" t="s">
        <v>2367</v>
      </c>
      <c r="P252" s="450">
        <v>1.08E-5</v>
      </c>
      <c r="Q252" s="537" t="s">
        <v>2367</v>
      </c>
      <c r="R252" s="543">
        <v>339</v>
      </c>
      <c r="S252" s="540" t="s">
        <v>2178</v>
      </c>
      <c r="T252" s="543">
        <v>541.15</v>
      </c>
      <c r="U252" s="540" t="s">
        <v>2179</v>
      </c>
      <c r="V252" s="451">
        <v>7073.991</v>
      </c>
      <c r="W252" s="540" t="s">
        <v>2174</v>
      </c>
      <c r="X252" s="449">
        <v>10.75</v>
      </c>
      <c r="Y252" s="455" t="s">
        <v>414</v>
      </c>
      <c r="Z252" s="455" t="s">
        <v>2203</v>
      </c>
      <c r="AA252" s="455" t="s">
        <v>43</v>
      </c>
      <c r="AB252" s="455">
        <v>2</v>
      </c>
      <c r="AC252" s="455" t="s">
        <v>280</v>
      </c>
      <c r="AD252" s="452" t="s">
        <v>1731</v>
      </c>
      <c r="AE252" s="484" t="s">
        <v>1731</v>
      </c>
      <c r="AF252" s="484" t="s">
        <v>2512</v>
      </c>
      <c r="AG252" s="452" t="s">
        <v>111</v>
      </c>
      <c r="AH252" s="550"/>
    </row>
    <row r="253" spans="1:34" s="439" customFormat="1" ht="15">
      <c r="A253" s="453" t="s">
        <v>1912</v>
      </c>
      <c r="B253" s="453" t="s">
        <v>1913</v>
      </c>
      <c r="C253" s="448">
        <v>263.42</v>
      </c>
      <c r="D253" s="448" t="s">
        <v>1801</v>
      </c>
      <c r="E253" s="449">
        <v>14.7</v>
      </c>
      <c r="F253" s="449" t="s">
        <v>1801</v>
      </c>
      <c r="G253" s="450">
        <f t="shared" si="5"/>
        <v>208303244.82506347</v>
      </c>
      <c r="H253" s="450" t="s">
        <v>2207</v>
      </c>
      <c r="I253" s="450">
        <v>28030</v>
      </c>
      <c r="J253" s="448" t="s">
        <v>1801</v>
      </c>
      <c r="K253" s="449" t="s">
        <v>1750</v>
      </c>
      <c r="L253" s="449" t="s">
        <v>43</v>
      </c>
      <c r="M253" s="922" t="s">
        <v>1750</v>
      </c>
      <c r="N253" s="450">
        <v>3.8883000000000001E-2</v>
      </c>
      <c r="O253" s="537" t="s">
        <v>2367</v>
      </c>
      <c r="P253" s="450">
        <v>1.17E-5</v>
      </c>
      <c r="Q253" s="537" t="s">
        <v>2367</v>
      </c>
      <c r="R253" s="543"/>
      <c r="S253" s="540"/>
      <c r="T253" s="543" t="s">
        <v>2035</v>
      </c>
      <c r="U253" s="540"/>
      <c r="V253" s="451" t="s">
        <v>2024</v>
      </c>
      <c r="W253" s="540"/>
      <c r="X253" s="449">
        <v>1.508</v>
      </c>
      <c r="Y253" s="455" t="s">
        <v>414</v>
      </c>
      <c r="Z253" s="455" t="s">
        <v>2203</v>
      </c>
      <c r="AA253" s="455" t="s">
        <v>43</v>
      </c>
      <c r="AB253" s="455" t="s">
        <v>2203</v>
      </c>
      <c r="AC253" s="455" t="s">
        <v>43</v>
      </c>
      <c r="AD253" s="452" t="s">
        <v>1731</v>
      </c>
      <c r="AE253" s="484" t="s">
        <v>1731</v>
      </c>
      <c r="AF253" s="484" t="s">
        <v>2512</v>
      </c>
      <c r="AG253" s="452" t="s">
        <v>69</v>
      </c>
      <c r="AH253" s="550"/>
    </row>
    <row r="254" spans="1:34" s="439" customFormat="1" ht="15">
      <c r="A254" s="453" t="s">
        <v>1914</v>
      </c>
      <c r="B254" s="453" t="s">
        <v>1915</v>
      </c>
      <c r="C254" s="448">
        <v>468.75</v>
      </c>
      <c r="D254" s="448" t="s">
        <v>1801</v>
      </c>
      <c r="E254" s="449">
        <v>5.81</v>
      </c>
      <c r="F254" s="449" t="s">
        <v>1801</v>
      </c>
      <c r="G254" s="450">
        <f t="shared" si="5"/>
        <v>146503286.78400823</v>
      </c>
      <c r="H254" s="450" t="s">
        <v>2207</v>
      </c>
      <c r="I254" s="450">
        <v>52000</v>
      </c>
      <c r="J254" s="448" t="s">
        <v>1801</v>
      </c>
      <c r="K254" s="449" t="s">
        <v>1750</v>
      </c>
      <c r="L254" s="449" t="s">
        <v>43</v>
      </c>
      <c r="M254" s="922" t="s">
        <v>1750</v>
      </c>
      <c r="N254" s="450">
        <v>3.9344900000000002E-2</v>
      </c>
      <c r="O254" s="537" t="s">
        <v>2367</v>
      </c>
      <c r="P254" s="450">
        <v>1.2300000000000001E-5</v>
      </c>
      <c r="Q254" s="537" t="s">
        <v>2367</v>
      </c>
      <c r="R254" s="543"/>
      <c r="S254" s="540"/>
      <c r="T254" s="543" t="s">
        <v>2035</v>
      </c>
      <c r="U254" s="540"/>
      <c r="V254" s="451" t="s">
        <v>2024</v>
      </c>
      <c r="W254" s="540"/>
      <c r="X254" s="449">
        <v>2.8769999999999998</v>
      </c>
      <c r="Y254" s="455" t="s">
        <v>414</v>
      </c>
      <c r="Z254" s="455" t="s">
        <v>2203</v>
      </c>
      <c r="AA254" s="455" t="s">
        <v>43</v>
      </c>
      <c r="AB254" s="455" t="s">
        <v>2203</v>
      </c>
      <c r="AC254" s="455" t="s">
        <v>43</v>
      </c>
      <c r="AD254" s="452" t="s">
        <v>1731</v>
      </c>
      <c r="AE254" s="484" t="s">
        <v>1731</v>
      </c>
      <c r="AF254" s="484" t="s">
        <v>2512</v>
      </c>
      <c r="AG254" s="452"/>
      <c r="AH254" s="550"/>
    </row>
    <row r="255" spans="1:34" s="439" customFormat="1" ht="15">
      <c r="A255" s="453" t="s">
        <v>2161</v>
      </c>
      <c r="B255" s="453" t="s">
        <v>660</v>
      </c>
      <c r="C255" s="448">
        <v>59.09</v>
      </c>
      <c r="D255" s="448" t="s">
        <v>1801</v>
      </c>
      <c r="E255" s="449">
        <v>4.7300000000000004</v>
      </c>
      <c r="F255" s="449" t="s">
        <v>2058</v>
      </c>
      <c r="G255" s="450">
        <f t="shared" si="5"/>
        <v>15035057.236304171</v>
      </c>
      <c r="H255" s="450" t="s">
        <v>2207</v>
      </c>
      <c r="I255" s="450" t="s">
        <v>2500</v>
      </c>
      <c r="J255" s="448" t="s">
        <v>43</v>
      </c>
      <c r="K255" s="449" t="s">
        <v>1750</v>
      </c>
      <c r="L255" s="449" t="s">
        <v>43</v>
      </c>
      <c r="M255" s="922" t="s">
        <v>1750</v>
      </c>
      <c r="N255" s="450">
        <v>0.1214751</v>
      </c>
      <c r="O255" s="537" t="s">
        <v>2367</v>
      </c>
      <c r="P255" s="450">
        <v>1.4100000000000001E-5</v>
      </c>
      <c r="Q255" s="537" t="s">
        <v>2367</v>
      </c>
      <c r="R255" s="543"/>
      <c r="S255" s="540"/>
      <c r="T255" s="543" t="s">
        <v>2035</v>
      </c>
      <c r="U255" s="540"/>
      <c r="V255" s="451" t="s">
        <v>2024</v>
      </c>
      <c r="W255" s="540"/>
      <c r="X255" s="449" t="s">
        <v>1750</v>
      </c>
      <c r="Y255" s="455" t="s">
        <v>43</v>
      </c>
      <c r="Z255" s="455" t="s">
        <v>2203</v>
      </c>
      <c r="AA255" s="455" t="s">
        <v>43</v>
      </c>
      <c r="AB255" s="455" t="s">
        <v>2203</v>
      </c>
      <c r="AC255" s="455" t="s">
        <v>43</v>
      </c>
      <c r="AD255" s="452" t="s">
        <v>1731</v>
      </c>
      <c r="AE255" s="484" t="s">
        <v>1731</v>
      </c>
      <c r="AF255" s="484" t="s">
        <v>2512</v>
      </c>
      <c r="AG255" s="452"/>
      <c r="AH255" s="550"/>
    </row>
    <row r="256" spans="1:34" s="439" customFormat="1" ht="15">
      <c r="A256" s="453" t="s">
        <v>1534</v>
      </c>
      <c r="B256" s="447" t="s">
        <v>1535</v>
      </c>
      <c r="C256" s="448">
        <v>189.679</v>
      </c>
      <c r="D256" s="448" t="s">
        <v>1796</v>
      </c>
      <c r="E256" s="449">
        <v>10</v>
      </c>
      <c r="F256" s="449" t="s">
        <v>2171</v>
      </c>
      <c r="G256" s="450">
        <f t="shared" si="5"/>
        <v>102035008.8221371</v>
      </c>
      <c r="H256" s="450" t="s">
        <v>2207</v>
      </c>
      <c r="I256" s="450" t="s">
        <v>2500</v>
      </c>
      <c r="J256" s="448" t="s">
        <v>43</v>
      </c>
      <c r="K256" s="449" t="s">
        <v>1750</v>
      </c>
      <c r="L256" s="449" t="s">
        <v>43</v>
      </c>
      <c r="M256" s="922" t="s">
        <v>1750</v>
      </c>
      <c r="N256" s="450">
        <v>3.7971600000000001E-2</v>
      </c>
      <c r="O256" s="537" t="s">
        <v>2367</v>
      </c>
      <c r="P256" s="450">
        <v>9.0633000000000001E-6</v>
      </c>
      <c r="Q256" s="537" t="s">
        <v>2367</v>
      </c>
      <c r="R256" s="543">
        <v>421.15</v>
      </c>
      <c r="S256" s="540" t="s">
        <v>414</v>
      </c>
      <c r="T256" s="543">
        <v>643.15</v>
      </c>
      <c r="U256" s="540" t="s">
        <v>2174</v>
      </c>
      <c r="V256" s="451">
        <v>8646.2252000000008</v>
      </c>
      <c r="W256" s="540" t="s">
        <v>2174</v>
      </c>
      <c r="X256" s="449" t="s">
        <v>1750</v>
      </c>
      <c r="Y256" s="455" t="s">
        <v>43</v>
      </c>
      <c r="Z256" s="455" t="s">
        <v>2203</v>
      </c>
      <c r="AA256" s="455" t="s">
        <v>43</v>
      </c>
      <c r="AB256" s="455">
        <v>1E-4</v>
      </c>
      <c r="AC256" s="455" t="s">
        <v>18</v>
      </c>
      <c r="AD256" s="452" t="s">
        <v>1731</v>
      </c>
      <c r="AE256" s="484" t="s">
        <v>1731</v>
      </c>
      <c r="AF256" s="484" t="s">
        <v>2512</v>
      </c>
      <c r="AG256" s="452"/>
      <c r="AH256" s="550"/>
    </row>
    <row r="257" spans="1:34" s="439" customFormat="1" ht="15">
      <c r="A257" s="453" t="s">
        <v>95</v>
      </c>
      <c r="B257" s="447" t="s">
        <v>1536</v>
      </c>
      <c r="C257" s="448">
        <v>92.141999999999996</v>
      </c>
      <c r="D257" s="448" t="s">
        <v>1801</v>
      </c>
      <c r="E257" s="449">
        <v>28.4</v>
      </c>
      <c r="F257" s="449" t="s">
        <v>1801</v>
      </c>
      <c r="G257" s="450">
        <f t="shared" si="5"/>
        <v>140768644.83367044</v>
      </c>
      <c r="H257" s="450" t="s">
        <v>2207</v>
      </c>
      <c r="I257" s="450">
        <v>526</v>
      </c>
      <c r="J257" s="448" t="s">
        <v>1801</v>
      </c>
      <c r="K257" s="449">
        <v>6.6400000000000001E-3</v>
      </c>
      <c r="L257" s="449" t="s">
        <v>1801</v>
      </c>
      <c r="M257" s="922">
        <v>0.27146360000000003</v>
      </c>
      <c r="N257" s="450">
        <v>7.7803899999999995E-2</v>
      </c>
      <c r="O257" s="537" t="s">
        <v>2367</v>
      </c>
      <c r="P257" s="450">
        <v>9.2042999999999993E-6</v>
      </c>
      <c r="Q257" s="537" t="s">
        <v>2367</v>
      </c>
      <c r="R257" s="543">
        <v>383.6</v>
      </c>
      <c r="S257" s="540" t="s">
        <v>414</v>
      </c>
      <c r="T257" s="543">
        <v>591.79</v>
      </c>
      <c r="U257" s="540" t="s">
        <v>2180</v>
      </c>
      <c r="V257" s="451">
        <v>7930</v>
      </c>
      <c r="W257" s="540" t="s">
        <v>2180</v>
      </c>
      <c r="X257" s="449">
        <v>233.9</v>
      </c>
      <c r="Y257" s="455" t="s">
        <v>414</v>
      </c>
      <c r="Z257" s="455" t="s">
        <v>2203</v>
      </c>
      <c r="AA257" s="455" t="s">
        <v>43</v>
      </c>
      <c r="AB257" s="455">
        <v>5</v>
      </c>
      <c r="AC257" s="455" t="s">
        <v>280</v>
      </c>
      <c r="AD257" s="452" t="s">
        <v>1731</v>
      </c>
      <c r="AE257" s="484" t="s">
        <v>2513</v>
      </c>
      <c r="AF257" s="484" t="s">
        <v>2512</v>
      </c>
      <c r="AG257" s="452"/>
      <c r="AH257" s="550"/>
    </row>
    <row r="258" spans="1:34" s="439" customFormat="1" ht="15">
      <c r="A258" s="453" t="s">
        <v>1545</v>
      </c>
      <c r="B258" s="453" t="s">
        <v>1546</v>
      </c>
      <c r="C258" s="448">
        <v>304.67</v>
      </c>
      <c r="D258" s="448" t="s">
        <v>1801</v>
      </c>
      <c r="E258" s="449">
        <v>1.2E-4</v>
      </c>
      <c r="F258" s="449" t="s">
        <v>1801</v>
      </c>
      <c r="G258" s="450">
        <f t="shared" si="5"/>
        <v>1966.71257046951</v>
      </c>
      <c r="H258" s="450" t="s">
        <v>2207</v>
      </c>
      <c r="I258" s="450">
        <v>4</v>
      </c>
      <c r="J258" s="448" t="s">
        <v>1801</v>
      </c>
      <c r="K258" s="449">
        <v>1.2E-5</v>
      </c>
      <c r="L258" s="449" t="s">
        <v>414</v>
      </c>
      <c r="M258" s="922">
        <v>4.906E-4</v>
      </c>
      <c r="N258" s="450">
        <v>2.2457499999999998E-2</v>
      </c>
      <c r="O258" s="537" t="s">
        <v>2367</v>
      </c>
      <c r="P258" s="450">
        <v>5.6737999999999998E-6</v>
      </c>
      <c r="Q258" s="537" t="s">
        <v>2367</v>
      </c>
      <c r="R258" s="543">
        <v>390.15</v>
      </c>
      <c r="S258" s="540" t="s">
        <v>414</v>
      </c>
      <c r="T258" s="543">
        <v>585.22499999999991</v>
      </c>
      <c r="U258" s="540" t="s">
        <v>2182</v>
      </c>
      <c r="V258" s="451" t="s">
        <v>2024</v>
      </c>
      <c r="W258" s="540"/>
      <c r="X258" s="449">
        <v>1008</v>
      </c>
      <c r="Y258" s="455" t="s">
        <v>414</v>
      </c>
      <c r="Z258" s="455" t="s">
        <v>2203</v>
      </c>
      <c r="AA258" s="455" t="s">
        <v>43</v>
      </c>
      <c r="AB258" s="455" t="s">
        <v>2203</v>
      </c>
      <c r="AC258" s="455" t="s">
        <v>43</v>
      </c>
      <c r="AD258" s="452" t="s">
        <v>1731</v>
      </c>
      <c r="AE258" s="484" t="s">
        <v>1731</v>
      </c>
      <c r="AF258" s="484" t="s">
        <v>2512</v>
      </c>
      <c r="AG258" s="452"/>
      <c r="AH258" s="550"/>
    </row>
    <row r="259" spans="1:34" s="439" customFormat="1" ht="15">
      <c r="A259" s="453" t="s">
        <v>1549</v>
      </c>
      <c r="B259" s="453" t="s">
        <v>1550</v>
      </c>
      <c r="C259" s="448">
        <v>314.8</v>
      </c>
      <c r="D259" s="448" t="s">
        <v>1801</v>
      </c>
      <c r="E259" s="449">
        <v>5.4799999999999996E-3</v>
      </c>
      <c r="F259" s="449" t="s">
        <v>1801</v>
      </c>
      <c r="G259" s="450">
        <f t="shared" si="5"/>
        <v>92799.414726513744</v>
      </c>
      <c r="H259" s="450" t="s">
        <v>2207</v>
      </c>
      <c r="I259" s="450">
        <v>4.8979999999999997</v>
      </c>
      <c r="J259" s="448" t="s">
        <v>1801</v>
      </c>
      <c r="K259" s="449">
        <v>3.4099999999999999E-4</v>
      </c>
      <c r="L259" s="449" t="s">
        <v>1801</v>
      </c>
      <c r="M259" s="922">
        <v>1.39411E-2</v>
      </c>
      <c r="N259" s="450">
        <v>2.8968899999999999E-2</v>
      </c>
      <c r="O259" s="537" t="s">
        <v>2367</v>
      </c>
      <c r="P259" s="450">
        <v>7.8945000000000004E-6</v>
      </c>
      <c r="Q259" s="537" t="s">
        <v>2367</v>
      </c>
      <c r="R259" s="543">
        <v>548.15</v>
      </c>
      <c r="S259" s="540" t="s">
        <v>414</v>
      </c>
      <c r="T259" s="543">
        <v>822.22499999999991</v>
      </c>
      <c r="U259" s="540" t="s">
        <v>2182</v>
      </c>
      <c r="V259" s="451" t="s">
        <v>2024</v>
      </c>
      <c r="W259" s="540"/>
      <c r="X259" s="449">
        <v>614.29999999999995</v>
      </c>
      <c r="Y259" s="455" t="s">
        <v>414</v>
      </c>
      <c r="Z259" s="455" t="s">
        <v>2203</v>
      </c>
      <c r="AA259" s="455" t="s">
        <v>43</v>
      </c>
      <c r="AB259" s="455" t="s">
        <v>2203</v>
      </c>
      <c r="AC259" s="455" t="s">
        <v>43</v>
      </c>
      <c r="AD259" s="452" t="s">
        <v>1731</v>
      </c>
      <c r="AE259" s="484" t="s">
        <v>1731</v>
      </c>
      <c r="AF259" s="484" t="s">
        <v>2512</v>
      </c>
      <c r="AG259" s="452"/>
      <c r="AH259" s="550"/>
    </row>
    <row r="260" spans="1:34" s="439" customFormat="1" ht="15">
      <c r="A260" s="453" t="s">
        <v>153</v>
      </c>
      <c r="B260" s="447" t="s">
        <v>1556</v>
      </c>
      <c r="C260" s="448">
        <v>187.38</v>
      </c>
      <c r="D260" s="448" t="s">
        <v>1801</v>
      </c>
      <c r="E260" s="449">
        <v>362.5</v>
      </c>
      <c r="F260" s="449" t="s">
        <v>1801</v>
      </c>
      <c r="G260" s="450">
        <f t="shared" si="5"/>
        <v>3653938223.52283</v>
      </c>
      <c r="H260" s="450" t="s">
        <v>2207</v>
      </c>
      <c r="I260" s="450">
        <v>170</v>
      </c>
      <c r="J260" s="448" t="s">
        <v>1801</v>
      </c>
      <c r="K260" s="449">
        <v>0.52600000000000002</v>
      </c>
      <c r="L260" s="449" t="s">
        <v>414</v>
      </c>
      <c r="M260" s="922">
        <v>21.504497000000001</v>
      </c>
      <c r="N260" s="450">
        <v>3.7565800000000003E-2</v>
      </c>
      <c r="O260" s="537" t="s">
        <v>2367</v>
      </c>
      <c r="P260" s="450">
        <v>8.5920000000000001E-6</v>
      </c>
      <c r="Q260" s="537" t="s">
        <v>2367</v>
      </c>
      <c r="R260" s="543">
        <v>320.7</v>
      </c>
      <c r="S260" s="540" t="s">
        <v>414</v>
      </c>
      <c r="T260" s="543">
        <v>487.3</v>
      </c>
      <c r="U260" s="540" t="s">
        <v>2181</v>
      </c>
      <c r="V260" s="451">
        <v>6462.56</v>
      </c>
      <c r="W260" s="540" t="s">
        <v>2181</v>
      </c>
      <c r="X260" s="449">
        <v>196.8</v>
      </c>
      <c r="Y260" s="455" t="s">
        <v>414</v>
      </c>
      <c r="Z260" s="455" t="s">
        <v>2203</v>
      </c>
      <c r="AA260" s="455" t="s">
        <v>43</v>
      </c>
      <c r="AB260" s="455">
        <v>5</v>
      </c>
      <c r="AC260" s="455" t="s">
        <v>281</v>
      </c>
      <c r="AD260" s="452" t="s">
        <v>1731</v>
      </c>
      <c r="AE260" s="484" t="s">
        <v>1731</v>
      </c>
      <c r="AF260" s="484" t="s">
        <v>2512</v>
      </c>
      <c r="AG260" s="452"/>
      <c r="AH260" s="550"/>
    </row>
    <row r="261" spans="1:34" s="439" customFormat="1" ht="15">
      <c r="A261" s="453" t="s">
        <v>1563</v>
      </c>
      <c r="B261" s="447" t="s">
        <v>1564</v>
      </c>
      <c r="C261" s="448">
        <v>181.45</v>
      </c>
      <c r="D261" s="448" t="s">
        <v>1801</v>
      </c>
      <c r="E261" s="449">
        <v>0.21</v>
      </c>
      <c r="F261" s="449" t="s">
        <v>1801</v>
      </c>
      <c r="G261" s="450">
        <f t="shared" si="5"/>
        <v>2049775.1430907603</v>
      </c>
      <c r="H261" s="450" t="s">
        <v>2207</v>
      </c>
      <c r="I261" s="450">
        <v>18</v>
      </c>
      <c r="J261" s="448" t="s">
        <v>1801</v>
      </c>
      <c r="K261" s="449">
        <v>1.25E-3</v>
      </c>
      <c r="L261" s="449" t="s">
        <v>1801</v>
      </c>
      <c r="M261" s="922">
        <v>5.1103799999999998E-2</v>
      </c>
      <c r="N261" s="450">
        <v>3.9530000000000003E-2</v>
      </c>
      <c r="O261" s="537" t="s">
        <v>2367</v>
      </c>
      <c r="P261" s="450">
        <v>8.3836000000000005E-6</v>
      </c>
      <c r="Q261" s="537" t="s">
        <v>2367</v>
      </c>
      <c r="R261" s="543">
        <v>491.5</v>
      </c>
      <c r="S261" s="540" t="s">
        <v>2177</v>
      </c>
      <c r="T261" s="543">
        <v>762.5</v>
      </c>
      <c r="U261" s="540" t="s">
        <v>2179</v>
      </c>
      <c r="V261" s="451">
        <v>12611.53</v>
      </c>
      <c r="W261" s="540" t="s">
        <v>2179</v>
      </c>
      <c r="X261" s="449">
        <v>1383</v>
      </c>
      <c r="Y261" s="455" t="s">
        <v>414</v>
      </c>
      <c r="Z261" s="455" t="s">
        <v>2203</v>
      </c>
      <c r="AA261" s="455" t="s">
        <v>43</v>
      </c>
      <c r="AB261" s="455" t="s">
        <v>2203</v>
      </c>
      <c r="AC261" s="455" t="s">
        <v>43</v>
      </c>
      <c r="AD261" s="452" t="s">
        <v>1731</v>
      </c>
      <c r="AE261" s="484" t="s">
        <v>1731</v>
      </c>
      <c r="AF261" s="484" t="s">
        <v>2512</v>
      </c>
      <c r="AG261" s="452"/>
      <c r="AH261" s="550"/>
    </row>
    <row r="262" spans="1:34" s="439" customFormat="1" ht="15">
      <c r="A262" s="453" t="s">
        <v>158</v>
      </c>
      <c r="B262" s="447" t="s">
        <v>1565</v>
      </c>
      <c r="C262" s="448">
        <v>181.45</v>
      </c>
      <c r="D262" s="448" t="s">
        <v>1801</v>
      </c>
      <c r="E262" s="449">
        <v>0.46</v>
      </c>
      <c r="F262" s="449" t="s">
        <v>1801</v>
      </c>
      <c r="G262" s="450">
        <f t="shared" si="5"/>
        <v>4489983.646770237</v>
      </c>
      <c r="H262" s="450" t="s">
        <v>2207</v>
      </c>
      <c r="I262" s="450">
        <v>49</v>
      </c>
      <c r="J262" s="448" t="s">
        <v>1801</v>
      </c>
      <c r="K262" s="449">
        <v>1.42E-3</v>
      </c>
      <c r="L262" s="449" t="s">
        <v>1801</v>
      </c>
      <c r="M262" s="922">
        <v>5.8054000000000001E-2</v>
      </c>
      <c r="N262" s="450">
        <v>3.9599200000000001E-2</v>
      </c>
      <c r="O262" s="537" t="s">
        <v>2367</v>
      </c>
      <c r="P262" s="450">
        <v>8.4032999999999997E-6</v>
      </c>
      <c r="Q262" s="537" t="s">
        <v>2367</v>
      </c>
      <c r="R262" s="543">
        <v>486.5</v>
      </c>
      <c r="S262" s="540" t="s">
        <v>414</v>
      </c>
      <c r="T262" s="543">
        <v>725</v>
      </c>
      <c r="U262" s="540" t="s">
        <v>2180</v>
      </c>
      <c r="V262" s="451">
        <v>10471</v>
      </c>
      <c r="W262" s="540" t="s">
        <v>2180</v>
      </c>
      <c r="X262" s="449">
        <v>1356</v>
      </c>
      <c r="Y262" s="455" t="s">
        <v>414</v>
      </c>
      <c r="Z262" s="455" t="s">
        <v>2203</v>
      </c>
      <c r="AA262" s="455" t="s">
        <v>43</v>
      </c>
      <c r="AB262" s="455">
        <v>2E-3</v>
      </c>
      <c r="AC262" s="455" t="s">
        <v>281</v>
      </c>
      <c r="AD262" s="452" t="s">
        <v>1731</v>
      </c>
      <c r="AE262" s="484" t="s">
        <v>1731</v>
      </c>
      <c r="AF262" s="484" t="s">
        <v>2512</v>
      </c>
      <c r="AG262" s="452"/>
      <c r="AH262" s="550"/>
    </row>
    <row r="263" spans="1:34" s="439" customFormat="1" ht="15">
      <c r="A263" s="453" t="s">
        <v>151</v>
      </c>
      <c r="B263" s="447" t="s">
        <v>1566</v>
      </c>
      <c r="C263" s="448">
        <v>133.41</v>
      </c>
      <c r="D263" s="448" t="s">
        <v>1801</v>
      </c>
      <c r="E263" s="449">
        <v>124</v>
      </c>
      <c r="F263" s="449" t="s">
        <v>1801</v>
      </c>
      <c r="G263" s="450">
        <f t="shared" si="5"/>
        <v>889897577.13990617</v>
      </c>
      <c r="H263" s="450" t="s">
        <v>2207</v>
      </c>
      <c r="I263" s="450">
        <v>1290</v>
      </c>
      <c r="J263" s="448" t="s">
        <v>1801</v>
      </c>
      <c r="K263" s="449">
        <v>1.72E-2</v>
      </c>
      <c r="L263" s="449" t="s">
        <v>1801</v>
      </c>
      <c r="M263" s="922">
        <v>0.70318890000000001</v>
      </c>
      <c r="N263" s="450">
        <v>6.4817399999999997E-2</v>
      </c>
      <c r="O263" s="537" t="s">
        <v>2367</v>
      </c>
      <c r="P263" s="450">
        <v>9.5990000000000008E-6</v>
      </c>
      <c r="Q263" s="537" t="s">
        <v>2367</v>
      </c>
      <c r="R263" s="543">
        <v>347</v>
      </c>
      <c r="S263" s="540" t="s">
        <v>414</v>
      </c>
      <c r="T263" s="543">
        <v>545</v>
      </c>
      <c r="U263" s="540" t="s">
        <v>2180</v>
      </c>
      <c r="V263" s="451">
        <v>7136</v>
      </c>
      <c r="W263" s="540" t="s">
        <v>2180</v>
      </c>
      <c r="X263" s="449">
        <v>43.89</v>
      </c>
      <c r="Y263" s="455" t="s">
        <v>414</v>
      </c>
      <c r="Z263" s="455" t="s">
        <v>2203</v>
      </c>
      <c r="AA263" s="455" t="s">
        <v>43</v>
      </c>
      <c r="AB263" s="920">
        <v>5</v>
      </c>
      <c r="AC263" s="455" t="s">
        <v>280</v>
      </c>
      <c r="AD263" s="452" t="s">
        <v>1731</v>
      </c>
      <c r="AE263" s="484" t="s">
        <v>1731</v>
      </c>
      <c r="AF263" s="484" t="s">
        <v>2512</v>
      </c>
      <c r="AG263" s="452"/>
      <c r="AH263" s="550"/>
    </row>
    <row r="264" spans="1:34" s="439" customFormat="1" ht="15">
      <c r="A264" s="453" t="s">
        <v>154</v>
      </c>
      <c r="B264" s="447" t="s">
        <v>1567</v>
      </c>
      <c r="C264" s="448">
        <v>133.41</v>
      </c>
      <c r="D264" s="448" t="s">
        <v>1801</v>
      </c>
      <c r="E264" s="449">
        <v>23</v>
      </c>
      <c r="F264" s="449" t="s">
        <v>1801</v>
      </c>
      <c r="G264" s="450">
        <f t="shared" si="5"/>
        <v>165061647.3727245</v>
      </c>
      <c r="H264" s="450" t="s">
        <v>2207</v>
      </c>
      <c r="I264" s="450">
        <v>4590</v>
      </c>
      <c r="J264" s="448" t="s">
        <v>1801</v>
      </c>
      <c r="K264" s="449">
        <v>8.2399999999999997E-4</v>
      </c>
      <c r="L264" s="449" t="s">
        <v>1801</v>
      </c>
      <c r="M264" s="922">
        <v>3.3687700000000001E-2</v>
      </c>
      <c r="N264" s="450">
        <v>6.6890400000000003E-2</v>
      </c>
      <c r="O264" s="537" t="s">
        <v>2367</v>
      </c>
      <c r="P264" s="450">
        <v>1.0000000000000001E-5</v>
      </c>
      <c r="Q264" s="537" t="s">
        <v>2367</v>
      </c>
      <c r="R264" s="543">
        <v>386.8</v>
      </c>
      <c r="S264" s="540" t="s">
        <v>414</v>
      </c>
      <c r="T264" s="543">
        <v>602</v>
      </c>
      <c r="U264" s="540" t="s">
        <v>2180</v>
      </c>
      <c r="V264" s="451">
        <v>8322</v>
      </c>
      <c r="W264" s="540" t="s">
        <v>2180</v>
      </c>
      <c r="X264" s="449">
        <v>60.7</v>
      </c>
      <c r="Y264" s="455" t="s">
        <v>414</v>
      </c>
      <c r="Z264" s="455">
        <v>1.5999999999999999E-5</v>
      </c>
      <c r="AA264" s="455" t="s">
        <v>280</v>
      </c>
      <c r="AB264" s="455">
        <v>2.0000000000000001E-4</v>
      </c>
      <c r="AC264" s="455" t="s">
        <v>0</v>
      </c>
      <c r="AD264" s="452" t="s">
        <v>1731</v>
      </c>
      <c r="AE264" s="484" t="s">
        <v>1731</v>
      </c>
      <c r="AF264" s="484" t="s">
        <v>2512</v>
      </c>
      <c r="AG264" s="452"/>
      <c r="AH264" s="550"/>
    </row>
    <row r="265" spans="1:34" s="439" customFormat="1" ht="15">
      <c r="A265" s="453" t="s">
        <v>68</v>
      </c>
      <c r="B265" s="447" t="s">
        <v>1568</v>
      </c>
      <c r="C265" s="448">
        <v>131.38999999999999</v>
      </c>
      <c r="D265" s="448" t="s">
        <v>1801</v>
      </c>
      <c r="E265" s="449">
        <v>69</v>
      </c>
      <c r="F265" s="449" t="s">
        <v>1801</v>
      </c>
      <c r="G265" s="450">
        <f t="shared" si="5"/>
        <v>487687201.4459697</v>
      </c>
      <c r="H265" s="450" t="s">
        <v>2207</v>
      </c>
      <c r="I265" s="450">
        <v>1280</v>
      </c>
      <c r="J265" s="448" t="s">
        <v>1801</v>
      </c>
      <c r="K265" s="449">
        <v>9.8499999999999994E-3</v>
      </c>
      <c r="L265" s="449" t="s">
        <v>1801</v>
      </c>
      <c r="M265" s="922">
        <v>0.40269830000000001</v>
      </c>
      <c r="N265" s="450">
        <v>6.8661799999999995E-2</v>
      </c>
      <c r="O265" s="537" t="s">
        <v>2367</v>
      </c>
      <c r="P265" s="450">
        <v>1.0200000000000001E-5</v>
      </c>
      <c r="Q265" s="537" t="s">
        <v>2367</v>
      </c>
      <c r="R265" s="543">
        <v>360.2</v>
      </c>
      <c r="S265" s="540" t="s">
        <v>414</v>
      </c>
      <c r="T265" s="543">
        <v>544.20000000000005</v>
      </c>
      <c r="U265" s="540" t="s">
        <v>2180</v>
      </c>
      <c r="V265" s="451">
        <v>7505</v>
      </c>
      <c r="W265" s="540" t="s">
        <v>2180</v>
      </c>
      <c r="X265" s="449">
        <v>60.7</v>
      </c>
      <c r="Y265" s="455" t="s">
        <v>414</v>
      </c>
      <c r="Z265" s="455" t="s">
        <v>2508</v>
      </c>
      <c r="AA265" s="455" t="s">
        <v>280</v>
      </c>
      <c r="AB265" s="455">
        <v>2E-3</v>
      </c>
      <c r="AC265" s="455" t="s">
        <v>280</v>
      </c>
      <c r="AD265" s="452" t="s">
        <v>2513</v>
      </c>
      <c r="AE265" s="484" t="s">
        <v>1731</v>
      </c>
      <c r="AF265" s="484" t="s">
        <v>2512</v>
      </c>
      <c r="AG265" s="452"/>
      <c r="AH265" s="550"/>
    </row>
    <row r="266" spans="1:34" s="439" customFormat="1" ht="15">
      <c r="A266" s="453" t="s">
        <v>61</v>
      </c>
      <c r="B266" s="447" t="s">
        <v>1569</v>
      </c>
      <c r="C266" s="448">
        <v>137.37</v>
      </c>
      <c r="D266" s="448" t="s">
        <v>1801</v>
      </c>
      <c r="E266" s="449">
        <v>802.8</v>
      </c>
      <c r="F266" s="449" t="s">
        <v>1801</v>
      </c>
      <c r="G266" s="450">
        <f t="shared" si="5"/>
        <v>5932383483.2379389</v>
      </c>
      <c r="H266" s="450" t="s">
        <v>2207</v>
      </c>
      <c r="I266" s="450">
        <v>1100</v>
      </c>
      <c r="J266" s="448" t="s">
        <v>1801</v>
      </c>
      <c r="K266" s="449">
        <v>9.7000000000000003E-2</v>
      </c>
      <c r="L266" s="449" t="s">
        <v>1801</v>
      </c>
      <c r="M266" s="922">
        <v>3.9656582</v>
      </c>
      <c r="N266" s="450">
        <v>6.5355999999999997E-2</v>
      </c>
      <c r="O266" s="537" t="s">
        <v>2367</v>
      </c>
      <c r="P266" s="450">
        <v>1.0000000000000001E-5</v>
      </c>
      <c r="Q266" s="537" t="s">
        <v>2367</v>
      </c>
      <c r="R266" s="543">
        <v>296.7</v>
      </c>
      <c r="S266" s="540" t="s">
        <v>414</v>
      </c>
      <c r="T266" s="543">
        <v>471</v>
      </c>
      <c r="U266" s="540" t="s">
        <v>2179</v>
      </c>
      <c r="V266" s="451">
        <v>5998.9</v>
      </c>
      <c r="W266" s="540" t="s">
        <v>2179</v>
      </c>
      <c r="X266" s="449">
        <v>43.89</v>
      </c>
      <c r="Y266" s="455" t="s">
        <v>414</v>
      </c>
      <c r="Z266" s="455" t="s">
        <v>2203</v>
      </c>
      <c r="AA266" s="455" t="s">
        <v>43</v>
      </c>
      <c r="AB266" s="455" t="s">
        <v>2203</v>
      </c>
      <c r="AC266" s="455" t="s">
        <v>43</v>
      </c>
      <c r="AD266" s="452" t="s">
        <v>1731</v>
      </c>
      <c r="AE266" s="484" t="s">
        <v>1731</v>
      </c>
      <c r="AF266" s="484" t="s">
        <v>2512</v>
      </c>
      <c r="AG266" s="452" t="s">
        <v>63</v>
      </c>
      <c r="AH266" s="550"/>
    </row>
    <row r="267" spans="1:34" s="439" customFormat="1" ht="15">
      <c r="A267" s="453" t="s">
        <v>1578</v>
      </c>
      <c r="B267" s="447" t="s">
        <v>1579</v>
      </c>
      <c r="C267" s="448">
        <v>147.43</v>
      </c>
      <c r="D267" s="448" t="s">
        <v>1801</v>
      </c>
      <c r="E267" s="449">
        <v>3.0979999999999999</v>
      </c>
      <c r="F267" s="449" t="s">
        <v>1801</v>
      </c>
      <c r="G267" s="450">
        <f t="shared" si="5"/>
        <v>24569551.792400051</v>
      </c>
      <c r="H267" s="450" t="s">
        <v>2207</v>
      </c>
      <c r="I267" s="450">
        <v>1900</v>
      </c>
      <c r="J267" s="448" t="s">
        <v>1801</v>
      </c>
      <c r="K267" s="449">
        <v>3.1700000000000001E-4</v>
      </c>
      <c r="L267" s="449" t="s">
        <v>414</v>
      </c>
      <c r="M267" s="922">
        <v>1.29599E-2</v>
      </c>
      <c r="N267" s="450">
        <v>5.7157699999999999E-2</v>
      </c>
      <c r="O267" s="537" t="s">
        <v>2367</v>
      </c>
      <c r="P267" s="450">
        <v>9.1734999999999995E-6</v>
      </c>
      <c r="Q267" s="537" t="s">
        <v>2367</v>
      </c>
      <c r="R267" s="543">
        <v>405</v>
      </c>
      <c r="S267" s="540" t="s">
        <v>2173</v>
      </c>
      <c r="T267" s="543">
        <v>607.5</v>
      </c>
      <c r="U267" s="540" t="s">
        <v>2182</v>
      </c>
      <c r="V267" s="451" t="s">
        <v>2024</v>
      </c>
      <c r="W267" s="540"/>
      <c r="X267" s="449">
        <v>94.94</v>
      </c>
      <c r="Y267" s="455" t="s">
        <v>414</v>
      </c>
      <c r="Z267" s="455" t="s">
        <v>2203</v>
      </c>
      <c r="AA267" s="455" t="s">
        <v>43</v>
      </c>
      <c r="AB267" s="455" t="s">
        <v>2203</v>
      </c>
      <c r="AC267" s="455" t="s">
        <v>43</v>
      </c>
      <c r="AD267" s="452" t="s">
        <v>1731</v>
      </c>
      <c r="AE267" s="484" t="s">
        <v>1731</v>
      </c>
      <c r="AF267" s="484" t="s">
        <v>2512</v>
      </c>
      <c r="AG267" s="452"/>
      <c r="AH267" s="550"/>
    </row>
    <row r="268" spans="1:34" s="439" customFormat="1" ht="15">
      <c r="A268" s="453" t="s">
        <v>157</v>
      </c>
      <c r="B268" s="447" t="s">
        <v>1580</v>
      </c>
      <c r="C268" s="448">
        <v>147.43</v>
      </c>
      <c r="D268" s="448" t="s">
        <v>1801</v>
      </c>
      <c r="E268" s="449">
        <v>3.69</v>
      </c>
      <c r="F268" s="449" t="s">
        <v>1801</v>
      </c>
      <c r="G268" s="450">
        <f t="shared" si="5"/>
        <v>29264572.664285406</v>
      </c>
      <c r="H268" s="450" t="s">
        <v>2207</v>
      </c>
      <c r="I268" s="450">
        <v>1750</v>
      </c>
      <c r="J268" s="448" t="s">
        <v>1801</v>
      </c>
      <c r="K268" s="449">
        <v>3.4299999999999999E-4</v>
      </c>
      <c r="L268" s="449" t="s">
        <v>1801</v>
      </c>
      <c r="M268" s="922">
        <v>1.40229E-2</v>
      </c>
      <c r="N268" s="450">
        <v>5.7466099999999999E-2</v>
      </c>
      <c r="O268" s="537" t="s">
        <v>2367</v>
      </c>
      <c r="P268" s="450">
        <v>9.2411000000000003E-6</v>
      </c>
      <c r="Q268" s="537" t="s">
        <v>2367</v>
      </c>
      <c r="R268" s="543">
        <v>430</v>
      </c>
      <c r="S268" s="540" t="s">
        <v>414</v>
      </c>
      <c r="T268" s="543">
        <v>652</v>
      </c>
      <c r="U268" s="540" t="s">
        <v>2179</v>
      </c>
      <c r="V268" s="451">
        <v>9171</v>
      </c>
      <c r="W268" s="540" t="s">
        <v>2183</v>
      </c>
      <c r="X268" s="449">
        <v>115.8</v>
      </c>
      <c r="Y268" s="455" t="s">
        <v>414</v>
      </c>
      <c r="Z268" s="455" t="s">
        <v>2203</v>
      </c>
      <c r="AA268" s="455" t="s">
        <v>43</v>
      </c>
      <c r="AB268" s="455">
        <v>2.9999999999999997E-4</v>
      </c>
      <c r="AC268" s="455" t="s">
        <v>280</v>
      </c>
      <c r="AD268" s="452" t="s">
        <v>2513</v>
      </c>
      <c r="AE268" s="484" t="s">
        <v>1731</v>
      </c>
      <c r="AF268" s="484" t="s">
        <v>2512</v>
      </c>
      <c r="AG268" s="452" t="s">
        <v>102</v>
      </c>
      <c r="AH268" s="550"/>
    </row>
    <row r="269" spans="1:34" s="439" customFormat="1" ht="15">
      <c r="A269" s="453" t="s">
        <v>1581</v>
      </c>
      <c r="B269" s="447" t="s">
        <v>1582</v>
      </c>
      <c r="C269" s="448">
        <v>145.41999999999999</v>
      </c>
      <c r="D269" s="448" t="s">
        <v>1801</v>
      </c>
      <c r="E269" s="449">
        <v>4.4000000000000004</v>
      </c>
      <c r="F269" s="449" t="s">
        <v>1801</v>
      </c>
      <c r="G269" s="450">
        <f t="shared" si="5"/>
        <v>34419675.51749365</v>
      </c>
      <c r="H269" s="450" t="s">
        <v>2207</v>
      </c>
      <c r="I269" s="450">
        <v>334.2</v>
      </c>
      <c r="J269" s="448" t="s">
        <v>1801</v>
      </c>
      <c r="K269" s="449">
        <v>1.7600000000000001E-2</v>
      </c>
      <c r="L269" s="449" t="s">
        <v>1801</v>
      </c>
      <c r="M269" s="922">
        <v>0.71954209999999996</v>
      </c>
      <c r="N269" s="450">
        <v>5.9063200000000003E-2</v>
      </c>
      <c r="O269" s="537" t="s">
        <v>2367</v>
      </c>
      <c r="P269" s="450">
        <v>9.4102000000000001E-6</v>
      </c>
      <c r="Q269" s="537" t="s">
        <v>2367</v>
      </c>
      <c r="R269" s="543">
        <v>415</v>
      </c>
      <c r="S269" s="540" t="s">
        <v>2173</v>
      </c>
      <c r="T269" s="543">
        <v>622.5</v>
      </c>
      <c r="U269" s="540" t="s">
        <v>2182</v>
      </c>
      <c r="V269" s="451" t="s">
        <v>2024</v>
      </c>
      <c r="W269" s="540"/>
      <c r="X269" s="449">
        <v>115.8</v>
      </c>
      <c r="Y269" s="455" t="s">
        <v>414</v>
      </c>
      <c r="Z269" s="455" t="s">
        <v>2203</v>
      </c>
      <c r="AA269" s="455" t="s">
        <v>43</v>
      </c>
      <c r="AB269" s="455">
        <v>2.9999999999999997E-4</v>
      </c>
      <c r="AC269" s="455" t="s">
        <v>281</v>
      </c>
      <c r="AD269" s="452" t="s">
        <v>1731</v>
      </c>
      <c r="AE269" s="484" t="s">
        <v>1731</v>
      </c>
      <c r="AF269" s="484" t="s">
        <v>2512</v>
      </c>
      <c r="AG269" s="452" t="s">
        <v>50</v>
      </c>
      <c r="AH269" s="550"/>
    </row>
    <row r="270" spans="1:34" s="439" customFormat="1" ht="15">
      <c r="A270" s="453" t="s">
        <v>1585</v>
      </c>
      <c r="B270" s="447" t="s">
        <v>1586</v>
      </c>
      <c r="C270" s="448">
        <v>101.19</v>
      </c>
      <c r="D270" s="448" t="s">
        <v>1801</v>
      </c>
      <c r="E270" s="449">
        <v>57.07</v>
      </c>
      <c r="F270" s="449" t="s">
        <v>1801</v>
      </c>
      <c r="G270" s="450">
        <f t="shared" si="5"/>
        <v>310652908.07763481</v>
      </c>
      <c r="H270" s="450" t="s">
        <v>2207</v>
      </c>
      <c r="I270" s="450">
        <v>68600</v>
      </c>
      <c r="J270" s="448" t="s">
        <v>1801</v>
      </c>
      <c r="K270" s="449">
        <v>1.4899999999999999E-4</v>
      </c>
      <c r="L270" s="449" t="s">
        <v>1801</v>
      </c>
      <c r="M270" s="922">
        <v>6.0916E-3</v>
      </c>
      <c r="N270" s="450">
        <v>6.6363099999999994E-2</v>
      </c>
      <c r="O270" s="537" t="s">
        <v>2367</v>
      </c>
      <c r="P270" s="450">
        <v>7.8576000000000008E-6</v>
      </c>
      <c r="Q270" s="537" t="s">
        <v>2367</v>
      </c>
      <c r="R270" s="543">
        <v>362</v>
      </c>
      <c r="S270" s="540" t="s">
        <v>2173</v>
      </c>
      <c r="T270" s="543">
        <v>535.6</v>
      </c>
      <c r="U270" s="540" t="s">
        <v>2179</v>
      </c>
      <c r="V270" s="451">
        <v>8095.2</v>
      </c>
      <c r="W270" s="540" t="s">
        <v>2174</v>
      </c>
      <c r="X270" s="449">
        <v>50.81</v>
      </c>
      <c r="Y270" s="455" t="s">
        <v>414</v>
      </c>
      <c r="Z270" s="455" t="s">
        <v>2203</v>
      </c>
      <c r="AA270" s="455" t="s">
        <v>43</v>
      </c>
      <c r="AB270" s="455">
        <v>7.0000000000000001E-3</v>
      </c>
      <c r="AC270" s="455" t="s">
        <v>280</v>
      </c>
      <c r="AD270" s="452" t="s">
        <v>1731</v>
      </c>
      <c r="AE270" s="484" t="s">
        <v>1731</v>
      </c>
      <c r="AF270" s="484" t="s">
        <v>2512</v>
      </c>
      <c r="AG270" s="452" t="s">
        <v>67</v>
      </c>
      <c r="AH270" s="550"/>
    </row>
    <row r="271" spans="1:34" s="439" customFormat="1" ht="15">
      <c r="A271" s="453" t="s">
        <v>2195</v>
      </c>
      <c r="B271" s="453" t="s">
        <v>2200</v>
      </c>
      <c r="C271" s="448">
        <v>84.040999999999997</v>
      </c>
      <c r="D271" s="448" t="s">
        <v>1801</v>
      </c>
      <c r="E271" s="449">
        <v>9536</v>
      </c>
      <c r="F271" s="449" t="s">
        <v>1801</v>
      </c>
      <c r="G271" s="450">
        <f t="shared" si="5"/>
        <v>43110931703.748329</v>
      </c>
      <c r="H271" s="450" t="s">
        <v>2207</v>
      </c>
      <c r="I271" s="450">
        <v>760.9</v>
      </c>
      <c r="J271" s="448" t="s">
        <v>1801</v>
      </c>
      <c r="K271" s="449">
        <v>0.77</v>
      </c>
      <c r="L271" s="449" t="s">
        <v>1801</v>
      </c>
      <c r="M271" s="922">
        <v>31.479966999999998</v>
      </c>
      <c r="N271" s="450">
        <v>9.90283E-2</v>
      </c>
      <c r="O271" s="537" t="s">
        <v>2367</v>
      </c>
      <c r="P271" s="450">
        <v>1.1600000000000001E-5</v>
      </c>
      <c r="Q271" s="537" t="s">
        <v>2367</v>
      </c>
      <c r="R271" s="543">
        <v>228.15</v>
      </c>
      <c r="S271" s="540" t="s">
        <v>1801</v>
      </c>
      <c r="T271" s="543">
        <v>345.88</v>
      </c>
      <c r="U271" s="540" t="s">
        <v>2059</v>
      </c>
      <c r="V271" s="451">
        <v>4.5889100000000003</v>
      </c>
      <c r="W271" s="540" t="s">
        <v>2178</v>
      </c>
      <c r="X271" s="449">
        <v>43.89</v>
      </c>
      <c r="Y271" s="455" t="s">
        <v>414</v>
      </c>
      <c r="Z271" s="455" t="s">
        <v>2203</v>
      </c>
      <c r="AA271" s="455" t="s">
        <v>43</v>
      </c>
      <c r="AB271" s="455">
        <v>20</v>
      </c>
      <c r="AC271" s="455" t="s">
        <v>281</v>
      </c>
      <c r="AD271" s="452" t="s">
        <v>1731</v>
      </c>
      <c r="AE271" s="484" t="s">
        <v>1731</v>
      </c>
      <c r="AF271" s="484" t="s">
        <v>2512</v>
      </c>
      <c r="AG271" s="452"/>
      <c r="AH271" s="550"/>
    </row>
    <row r="272" spans="1:34" s="439" customFormat="1" ht="15">
      <c r="A272" s="453" t="s">
        <v>1587</v>
      </c>
      <c r="B272" s="453" t="s">
        <v>1588</v>
      </c>
      <c r="C272" s="448">
        <v>335.29</v>
      </c>
      <c r="D272" s="448" t="s">
        <v>1801</v>
      </c>
      <c r="E272" s="449">
        <v>4.5800000000000002E-5</v>
      </c>
      <c r="F272" s="449" t="s">
        <v>1801</v>
      </c>
      <c r="G272" s="450">
        <f t="shared" si="5"/>
        <v>826.06844687352077</v>
      </c>
      <c r="H272" s="450" t="s">
        <v>2207</v>
      </c>
      <c r="I272" s="450">
        <v>0.184</v>
      </c>
      <c r="J272" s="448" t="s">
        <v>1801</v>
      </c>
      <c r="K272" s="449">
        <v>1.03E-4</v>
      </c>
      <c r="L272" s="449" t="s">
        <v>1801</v>
      </c>
      <c r="M272" s="922">
        <v>4.2110000000000003E-3</v>
      </c>
      <c r="N272" s="450">
        <v>2.2051899999999999E-2</v>
      </c>
      <c r="O272" s="537" t="s">
        <v>2367</v>
      </c>
      <c r="P272" s="450">
        <v>5.5736999999999997E-6</v>
      </c>
      <c r="Q272" s="537" t="s">
        <v>2367</v>
      </c>
      <c r="R272" s="543">
        <v>412.65</v>
      </c>
      <c r="S272" s="540" t="s">
        <v>414</v>
      </c>
      <c r="T272" s="543">
        <v>618.97499999999991</v>
      </c>
      <c r="U272" s="540" t="s">
        <v>2182</v>
      </c>
      <c r="V272" s="451" t="s">
        <v>2024</v>
      </c>
      <c r="W272" s="540"/>
      <c r="X272" s="449">
        <v>16390</v>
      </c>
      <c r="Y272" s="455" t="s">
        <v>414</v>
      </c>
      <c r="Z272" s="455" t="s">
        <v>2203</v>
      </c>
      <c r="AA272" s="455" t="s">
        <v>43</v>
      </c>
      <c r="AB272" s="455" t="s">
        <v>2203</v>
      </c>
      <c r="AC272" s="455" t="s">
        <v>43</v>
      </c>
      <c r="AD272" s="452" t="s">
        <v>1731</v>
      </c>
      <c r="AE272" s="484" t="s">
        <v>1731</v>
      </c>
      <c r="AF272" s="484" t="s">
        <v>2512</v>
      </c>
      <c r="AG272" s="452"/>
      <c r="AH272" s="550"/>
    </row>
    <row r="273" spans="1:34" s="439" customFormat="1" ht="15">
      <c r="A273" s="453" t="s">
        <v>1924</v>
      </c>
      <c r="B273" s="447" t="s">
        <v>1925</v>
      </c>
      <c r="C273" s="448">
        <v>120.2</v>
      </c>
      <c r="D273" s="448" t="s">
        <v>1801</v>
      </c>
      <c r="E273" s="449">
        <v>1.6886000000000001</v>
      </c>
      <c r="F273" s="449" t="s">
        <v>1801</v>
      </c>
      <c r="G273" s="450">
        <f t="shared" si="5"/>
        <v>10918455.480483711</v>
      </c>
      <c r="H273" s="450" t="s">
        <v>2207</v>
      </c>
      <c r="I273" s="450">
        <v>75.2</v>
      </c>
      <c r="J273" s="448" t="s">
        <v>1801</v>
      </c>
      <c r="K273" s="449">
        <v>4.3600000000000002E-3</v>
      </c>
      <c r="L273" s="449" t="s">
        <v>1801</v>
      </c>
      <c r="M273" s="922">
        <v>0.1782502</v>
      </c>
      <c r="N273" s="450">
        <v>6.1253500000000002E-2</v>
      </c>
      <c r="O273" s="537" t="s">
        <v>2367</v>
      </c>
      <c r="P273" s="450">
        <v>8.0214000000000008E-6</v>
      </c>
      <c r="Q273" s="537" t="s">
        <v>2367</v>
      </c>
      <c r="R273" s="543">
        <v>449.1</v>
      </c>
      <c r="S273" s="540" t="s">
        <v>2173</v>
      </c>
      <c r="T273" s="543">
        <v>664.5</v>
      </c>
      <c r="U273" s="540" t="s">
        <v>2179</v>
      </c>
      <c r="V273" s="451">
        <v>11715.39</v>
      </c>
      <c r="W273" s="540" t="s">
        <v>2174</v>
      </c>
      <c r="X273" s="449">
        <v>626.9</v>
      </c>
      <c r="Y273" s="455" t="s">
        <v>414</v>
      </c>
      <c r="Z273" s="455" t="s">
        <v>2203</v>
      </c>
      <c r="AA273" s="455" t="s">
        <v>43</v>
      </c>
      <c r="AB273" s="455">
        <v>0.06</v>
      </c>
      <c r="AC273" s="455" t="s">
        <v>280</v>
      </c>
      <c r="AD273" s="452" t="s">
        <v>1731</v>
      </c>
      <c r="AE273" s="484" t="s">
        <v>1731</v>
      </c>
      <c r="AF273" s="484" t="s">
        <v>2512</v>
      </c>
      <c r="AG273" s="452"/>
      <c r="AH273" s="550"/>
    </row>
    <row r="274" spans="1:34" s="439" customFormat="1" ht="15">
      <c r="A274" s="453" t="s">
        <v>159</v>
      </c>
      <c r="B274" s="447" t="s">
        <v>1591</v>
      </c>
      <c r="C274" s="448">
        <v>120.2</v>
      </c>
      <c r="D274" s="448" t="s">
        <v>1801</v>
      </c>
      <c r="E274" s="449">
        <v>2.1</v>
      </c>
      <c r="F274" s="449" t="s">
        <v>1801</v>
      </c>
      <c r="G274" s="450">
        <f t="shared" si="5"/>
        <v>13578560.055084564</v>
      </c>
      <c r="H274" s="450" t="s">
        <v>2207</v>
      </c>
      <c r="I274" s="450">
        <v>57</v>
      </c>
      <c r="J274" s="448" t="s">
        <v>1801</v>
      </c>
      <c r="K274" s="449">
        <v>6.1599999999999997E-3</v>
      </c>
      <c r="L274" s="449" t="s">
        <v>1801</v>
      </c>
      <c r="M274" s="922">
        <v>0.2518397</v>
      </c>
      <c r="N274" s="450">
        <v>6.0675399999999997E-2</v>
      </c>
      <c r="O274" s="537" t="s">
        <v>2367</v>
      </c>
      <c r="P274" s="450">
        <v>7.9209000000000007E-6</v>
      </c>
      <c r="Q274" s="537" t="s">
        <v>2367</v>
      </c>
      <c r="R274" s="543">
        <v>442.3</v>
      </c>
      <c r="S274" s="540" t="s">
        <v>414</v>
      </c>
      <c r="T274" s="543">
        <v>649.16999999999996</v>
      </c>
      <c r="U274" s="540" t="s">
        <v>2181</v>
      </c>
      <c r="V274" s="451">
        <v>9368.7999999999993</v>
      </c>
      <c r="W274" s="540" t="s">
        <v>2179</v>
      </c>
      <c r="X274" s="449">
        <v>614.29999999999995</v>
      </c>
      <c r="Y274" s="455" t="s">
        <v>414</v>
      </c>
      <c r="Z274" s="455" t="s">
        <v>2203</v>
      </c>
      <c r="AA274" s="455" t="s">
        <v>43</v>
      </c>
      <c r="AB274" s="455">
        <v>0.06</v>
      </c>
      <c r="AC274" s="455" t="s">
        <v>280</v>
      </c>
      <c r="AD274" s="452" t="s">
        <v>1731</v>
      </c>
      <c r="AE274" s="484" t="s">
        <v>2513</v>
      </c>
      <c r="AF274" s="484" t="s">
        <v>2512</v>
      </c>
      <c r="AG274" s="452" t="s">
        <v>79</v>
      </c>
      <c r="AH274" s="550"/>
    </row>
    <row r="275" spans="1:34" s="439" customFormat="1" ht="15">
      <c r="A275" s="453" t="s">
        <v>163</v>
      </c>
      <c r="B275" s="447" t="s">
        <v>1592</v>
      </c>
      <c r="C275" s="448">
        <v>120.2</v>
      </c>
      <c r="D275" s="448" t="s">
        <v>1801</v>
      </c>
      <c r="E275" s="449">
        <v>2.48</v>
      </c>
      <c r="F275" s="449" t="s">
        <v>1801</v>
      </c>
      <c r="G275" s="450">
        <f t="shared" si="5"/>
        <v>16035632.826957006</v>
      </c>
      <c r="H275" s="450" t="s">
        <v>2207</v>
      </c>
      <c r="I275" s="450">
        <v>48.2</v>
      </c>
      <c r="J275" s="448" t="s">
        <v>1801</v>
      </c>
      <c r="K275" s="449">
        <v>8.77E-3</v>
      </c>
      <c r="L275" s="449" t="s">
        <v>1801</v>
      </c>
      <c r="M275" s="922">
        <v>0.35854459999999999</v>
      </c>
      <c r="N275" s="450">
        <v>6.0225399999999998E-2</v>
      </c>
      <c r="O275" s="537" t="s">
        <v>2367</v>
      </c>
      <c r="P275" s="450">
        <v>7.8429999999999993E-6</v>
      </c>
      <c r="Q275" s="537" t="s">
        <v>2367</v>
      </c>
      <c r="R275" s="543">
        <v>437.7</v>
      </c>
      <c r="S275" s="540" t="s">
        <v>414</v>
      </c>
      <c r="T275" s="543">
        <v>637.25</v>
      </c>
      <c r="U275" s="540" t="s">
        <v>2181</v>
      </c>
      <c r="V275" s="451">
        <v>9321</v>
      </c>
      <c r="W275" s="540" t="s">
        <v>2179</v>
      </c>
      <c r="X275" s="449">
        <v>602.1</v>
      </c>
      <c r="Y275" s="455" t="s">
        <v>414</v>
      </c>
      <c r="Z275" s="455" t="s">
        <v>2203</v>
      </c>
      <c r="AA275" s="455" t="s">
        <v>43</v>
      </c>
      <c r="AB275" s="455">
        <v>0.06</v>
      </c>
      <c r="AC275" s="455" t="s">
        <v>280</v>
      </c>
      <c r="AD275" s="452" t="s">
        <v>1731</v>
      </c>
      <c r="AE275" s="484" t="s">
        <v>1731</v>
      </c>
      <c r="AF275" s="484" t="s">
        <v>2512</v>
      </c>
      <c r="AG275" s="452"/>
      <c r="AH275" s="550"/>
    </row>
    <row r="276" spans="1:34" s="439" customFormat="1" ht="15">
      <c r="A276" s="453" t="s">
        <v>2196</v>
      </c>
      <c r="B276" s="453" t="s">
        <v>2201</v>
      </c>
      <c r="C276" s="448">
        <v>112.22</v>
      </c>
      <c r="D276" s="448" t="s">
        <v>1801</v>
      </c>
      <c r="E276" s="449">
        <v>71</v>
      </c>
      <c r="F276" s="449" t="s">
        <v>1801</v>
      </c>
      <c r="G276" s="450">
        <f t="shared" si="5"/>
        <v>428606317.51086628</v>
      </c>
      <c r="H276" s="450" t="s">
        <v>2207</v>
      </c>
      <c r="I276" s="450">
        <v>4.04</v>
      </c>
      <c r="J276" s="448" t="s">
        <v>1801</v>
      </c>
      <c r="K276" s="449">
        <v>0.746</v>
      </c>
      <c r="L276" s="449" t="s">
        <v>1801</v>
      </c>
      <c r="M276" s="922">
        <v>30.498774000000001</v>
      </c>
      <c r="N276" s="450">
        <v>5.9521699999999997E-2</v>
      </c>
      <c r="O276" s="537" t="s">
        <v>2367</v>
      </c>
      <c r="P276" s="450">
        <v>7.3081999999999998E-6</v>
      </c>
      <c r="Q276" s="537" t="s">
        <v>2367</v>
      </c>
      <c r="R276" s="543">
        <v>374.15</v>
      </c>
      <c r="S276" s="540" t="s">
        <v>1801</v>
      </c>
      <c r="T276" s="543">
        <v>566.79999999999995</v>
      </c>
      <c r="U276" s="540" t="s">
        <v>2059</v>
      </c>
      <c r="V276" s="451" t="s">
        <v>2024</v>
      </c>
      <c r="W276" s="540"/>
      <c r="X276" s="449">
        <v>240.3</v>
      </c>
      <c r="Y276" s="455" t="s">
        <v>414</v>
      </c>
      <c r="Z276" s="455" t="s">
        <v>2203</v>
      </c>
      <c r="AA276" s="455" t="s">
        <v>43</v>
      </c>
      <c r="AB276" s="455" t="s">
        <v>2203</v>
      </c>
      <c r="AC276" s="455" t="s">
        <v>43</v>
      </c>
      <c r="AD276" s="452" t="s">
        <v>1731</v>
      </c>
      <c r="AE276" s="484" t="s">
        <v>1731</v>
      </c>
      <c r="AF276" s="484" t="s">
        <v>2512</v>
      </c>
      <c r="AG276" s="452"/>
      <c r="AH276" s="550"/>
    </row>
    <row r="277" spans="1:34" s="439" customFormat="1" ht="15">
      <c r="A277" s="453" t="s">
        <v>1543</v>
      </c>
      <c r="B277" s="453" t="s">
        <v>1544</v>
      </c>
      <c r="C277" s="448">
        <v>291.05</v>
      </c>
      <c r="D277" s="448" t="s">
        <v>1801</v>
      </c>
      <c r="E277" s="449">
        <v>3.9899999999999998E-2</v>
      </c>
      <c r="F277" s="449" t="s">
        <v>1801</v>
      </c>
      <c r="G277" s="450">
        <f t="shared" si="5"/>
        <v>624698.4873262468</v>
      </c>
      <c r="H277" s="450" t="s">
        <v>2207</v>
      </c>
      <c r="I277" s="450">
        <v>7.3000000000000001E-3</v>
      </c>
      <c r="J277" s="448" t="s">
        <v>1801</v>
      </c>
      <c r="K277" s="449">
        <v>1.52</v>
      </c>
      <c r="L277" s="449" t="s">
        <v>1801</v>
      </c>
      <c r="M277" s="922">
        <v>62.142273000000003</v>
      </c>
      <c r="N277" s="450">
        <v>2.1473800000000001E-2</v>
      </c>
      <c r="O277" s="537" t="s">
        <v>2367</v>
      </c>
      <c r="P277" s="450">
        <v>5.3510000000000001E-6</v>
      </c>
      <c r="Q277" s="537" t="s">
        <v>2367</v>
      </c>
      <c r="R277" s="543">
        <v>353.15</v>
      </c>
      <c r="S277" s="540" t="s">
        <v>414</v>
      </c>
      <c r="T277" s="543">
        <v>529.72499999999991</v>
      </c>
      <c r="U277" s="540" t="s">
        <v>2182</v>
      </c>
      <c r="V277" s="451" t="s">
        <v>2024</v>
      </c>
      <c r="W277" s="540"/>
      <c r="X277" s="449">
        <v>8091</v>
      </c>
      <c r="Y277" s="455" t="s">
        <v>414</v>
      </c>
      <c r="Z277" s="455" t="s">
        <v>2203</v>
      </c>
      <c r="AA277" s="455" t="s">
        <v>43</v>
      </c>
      <c r="AB277" s="455" t="s">
        <v>2203</v>
      </c>
      <c r="AC277" s="455" t="s">
        <v>43</v>
      </c>
      <c r="AD277" s="452" t="s">
        <v>1731</v>
      </c>
      <c r="AE277" s="484" t="s">
        <v>1731</v>
      </c>
      <c r="AF277" s="484" t="s">
        <v>2512</v>
      </c>
      <c r="AG277" s="452"/>
      <c r="AH277" s="550"/>
    </row>
    <row r="278" spans="1:34" s="439" customFormat="1" ht="15">
      <c r="A278" s="453" t="s">
        <v>2197</v>
      </c>
      <c r="B278" s="453" t="s">
        <v>2202</v>
      </c>
      <c r="C278" s="448">
        <v>697.62</v>
      </c>
      <c r="D278" s="448" t="s">
        <v>1801</v>
      </c>
      <c r="E278" s="449">
        <v>1.9000000000000001E-4</v>
      </c>
      <c r="F278" s="449" t="s">
        <v>1801</v>
      </c>
      <c r="G278" s="450">
        <f t="shared" si="5"/>
        <v>7130.2125919869168</v>
      </c>
      <c r="H278" s="450" t="s">
        <v>2207</v>
      </c>
      <c r="I278" s="450">
        <v>8</v>
      </c>
      <c r="J278" s="448" t="s">
        <v>1801</v>
      </c>
      <c r="K278" s="449">
        <v>2.1800000000000001E-5</v>
      </c>
      <c r="L278" s="449" t="s">
        <v>414</v>
      </c>
      <c r="M278" s="922">
        <v>8.9130000000000003E-4</v>
      </c>
      <c r="N278" s="450">
        <v>1.9401499999999999E-2</v>
      </c>
      <c r="O278" s="537" t="s">
        <v>2367</v>
      </c>
      <c r="P278" s="450">
        <v>4.8833000000000003E-6</v>
      </c>
      <c r="Q278" s="537" t="s">
        <v>2367</v>
      </c>
      <c r="R278" s="543"/>
      <c r="S278" s="540"/>
      <c r="T278" s="543" t="s">
        <v>2035</v>
      </c>
      <c r="U278" s="540"/>
      <c r="V278" s="451" t="s">
        <v>2024</v>
      </c>
      <c r="W278" s="540"/>
      <c r="X278" s="449">
        <v>9706</v>
      </c>
      <c r="Y278" s="455" t="s">
        <v>414</v>
      </c>
      <c r="Z278" s="455">
        <v>6.6E-4</v>
      </c>
      <c r="AA278" s="455" t="s">
        <v>2507</v>
      </c>
      <c r="AB278" s="455" t="s">
        <v>2203</v>
      </c>
      <c r="AC278" s="455" t="s">
        <v>43</v>
      </c>
      <c r="AD278" s="452" t="s">
        <v>1731</v>
      </c>
      <c r="AE278" s="484" t="s">
        <v>1731</v>
      </c>
      <c r="AF278" s="484" t="s">
        <v>2512</v>
      </c>
      <c r="AG278" s="452"/>
      <c r="AH278" s="550"/>
    </row>
    <row r="279" spans="1:34" s="439" customFormat="1" ht="15">
      <c r="A279" s="453" t="s">
        <v>1612</v>
      </c>
      <c r="B279" s="453" t="s">
        <v>1613</v>
      </c>
      <c r="C279" s="448">
        <v>203.35</v>
      </c>
      <c r="D279" s="448" t="s">
        <v>1801</v>
      </c>
      <c r="E279" s="449">
        <v>1.04E-2</v>
      </c>
      <c r="F279" s="449" t="s">
        <v>1801</v>
      </c>
      <c r="G279" s="450">
        <f t="shared" si="5"/>
        <v>113764.68563067522</v>
      </c>
      <c r="H279" s="450" t="s">
        <v>2207</v>
      </c>
      <c r="I279" s="450">
        <v>90</v>
      </c>
      <c r="J279" s="448" t="s">
        <v>1801</v>
      </c>
      <c r="K279" s="449">
        <v>3.0899999999999999E-5</v>
      </c>
      <c r="L279" s="449" t="s">
        <v>414</v>
      </c>
      <c r="M279" s="922">
        <v>1.2633E-3</v>
      </c>
      <c r="N279" s="450">
        <v>2.4218900000000002E-2</v>
      </c>
      <c r="O279" s="537" t="s">
        <v>2367</v>
      </c>
      <c r="P279" s="450">
        <v>6.0745E-6</v>
      </c>
      <c r="Q279" s="537" t="s">
        <v>2367</v>
      </c>
      <c r="R279" s="543">
        <v>423.15</v>
      </c>
      <c r="S279" s="540" t="s">
        <v>414</v>
      </c>
      <c r="T279" s="543">
        <v>634.72499999999991</v>
      </c>
      <c r="U279" s="540" t="s">
        <v>2182</v>
      </c>
      <c r="V279" s="451" t="s">
        <v>2024</v>
      </c>
      <c r="W279" s="540"/>
      <c r="X279" s="449">
        <v>299.10000000000002</v>
      </c>
      <c r="Y279" s="455" t="s">
        <v>414</v>
      </c>
      <c r="Z279" s="455" t="s">
        <v>2203</v>
      </c>
      <c r="AA279" s="455" t="s">
        <v>43</v>
      </c>
      <c r="AB279" s="455" t="s">
        <v>2203</v>
      </c>
      <c r="AC279" s="455" t="s">
        <v>43</v>
      </c>
      <c r="AD279" s="452" t="s">
        <v>1731</v>
      </c>
      <c r="AE279" s="484" t="s">
        <v>1731</v>
      </c>
      <c r="AF279" s="484" t="s">
        <v>2512</v>
      </c>
      <c r="AG279" s="452"/>
      <c r="AH279" s="550"/>
    </row>
    <row r="280" spans="1:34" s="439" customFormat="1" ht="15">
      <c r="A280" s="453" t="s">
        <v>1616</v>
      </c>
      <c r="B280" s="447" t="s">
        <v>1617</v>
      </c>
      <c r="C280" s="448">
        <v>86.090999999999994</v>
      </c>
      <c r="D280" s="448" t="s">
        <v>1801</v>
      </c>
      <c r="E280" s="449">
        <v>90.16</v>
      </c>
      <c r="F280" s="449" t="s">
        <v>1801</v>
      </c>
      <c r="G280" s="450">
        <f t="shared" ref="G280:G290" si="6">E280/760*1000000000*C280/24.46</f>
        <v>417543387.7006498</v>
      </c>
      <c r="H280" s="450" t="s">
        <v>2207</v>
      </c>
      <c r="I280" s="450">
        <v>20000</v>
      </c>
      <c r="J280" s="448" t="s">
        <v>1801</v>
      </c>
      <c r="K280" s="449">
        <v>5.1099999999999995E-4</v>
      </c>
      <c r="L280" s="449" t="s">
        <v>414</v>
      </c>
      <c r="M280" s="922">
        <v>2.0891300000000002E-2</v>
      </c>
      <c r="N280" s="450">
        <v>8.4901599999999994E-2</v>
      </c>
      <c r="O280" s="537" t="s">
        <v>2367</v>
      </c>
      <c r="P280" s="450">
        <v>1.0000000000000001E-5</v>
      </c>
      <c r="Q280" s="537" t="s">
        <v>2367</v>
      </c>
      <c r="R280" s="543">
        <v>345.5</v>
      </c>
      <c r="S280" s="540" t="s">
        <v>414</v>
      </c>
      <c r="T280" s="543">
        <v>519.13</v>
      </c>
      <c r="U280" s="540" t="s">
        <v>2180</v>
      </c>
      <c r="V280" s="451">
        <v>7800</v>
      </c>
      <c r="W280" s="540" t="s">
        <v>2180</v>
      </c>
      <c r="X280" s="449">
        <v>5.5830000000000002</v>
      </c>
      <c r="Y280" s="455" t="s">
        <v>414</v>
      </c>
      <c r="Z280" s="455" t="s">
        <v>2203</v>
      </c>
      <c r="AA280" s="455" t="s">
        <v>43</v>
      </c>
      <c r="AB280" s="455">
        <v>0.2</v>
      </c>
      <c r="AC280" s="455" t="s">
        <v>280</v>
      </c>
      <c r="AD280" s="452" t="s">
        <v>1731</v>
      </c>
      <c r="AE280" s="484" t="s">
        <v>1731</v>
      </c>
      <c r="AF280" s="484" t="s">
        <v>2512</v>
      </c>
      <c r="AG280" s="452" t="s">
        <v>78</v>
      </c>
      <c r="AH280" s="550"/>
    </row>
    <row r="281" spans="1:34" s="439" customFormat="1" ht="15">
      <c r="A281" s="453" t="s">
        <v>1618</v>
      </c>
      <c r="B281" s="447" t="s">
        <v>1619</v>
      </c>
      <c r="C281" s="448">
        <v>106.95</v>
      </c>
      <c r="D281" s="448" t="s">
        <v>1801</v>
      </c>
      <c r="E281" s="449">
        <v>1033</v>
      </c>
      <c r="F281" s="449" t="s">
        <v>1801</v>
      </c>
      <c r="G281" s="450">
        <f t="shared" si="6"/>
        <v>5943073008.5639286</v>
      </c>
      <c r="H281" s="450" t="s">
        <v>2207</v>
      </c>
      <c r="I281" s="450">
        <v>7600</v>
      </c>
      <c r="J281" s="448" t="s">
        <v>1801</v>
      </c>
      <c r="K281" s="449">
        <v>1.23E-2</v>
      </c>
      <c r="L281" s="449" t="s">
        <v>1801</v>
      </c>
      <c r="M281" s="922">
        <v>0.50286180000000003</v>
      </c>
      <c r="N281" s="450">
        <v>8.6223800000000003E-2</v>
      </c>
      <c r="O281" s="537" t="s">
        <v>2367</v>
      </c>
      <c r="P281" s="450">
        <v>1.17E-5</v>
      </c>
      <c r="Q281" s="537" t="s">
        <v>2367</v>
      </c>
      <c r="R281" s="543">
        <v>288.8</v>
      </c>
      <c r="S281" s="540" t="s">
        <v>2173</v>
      </c>
      <c r="T281" s="543">
        <v>463.51</v>
      </c>
      <c r="U281" s="540" t="s">
        <v>2179</v>
      </c>
      <c r="V281" s="451">
        <v>5397.92</v>
      </c>
      <c r="W281" s="540" t="s">
        <v>2174</v>
      </c>
      <c r="X281" s="449">
        <v>21.73</v>
      </c>
      <c r="Y281" s="455" t="s">
        <v>414</v>
      </c>
      <c r="Z281" s="455">
        <v>3.1999999999999999E-5</v>
      </c>
      <c r="AA281" s="455" t="s">
        <v>13</v>
      </c>
      <c r="AB281" s="455">
        <v>3.0000000000000001E-3</v>
      </c>
      <c r="AC281" s="455" t="s">
        <v>280</v>
      </c>
      <c r="AD281" s="452" t="s">
        <v>1731</v>
      </c>
      <c r="AE281" s="484" t="s">
        <v>1731</v>
      </c>
      <c r="AF281" s="484" t="s">
        <v>2512</v>
      </c>
      <c r="AG281" s="452"/>
      <c r="AH281" s="550"/>
    </row>
    <row r="282" spans="1:34" s="439" customFormat="1" ht="15">
      <c r="A282" s="453" t="s">
        <v>1620</v>
      </c>
      <c r="B282" s="447" t="s">
        <v>1621</v>
      </c>
      <c r="C282" s="448">
        <v>62.499000000000002</v>
      </c>
      <c r="D282" s="448" t="s">
        <v>1801</v>
      </c>
      <c r="E282" s="449">
        <v>2980</v>
      </c>
      <c r="F282" s="449" t="s">
        <v>414</v>
      </c>
      <c r="G282" s="450">
        <f t="shared" si="6"/>
        <v>10018882601.024229</v>
      </c>
      <c r="H282" s="450" t="s">
        <v>2207</v>
      </c>
      <c r="I282" s="450">
        <v>8800</v>
      </c>
      <c r="J282" s="448" t="s">
        <v>1801</v>
      </c>
      <c r="K282" s="449">
        <v>2.7799999999999998E-2</v>
      </c>
      <c r="L282" s="449" t="s">
        <v>1801</v>
      </c>
      <c r="M282" s="922">
        <v>1.1365495000000001</v>
      </c>
      <c r="N282" s="450">
        <v>0.1071202</v>
      </c>
      <c r="O282" s="537" t="s">
        <v>2367</v>
      </c>
      <c r="P282" s="450">
        <v>1.2E-5</v>
      </c>
      <c r="Q282" s="537" t="s">
        <v>2367</v>
      </c>
      <c r="R282" s="543">
        <v>259.7</v>
      </c>
      <c r="S282" s="540" t="s">
        <v>414</v>
      </c>
      <c r="T282" s="543">
        <v>432</v>
      </c>
      <c r="U282" s="540" t="s">
        <v>2180</v>
      </c>
      <c r="V282" s="451">
        <v>5250</v>
      </c>
      <c r="W282" s="540" t="s">
        <v>2180</v>
      </c>
      <c r="X282" s="449">
        <v>21.73</v>
      </c>
      <c r="Y282" s="455" t="s">
        <v>414</v>
      </c>
      <c r="Z282" s="455">
        <v>4.4000000000000002E-6</v>
      </c>
      <c r="AA282" s="455" t="s">
        <v>280</v>
      </c>
      <c r="AB282" s="455">
        <v>0.1</v>
      </c>
      <c r="AC282" s="455" t="s">
        <v>280</v>
      </c>
      <c r="AD282" s="452" t="s">
        <v>2515</v>
      </c>
      <c r="AE282" s="484" t="s">
        <v>1731</v>
      </c>
      <c r="AF282" s="484" t="s">
        <v>2512</v>
      </c>
      <c r="AG282" s="452"/>
      <c r="AH282" s="550"/>
    </row>
    <row r="283" spans="1:34" s="439" customFormat="1" ht="15">
      <c r="A283" s="453" t="s">
        <v>171</v>
      </c>
      <c r="B283" s="447" t="s">
        <v>1627</v>
      </c>
      <c r="C283" s="448">
        <v>106.17</v>
      </c>
      <c r="D283" s="448" t="s">
        <v>1801</v>
      </c>
      <c r="E283" s="449">
        <v>8.2899999999999991</v>
      </c>
      <c r="F283" s="449" t="s">
        <v>1801</v>
      </c>
      <c r="G283" s="450">
        <f t="shared" si="6"/>
        <v>47346328.054396003</v>
      </c>
      <c r="H283" s="450" t="s">
        <v>2207</v>
      </c>
      <c r="I283" s="450">
        <v>161</v>
      </c>
      <c r="J283" s="448" t="s">
        <v>1801</v>
      </c>
      <c r="K283" s="449">
        <v>7.1799999999999998E-3</v>
      </c>
      <c r="L283" s="449" t="s">
        <v>1801</v>
      </c>
      <c r="M283" s="922">
        <v>0.29354049999999998</v>
      </c>
      <c r="N283" s="450">
        <v>6.8365899999999993E-2</v>
      </c>
      <c r="O283" s="537" t="s">
        <v>2367</v>
      </c>
      <c r="P283" s="450">
        <v>8.4393999999999992E-6</v>
      </c>
      <c r="Q283" s="537" t="s">
        <v>2367</v>
      </c>
      <c r="R283" s="543">
        <v>412.1</v>
      </c>
      <c r="S283" s="540" t="s">
        <v>414</v>
      </c>
      <c r="T283" s="543">
        <v>617.04999999999995</v>
      </c>
      <c r="U283" s="540" t="s">
        <v>2180</v>
      </c>
      <c r="V283" s="451">
        <v>8523</v>
      </c>
      <c r="W283" s="540" t="s">
        <v>2180</v>
      </c>
      <c r="X283" s="449">
        <v>375.3</v>
      </c>
      <c r="Y283" s="455" t="s">
        <v>414</v>
      </c>
      <c r="Z283" s="455" t="s">
        <v>2203</v>
      </c>
      <c r="AA283" s="455" t="s">
        <v>43</v>
      </c>
      <c r="AB283" s="455">
        <v>0.1</v>
      </c>
      <c r="AC283" s="455" t="s">
        <v>14</v>
      </c>
      <c r="AD283" s="452" t="s">
        <v>1731</v>
      </c>
      <c r="AE283" s="484" t="s">
        <v>2513</v>
      </c>
      <c r="AF283" s="484" t="s">
        <v>2512</v>
      </c>
      <c r="AG283" s="452"/>
      <c r="AH283" s="550"/>
    </row>
    <row r="284" spans="1:34" s="439" customFormat="1" ht="15">
      <c r="A284" s="453" t="s">
        <v>175</v>
      </c>
      <c r="B284" s="447" t="s">
        <v>1628</v>
      </c>
      <c r="C284" s="448">
        <v>106.17</v>
      </c>
      <c r="D284" s="448" t="s">
        <v>1801</v>
      </c>
      <c r="E284" s="449">
        <v>6.61</v>
      </c>
      <c r="F284" s="449" t="s">
        <v>1801</v>
      </c>
      <c r="G284" s="450">
        <f t="shared" si="6"/>
        <v>37751414.769548573</v>
      </c>
      <c r="H284" s="450" t="s">
        <v>2207</v>
      </c>
      <c r="I284" s="450">
        <v>178</v>
      </c>
      <c r="J284" s="448" t="s">
        <v>1801</v>
      </c>
      <c r="K284" s="449">
        <v>5.1799999999999997E-3</v>
      </c>
      <c r="L284" s="449" t="s">
        <v>1801</v>
      </c>
      <c r="M284" s="922">
        <v>0.2117743</v>
      </c>
      <c r="N284" s="450">
        <v>6.8920099999999998E-2</v>
      </c>
      <c r="O284" s="537" t="s">
        <v>2367</v>
      </c>
      <c r="P284" s="450">
        <v>8.5314999999999995E-6</v>
      </c>
      <c r="Q284" s="537" t="s">
        <v>2367</v>
      </c>
      <c r="R284" s="543">
        <v>411.5</v>
      </c>
      <c r="S284" s="540" t="s">
        <v>414</v>
      </c>
      <c r="T284" s="543">
        <v>630.29999999999995</v>
      </c>
      <c r="U284" s="540" t="s">
        <v>2180</v>
      </c>
      <c r="V284" s="451">
        <v>8661</v>
      </c>
      <c r="W284" s="540" t="s">
        <v>2180</v>
      </c>
      <c r="X284" s="449">
        <v>382.9</v>
      </c>
      <c r="Y284" s="455" t="s">
        <v>414</v>
      </c>
      <c r="Z284" s="455" t="s">
        <v>2203</v>
      </c>
      <c r="AA284" s="455" t="s">
        <v>43</v>
      </c>
      <c r="AB284" s="455">
        <v>0.1</v>
      </c>
      <c r="AC284" s="455" t="s">
        <v>14</v>
      </c>
      <c r="AD284" s="452" t="s">
        <v>1731</v>
      </c>
      <c r="AE284" s="484" t="s">
        <v>2513</v>
      </c>
      <c r="AF284" s="484" t="s">
        <v>2512</v>
      </c>
      <c r="AG284" s="452"/>
      <c r="AH284" s="550"/>
    </row>
    <row r="285" spans="1:34" s="439" customFormat="1" ht="15">
      <c r="A285" s="453" t="s">
        <v>1625</v>
      </c>
      <c r="B285" s="447" t="s">
        <v>1626</v>
      </c>
      <c r="C285" s="448">
        <v>106.17</v>
      </c>
      <c r="D285" s="448" t="s">
        <v>1801</v>
      </c>
      <c r="E285" s="449">
        <v>8.84</v>
      </c>
      <c r="F285" s="449" t="s">
        <v>1801</v>
      </c>
      <c r="G285" s="450">
        <f t="shared" si="6"/>
        <v>50487519.903602019</v>
      </c>
      <c r="H285" s="450" t="s">
        <v>2207</v>
      </c>
      <c r="I285" s="450">
        <v>162</v>
      </c>
      <c r="J285" s="448" t="s">
        <v>1801</v>
      </c>
      <c r="K285" s="449">
        <v>6.8999999999999999E-3</v>
      </c>
      <c r="L285" s="449" t="s">
        <v>1801</v>
      </c>
      <c r="M285" s="922">
        <v>0.28209319999999999</v>
      </c>
      <c r="N285" s="450">
        <v>6.8248500000000004E-2</v>
      </c>
      <c r="O285" s="537" t="s">
        <v>2367</v>
      </c>
      <c r="P285" s="450">
        <v>8.4199000000000005E-6</v>
      </c>
      <c r="Q285" s="537" t="s">
        <v>2367</v>
      </c>
      <c r="R285" s="543">
        <v>411.3</v>
      </c>
      <c r="S285" s="540" t="s">
        <v>414</v>
      </c>
      <c r="T285" s="543">
        <v>616.20000000000005</v>
      </c>
      <c r="U285" s="540" t="s">
        <v>2180</v>
      </c>
      <c r="V285" s="451">
        <v>8525</v>
      </c>
      <c r="W285" s="540" t="s">
        <v>2180</v>
      </c>
      <c r="X285" s="449">
        <v>375.3</v>
      </c>
      <c r="Y285" s="455" t="s">
        <v>414</v>
      </c>
      <c r="Z285" s="455" t="s">
        <v>2203</v>
      </c>
      <c r="AA285" s="455" t="s">
        <v>43</v>
      </c>
      <c r="AB285" s="455">
        <v>0.1</v>
      </c>
      <c r="AC285" s="455" t="s">
        <v>14</v>
      </c>
      <c r="AD285" s="452" t="s">
        <v>1731</v>
      </c>
      <c r="AE285" s="484" t="s">
        <v>2513</v>
      </c>
      <c r="AF285" s="484" t="s">
        <v>2512</v>
      </c>
      <c r="AG285" s="452"/>
      <c r="AH285" s="550"/>
    </row>
    <row r="286" spans="1:34" s="439" customFormat="1" ht="15">
      <c r="A286" s="453" t="s">
        <v>2411</v>
      </c>
      <c r="B286" s="447" t="s">
        <v>2412</v>
      </c>
      <c r="C286" s="448">
        <v>100.21</v>
      </c>
      <c r="D286" s="448" t="s">
        <v>1801</v>
      </c>
      <c r="E286" s="449">
        <v>46</v>
      </c>
      <c r="F286" s="449" t="s">
        <v>1801</v>
      </c>
      <c r="G286" s="450">
        <f t="shared" si="6"/>
        <v>247969832.59456897</v>
      </c>
      <c r="H286" s="450" t="s">
        <v>2207</v>
      </c>
      <c r="I286" s="450">
        <v>3.4</v>
      </c>
      <c r="J286" s="448" t="s">
        <v>1801</v>
      </c>
      <c r="K286" s="449">
        <v>2</v>
      </c>
      <c r="L286" s="449" t="s">
        <v>414</v>
      </c>
      <c r="M286" s="922">
        <v>81.766148999999999</v>
      </c>
      <c r="N286" s="450">
        <v>6.4921199999999998E-2</v>
      </c>
      <c r="O286" s="537" t="s">
        <v>2367</v>
      </c>
      <c r="P286" s="450">
        <v>7.5865000000000001E-6</v>
      </c>
      <c r="Q286" s="537" t="s">
        <v>2367</v>
      </c>
      <c r="R286" s="543">
        <v>371.5</v>
      </c>
      <c r="S286" s="540" t="s">
        <v>1801</v>
      </c>
      <c r="T286" s="543" t="s">
        <v>2035</v>
      </c>
      <c r="U286" s="540"/>
      <c r="V286" s="451" t="s">
        <v>2024</v>
      </c>
      <c r="W286" s="540"/>
      <c r="X286" s="449">
        <v>239.7</v>
      </c>
      <c r="Y286" s="455" t="s">
        <v>414</v>
      </c>
      <c r="Z286" s="455" t="s">
        <v>2203</v>
      </c>
      <c r="AA286" s="455" t="s">
        <v>43</v>
      </c>
      <c r="AB286" s="455">
        <v>0.4</v>
      </c>
      <c r="AC286" s="455" t="s">
        <v>281</v>
      </c>
      <c r="AD286" s="452" t="s">
        <v>1731</v>
      </c>
      <c r="AE286" s="452" t="s">
        <v>1731</v>
      </c>
      <c r="AF286" s="484"/>
      <c r="AG286" s="452"/>
      <c r="AH286" s="550"/>
    </row>
    <row r="287" spans="1:34" s="439" customFormat="1" ht="15">
      <c r="A287" s="453" t="s">
        <v>2428</v>
      </c>
      <c r="B287" s="447" t="s">
        <v>2429</v>
      </c>
      <c r="C287" s="448">
        <v>135.19</v>
      </c>
      <c r="D287" s="448" t="s">
        <v>1801</v>
      </c>
      <c r="E287" s="449">
        <v>1.5</v>
      </c>
      <c r="F287" s="449" t="s">
        <v>1801</v>
      </c>
      <c r="G287" s="450">
        <f t="shared" si="6"/>
        <v>10908518.741662005</v>
      </c>
      <c r="H287" s="450" t="s">
        <v>2207</v>
      </c>
      <c r="I287" s="450">
        <v>89.9</v>
      </c>
      <c r="J287" s="448" t="s">
        <v>1801</v>
      </c>
      <c r="K287" s="449">
        <v>2.97E-3</v>
      </c>
      <c r="L287" s="449" t="s">
        <v>414</v>
      </c>
      <c r="M287" s="922">
        <v>0.12142269999999999</v>
      </c>
      <c r="N287" s="450">
        <v>5.9149599999999997E-2</v>
      </c>
      <c r="O287" s="537" t="s">
        <v>2367</v>
      </c>
      <c r="P287" s="450">
        <v>8.6023999999999992E-6</v>
      </c>
      <c r="Q287" s="537" t="s">
        <v>2367</v>
      </c>
      <c r="R287" s="543"/>
      <c r="S287" s="540"/>
      <c r="T287" s="543" t="s">
        <v>2035</v>
      </c>
      <c r="U287" s="540"/>
      <c r="V287" s="451" t="s">
        <v>2024</v>
      </c>
      <c r="W287" s="540"/>
      <c r="X287" s="449">
        <v>218.8</v>
      </c>
      <c r="Y287" s="455" t="s">
        <v>414</v>
      </c>
      <c r="Z287" s="455" t="s">
        <v>2203</v>
      </c>
      <c r="AA287" s="455" t="s">
        <v>43</v>
      </c>
      <c r="AB287" s="455" t="s">
        <v>2203</v>
      </c>
      <c r="AC287" s="455" t="s">
        <v>43</v>
      </c>
      <c r="AD287" s="452" t="s">
        <v>1731</v>
      </c>
      <c r="AE287" s="452" t="s">
        <v>1731</v>
      </c>
      <c r="AF287" s="484"/>
      <c r="AG287" s="452"/>
      <c r="AH287" s="550"/>
    </row>
    <row r="288" spans="1:34" s="439" customFormat="1" ht="15">
      <c r="A288" s="453" t="s">
        <v>2438</v>
      </c>
      <c r="B288" s="447" t="s">
        <v>2439</v>
      </c>
      <c r="C288" s="448">
        <v>174.16</v>
      </c>
      <c r="D288" s="448" t="s">
        <v>414</v>
      </c>
      <c r="E288" s="449">
        <v>8.0000000000000002E-3</v>
      </c>
      <c r="F288" s="449" t="s">
        <v>414</v>
      </c>
      <c r="G288" s="450">
        <f t="shared" si="6"/>
        <v>74949.434092180571</v>
      </c>
      <c r="H288" s="450" t="s">
        <v>2207</v>
      </c>
      <c r="I288" s="450">
        <v>37.57</v>
      </c>
      <c r="J288" s="448" t="s">
        <v>414</v>
      </c>
      <c r="K288" s="449">
        <v>1.11E-5</v>
      </c>
      <c r="L288" s="449" t="s">
        <v>414</v>
      </c>
      <c r="M288" s="922">
        <v>4.5380000000000003E-4</v>
      </c>
      <c r="N288" s="450">
        <v>4.0256699999999999E-2</v>
      </c>
      <c r="O288" s="537" t="s">
        <v>2367</v>
      </c>
      <c r="P288" s="450">
        <v>7.7527999999999997E-6</v>
      </c>
      <c r="Q288" s="537" t="s">
        <v>2367</v>
      </c>
      <c r="R288" s="543">
        <v>524</v>
      </c>
      <c r="S288" s="540" t="s">
        <v>1801</v>
      </c>
      <c r="T288" s="543" t="s">
        <v>2035</v>
      </c>
      <c r="U288" s="540"/>
      <c r="V288" s="451" t="s">
        <v>2024</v>
      </c>
      <c r="W288" s="540"/>
      <c r="X288" s="449">
        <v>7424</v>
      </c>
      <c r="Y288" s="455" t="s">
        <v>414</v>
      </c>
      <c r="Z288" s="455">
        <v>1.1E-5</v>
      </c>
      <c r="AA288" s="455" t="s">
        <v>2507</v>
      </c>
      <c r="AB288" s="455">
        <v>7.9999999999999996E-6</v>
      </c>
      <c r="AC288" s="455" t="s">
        <v>2507</v>
      </c>
      <c r="AD288" s="452" t="s">
        <v>1731</v>
      </c>
      <c r="AE288" s="452" t="s">
        <v>1731</v>
      </c>
      <c r="AF288" s="484"/>
      <c r="AG288" s="452" t="s">
        <v>2051</v>
      </c>
      <c r="AH288" s="550"/>
    </row>
    <row r="289" spans="1:34" s="439" customFormat="1" ht="15">
      <c r="A289" s="453" t="s">
        <v>2440</v>
      </c>
      <c r="B289" s="447" t="s">
        <v>2441</v>
      </c>
      <c r="C289" s="448">
        <v>174.16</v>
      </c>
      <c r="D289" s="448" t="s">
        <v>414</v>
      </c>
      <c r="E289" s="449">
        <v>2.0899999999999998E-2</v>
      </c>
      <c r="F289" s="449" t="s">
        <v>414</v>
      </c>
      <c r="G289" s="450">
        <f t="shared" si="6"/>
        <v>195805.39656582169</v>
      </c>
      <c r="H289" s="450" t="s">
        <v>2207</v>
      </c>
      <c r="I289" s="450">
        <v>37.57</v>
      </c>
      <c r="J289" s="448" t="s">
        <v>414</v>
      </c>
      <c r="K289" s="449">
        <v>1.11E-5</v>
      </c>
      <c r="L289" s="449" t="s">
        <v>414</v>
      </c>
      <c r="M289" s="922">
        <v>4.5380000000000003E-4</v>
      </c>
      <c r="N289" s="450">
        <v>6.0923900000000003E-2</v>
      </c>
      <c r="O289" s="537" t="s">
        <v>2367</v>
      </c>
      <c r="P289" s="450">
        <v>7.1184999999999997E-6</v>
      </c>
      <c r="Q289" s="537" t="s">
        <v>2367</v>
      </c>
      <c r="R289" s="543">
        <v>500.05</v>
      </c>
      <c r="S289" s="540" t="s">
        <v>414</v>
      </c>
      <c r="T289" s="543" t="s">
        <v>2035</v>
      </c>
      <c r="U289" s="540"/>
      <c r="V289" s="451" t="s">
        <v>2024</v>
      </c>
      <c r="W289" s="540"/>
      <c r="X289" s="449">
        <v>7576</v>
      </c>
      <c r="Y289" s="455" t="s">
        <v>414</v>
      </c>
      <c r="Z289" s="455">
        <v>1.1E-5</v>
      </c>
      <c r="AA289" s="455" t="s">
        <v>2507</v>
      </c>
      <c r="AB289" s="455">
        <v>7.9999999999999996E-6</v>
      </c>
      <c r="AC289" s="455" t="s">
        <v>2507</v>
      </c>
      <c r="AD289" s="452" t="s">
        <v>1731</v>
      </c>
      <c r="AE289" s="452" t="s">
        <v>1731</v>
      </c>
      <c r="AF289" s="484"/>
      <c r="AG289" s="452" t="s">
        <v>94</v>
      </c>
      <c r="AH289" s="550"/>
    </row>
    <row r="290" spans="1:34" s="439" customFormat="1" ht="15">
      <c r="A290" s="453" t="s">
        <v>1928</v>
      </c>
      <c r="B290" s="447" t="s">
        <v>1624</v>
      </c>
      <c r="C290" s="448">
        <v>106.17</v>
      </c>
      <c r="D290" s="448" t="s">
        <v>1801</v>
      </c>
      <c r="E290" s="449">
        <v>7.99</v>
      </c>
      <c r="F290" s="449" t="s">
        <v>1801</v>
      </c>
      <c r="G290" s="450">
        <f t="shared" si="6"/>
        <v>45632950.682101831</v>
      </c>
      <c r="H290" s="450" t="s">
        <v>2207</v>
      </c>
      <c r="I290" s="450">
        <v>106</v>
      </c>
      <c r="J290" s="448" t="s">
        <v>1801</v>
      </c>
      <c r="K290" s="449">
        <v>6.6299999999999996E-3</v>
      </c>
      <c r="L290" s="449" t="s">
        <v>1801</v>
      </c>
      <c r="M290" s="922">
        <v>0.27105479999999998</v>
      </c>
      <c r="N290" s="450">
        <v>6.8514800000000001E-2</v>
      </c>
      <c r="O290" s="537" t="s">
        <v>2367</v>
      </c>
      <c r="P290" s="450">
        <v>8.4641000000000008E-6</v>
      </c>
      <c r="Q290" s="537" t="s">
        <v>2367</v>
      </c>
      <c r="R290" s="543">
        <v>411.3</v>
      </c>
      <c r="S290" s="540" t="s">
        <v>414</v>
      </c>
      <c r="T290" s="543">
        <v>616.20000000000005</v>
      </c>
      <c r="U290" s="540" t="s">
        <v>2180</v>
      </c>
      <c r="V290" s="451">
        <v>8523</v>
      </c>
      <c r="W290" s="540" t="s">
        <v>2180</v>
      </c>
      <c r="X290" s="449">
        <v>382.9</v>
      </c>
      <c r="Y290" s="455" t="s">
        <v>414</v>
      </c>
      <c r="Z290" s="455" t="s">
        <v>2203</v>
      </c>
      <c r="AA290" s="455" t="s">
        <v>43</v>
      </c>
      <c r="AB290" s="455">
        <v>0.1</v>
      </c>
      <c r="AC290" s="455" t="s">
        <v>280</v>
      </c>
      <c r="AD290" s="452" t="s">
        <v>1731</v>
      </c>
      <c r="AE290" s="484" t="s">
        <v>2513</v>
      </c>
      <c r="AF290" s="484" t="s">
        <v>2512</v>
      </c>
      <c r="AG290" s="452" t="s">
        <v>76</v>
      </c>
      <c r="AH290" s="550"/>
    </row>
    <row r="291" spans="1:34" s="439" customFormat="1" ht="15">
      <c r="A291" s="453" t="s">
        <v>2519</v>
      </c>
      <c r="B291" s="447" t="s">
        <v>2522</v>
      </c>
      <c r="C291" s="448">
        <v>106.17</v>
      </c>
      <c r="D291" s="448" t="s">
        <v>1801</v>
      </c>
      <c r="E291" s="449">
        <v>7.99</v>
      </c>
      <c r="F291" s="449" t="s">
        <v>1801</v>
      </c>
      <c r="G291" s="450">
        <f t="shared" ref="G291:G292" si="7">E291/760*1000000000*C291/24.46</f>
        <v>45632950.682101831</v>
      </c>
      <c r="H291" s="450" t="s">
        <v>2207</v>
      </c>
      <c r="I291" s="450">
        <v>106</v>
      </c>
      <c r="J291" s="448" t="s">
        <v>1801</v>
      </c>
      <c r="K291" s="449">
        <v>6.6299999999999996E-3</v>
      </c>
      <c r="L291" s="449" t="s">
        <v>1801</v>
      </c>
      <c r="M291" s="922">
        <v>0.27105479999999998</v>
      </c>
      <c r="N291" s="450">
        <v>6.8514800000000001E-2</v>
      </c>
      <c r="O291" s="537" t="s">
        <v>2367</v>
      </c>
      <c r="P291" s="450">
        <v>8.4641000000000008E-6</v>
      </c>
      <c r="Q291" s="537" t="s">
        <v>2367</v>
      </c>
      <c r="R291" s="543">
        <v>411.3</v>
      </c>
      <c r="S291" s="540" t="s">
        <v>414</v>
      </c>
      <c r="T291" s="543">
        <v>616.20000000000005</v>
      </c>
      <c r="U291" s="540" t="s">
        <v>2180</v>
      </c>
      <c r="V291" s="451">
        <v>8523</v>
      </c>
      <c r="W291" s="540" t="s">
        <v>2180</v>
      </c>
      <c r="X291" s="449">
        <v>382.9</v>
      </c>
      <c r="Y291" s="455" t="s">
        <v>414</v>
      </c>
      <c r="Z291" s="455" t="s">
        <v>2203</v>
      </c>
      <c r="AA291" s="455" t="s">
        <v>43</v>
      </c>
      <c r="AB291" s="455">
        <v>0.1</v>
      </c>
      <c r="AC291" s="455" t="s">
        <v>280</v>
      </c>
      <c r="AD291" s="452" t="s">
        <v>1731</v>
      </c>
      <c r="AE291" s="484" t="s">
        <v>2513</v>
      </c>
      <c r="AF291" s="484" t="s">
        <v>2512</v>
      </c>
      <c r="AG291" s="452" t="s">
        <v>76</v>
      </c>
      <c r="AH291" s="550"/>
    </row>
    <row r="292" spans="1:34" s="439" customFormat="1" ht="15">
      <c r="A292" s="453" t="s">
        <v>2518</v>
      </c>
      <c r="B292" s="447" t="s">
        <v>2523</v>
      </c>
      <c r="C292" s="448">
        <v>106.17</v>
      </c>
      <c r="D292" s="448" t="s">
        <v>1801</v>
      </c>
      <c r="E292" s="449">
        <v>7.99</v>
      </c>
      <c r="F292" s="449" t="s">
        <v>1801</v>
      </c>
      <c r="G292" s="450">
        <f t="shared" si="7"/>
        <v>45632950.682101831</v>
      </c>
      <c r="H292" s="450" t="s">
        <v>2207</v>
      </c>
      <c r="I292" s="450">
        <v>106</v>
      </c>
      <c r="J292" s="448" t="s">
        <v>1801</v>
      </c>
      <c r="K292" s="449">
        <v>6.6299999999999996E-3</v>
      </c>
      <c r="L292" s="449" t="s">
        <v>1801</v>
      </c>
      <c r="M292" s="922">
        <v>0.27105479999999998</v>
      </c>
      <c r="N292" s="450">
        <v>6.8514800000000001E-2</v>
      </c>
      <c r="O292" s="537" t="s">
        <v>2367</v>
      </c>
      <c r="P292" s="450">
        <v>8.4641000000000008E-6</v>
      </c>
      <c r="Q292" s="537" t="s">
        <v>2367</v>
      </c>
      <c r="R292" s="543">
        <v>411.3</v>
      </c>
      <c r="S292" s="540" t="s">
        <v>414</v>
      </c>
      <c r="T292" s="543">
        <v>616.20000000000005</v>
      </c>
      <c r="U292" s="540" t="s">
        <v>2180</v>
      </c>
      <c r="V292" s="451">
        <v>8523</v>
      </c>
      <c r="W292" s="540" t="s">
        <v>2180</v>
      </c>
      <c r="X292" s="449">
        <v>382.9</v>
      </c>
      <c r="Y292" s="455" t="s">
        <v>414</v>
      </c>
      <c r="Z292" s="455" t="s">
        <v>2203</v>
      </c>
      <c r="AA292" s="455" t="s">
        <v>43</v>
      </c>
      <c r="AB292" s="455">
        <v>0.1</v>
      </c>
      <c r="AC292" s="455" t="s">
        <v>280</v>
      </c>
      <c r="AD292" s="452" t="s">
        <v>1731</v>
      </c>
      <c r="AE292" s="484" t="s">
        <v>2513</v>
      </c>
      <c r="AF292" s="484" t="s">
        <v>2512</v>
      </c>
      <c r="AG292" s="452" t="s">
        <v>76</v>
      </c>
      <c r="AH292" s="550"/>
    </row>
    <row r="293" spans="1:34" s="439" customFormat="1" ht="15">
      <c r="A293" s="472"/>
      <c r="B293" s="447"/>
      <c r="C293" s="454"/>
      <c r="D293" s="448"/>
      <c r="E293" s="449"/>
      <c r="F293" s="450"/>
      <c r="G293" s="450"/>
      <c r="H293" s="450"/>
      <c r="I293" s="450"/>
      <c r="J293" s="448"/>
      <c r="K293" s="450"/>
      <c r="L293" s="450"/>
      <c r="M293" s="451"/>
      <c r="N293" s="450"/>
      <c r="O293" s="537"/>
      <c r="P293" s="450"/>
      <c r="Q293" s="537"/>
      <c r="R293" s="543"/>
      <c r="S293" s="540"/>
      <c r="T293" s="451"/>
      <c r="U293" s="540"/>
      <c r="V293" s="451"/>
      <c r="W293" s="540"/>
      <c r="X293" s="450"/>
      <c r="Y293" s="448"/>
      <c r="Z293" s="455"/>
      <c r="AA293" s="455"/>
      <c r="AB293" s="455"/>
      <c r="AC293" s="455"/>
      <c r="AD293" s="452"/>
      <c r="AE293" s="484"/>
      <c r="AF293" s="484"/>
      <c r="AG293" s="452"/>
      <c r="AH293" s="550"/>
    </row>
    <row r="294" spans="1:34" s="439" customFormat="1" ht="15">
      <c r="A294" s="472"/>
      <c r="B294" s="447"/>
      <c r="C294" s="454"/>
      <c r="D294" s="448"/>
      <c r="E294" s="449"/>
      <c r="F294" s="450"/>
      <c r="G294" s="450"/>
      <c r="H294" s="450"/>
      <c r="I294" s="450"/>
      <c r="J294" s="448"/>
      <c r="K294" s="450"/>
      <c r="L294" s="450"/>
      <c r="M294" s="451"/>
      <c r="N294" s="450"/>
      <c r="O294" s="537"/>
      <c r="P294" s="450"/>
      <c r="Q294" s="537"/>
      <c r="R294" s="543"/>
      <c r="S294" s="540"/>
      <c r="T294" s="451"/>
      <c r="U294" s="540"/>
      <c r="V294" s="451"/>
      <c r="W294" s="540"/>
      <c r="X294" s="450"/>
      <c r="Y294" s="448"/>
      <c r="Z294" s="455"/>
      <c r="AA294" s="455"/>
      <c r="AB294" s="455"/>
      <c r="AC294" s="455"/>
      <c r="AD294" s="452"/>
      <c r="AE294" s="484"/>
      <c r="AF294" s="484"/>
      <c r="AG294" s="452"/>
      <c r="AH294" s="550"/>
    </row>
    <row r="295" spans="1:34" s="439" customFormat="1" ht="15">
      <c r="A295" s="472"/>
      <c r="B295" s="447"/>
      <c r="C295" s="454"/>
      <c r="D295" s="448"/>
      <c r="E295" s="449"/>
      <c r="F295" s="450"/>
      <c r="G295" s="450"/>
      <c r="H295" s="450"/>
      <c r="I295" s="450"/>
      <c r="J295" s="448"/>
      <c r="K295" s="450"/>
      <c r="L295" s="450"/>
      <c r="M295" s="451"/>
      <c r="N295" s="450"/>
      <c r="O295" s="537"/>
      <c r="P295" s="450"/>
      <c r="Q295" s="537"/>
      <c r="R295" s="543"/>
      <c r="S295" s="540"/>
      <c r="T295" s="451"/>
      <c r="U295" s="540"/>
      <c r="V295" s="451"/>
      <c r="W295" s="540"/>
      <c r="X295" s="450"/>
      <c r="Y295" s="448"/>
      <c r="Z295" s="455"/>
      <c r="AA295" s="455"/>
      <c r="AB295" s="455"/>
      <c r="AC295" s="455"/>
      <c r="AD295" s="452"/>
      <c r="AE295" s="484"/>
      <c r="AF295" s="484"/>
      <c r="AG295" s="452"/>
      <c r="AH295" s="550"/>
    </row>
    <row r="296" spans="1:34" s="439" customFormat="1" ht="15">
      <c r="A296" s="472"/>
      <c r="B296" s="447"/>
      <c r="C296" s="454"/>
      <c r="D296" s="448"/>
      <c r="E296" s="449"/>
      <c r="F296" s="450"/>
      <c r="G296" s="450"/>
      <c r="H296" s="450"/>
      <c r="I296" s="450"/>
      <c r="J296" s="448"/>
      <c r="K296" s="450"/>
      <c r="L296" s="450"/>
      <c r="M296" s="451"/>
      <c r="N296" s="450"/>
      <c r="O296" s="537"/>
      <c r="P296" s="450"/>
      <c r="Q296" s="537"/>
      <c r="R296" s="543"/>
      <c r="S296" s="540"/>
      <c r="T296" s="451"/>
      <c r="U296" s="540"/>
      <c r="V296" s="451"/>
      <c r="W296" s="540"/>
      <c r="X296" s="450"/>
      <c r="Y296" s="448"/>
      <c r="Z296" s="455"/>
      <c r="AA296" s="455"/>
      <c r="AB296" s="455"/>
      <c r="AC296" s="455"/>
      <c r="AD296" s="452"/>
      <c r="AE296" s="484"/>
      <c r="AF296" s="484"/>
      <c r="AG296" s="452"/>
      <c r="AH296" s="550"/>
    </row>
    <row r="297" spans="1:34" s="439" customFormat="1" ht="15">
      <c r="A297" s="472"/>
      <c r="B297" s="447"/>
      <c r="C297" s="454"/>
      <c r="D297" s="448"/>
      <c r="E297" s="449"/>
      <c r="F297" s="450"/>
      <c r="G297" s="450"/>
      <c r="H297" s="450"/>
      <c r="I297" s="450"/>
      <c r="J297" s="448"/>
      <c r="K297" s="450"/>
      <c r="L297" s="450"/>
      <c r="M297" s="451"/>
      <c r="N297" s="450"/>
      <c r="O297" s="537"/>
      <c r="P297" s="450"/>
      <c r="Q297" s="537"/>
      <c r="R297" s="543"/>
      <c r="S297" s="540"/>
      <c r="T297" s="451"/>
      <c r="U297" s="540"/>
      <c r="V297" s="451"/>
      <c r="W297" s="540"/>
      <c r="X297" s="450"/>
      <c r="Y297" s="448"/>
      <c r="Z297" s="455"/>
      <c r="AA297" s="455"/>
      <c r="AB297" s="455"/>
      <c r="AC297" s="455"/>
      <c r="AD297" s="452"/>
      <c r="AE297" s="484"/>
      <c r="AF297" s="484"/>
      <c r="AG297" s="452"/>
      <c r="AH297" s="550"/>
    </row>
    <row r="298" spans="1:34" s="439" customFormat="1" ht="15">
      <c r="A298" s="472"/>
      <c r="B298" s="447"/>
      <c r="C298" s="454"/>
      <c r="D298" s="448"/>
      <c r="E298" s="449"/>
      <c r="F298" s="450"/>
      <c r="G298" s="450"/>
      <c r="H298" s="450"/>
      <c r="I298" s="450"/>
      <c r="J298" s="448"/>
      <c r="K298" s="450"/>
      <c r="L298" s="450"/>
      <c r="M298" s="451"/>
      <c r="N298" s="450"/>
      <c r="O298" s="537"/>
      <c r="P298" s="450"/>
      <c r="Q298" s="537"/>
      <c r="R298" s="543"/>
      <c r="S298" s="540"/>
      <c r="T298" s="451"/>
      <c r="U298" s="540"/>
      <c r="V298" s="451"/>
      <c r="W298" s="540"/>
      <c r="X298" s="450"/>
      <c r="Y298" s="448"/>
      <c r="Z298" s="455"/>
      <c r="AA298" s="455"/>
      <c r="AB298" s="455"/>
      <c r="AC298" s="455"/>
      <c r="AD298" s="452"/>
      <c r="AE298" s="484"/>
      <c r="AF298" s="484"/>
      <c r="AG298" s="452"/>
      <c r="AH298" s="550"/>
    </row>
    <row r="299" spans="1:34" s="439" customFormat="1" ht="15">
      <c r="A299" s="472"/>
      <c r="B299" s="447"/>
      <c r="C299" s="454"/>
      <c r="D299" s="448"/>
      <c r="E299" s="449"/>
      <c r="F299" s="450"/>
      <c r="G299" s="450"/>
      <c r="H299" s="450"/>
      <c r="I299" s="450"/>
      <c r="J299" s="448"/>
      <c r="K299" s="450"/>
      <c r="L299" s="450"/>
      <c r="M299" s="451"/>
      <c r="N299" s="450"/>
      <c r="O299" s="537"/>
      <c r="P299" s="450"/>
      <c r="Q299" s="537"/>
      <c r="R299" s="543"/>
      <c r="S299" s="540"/>
      <c r="T299" s="451"/>
      <c r="U299" s="540"/>
      <c r="V299" s="451"/>
      <c r="W299" s="540"/>
      <c r="X299" s="450"/>
      <c r="Y299" s="448"/>
      <c r="Z299" s="455"/>
      <c r="AA299" s="455"/>
      <c r="AB299" s="455"/>
      <c r="AC299" s="455"/>
      <c r="AD299" s="452"/>
      <c r="AE299" s="484"/>
      <c r="AF299" s="484"/>
      <c r="AG299" s="452"/>
      <c r="AH299" s="550"/>
    </row>
    <row r="300" spans="1:34" s="439" customFormat="1" ht="15">
      <c r="A300" s="472"/>
      <c r="B300" s="447"/>
      <c r="C300" s="454"/>
      <c r="D300" s="448"/>
      <c r="E300" s="449"/>
      <c r="F300" s="450"/>
      <c r="G300" s="450"/>
      <c r="H300" s="450"/>
      <c r="I300" s="450"/>
      <c r="J300" s="448"/>
      <c r="K300" s="450"/>
      <c r="L300" s="450"/>
      <c r="M300" s="451"/>
      <c r="N300" s="450"/>
      <c r="O300" s="537"/>
      <c r="P300" s="450"/>
      <c r="Q300" s="537"/>
      <c r="R300" s="543"/>
      <c r="S300" s="540"/>
      <c r="T300" s="451"/>
      <c r="U300" s="540"/>
      <c r="V300" s="451"/>
      <c r="W300" s="540"/>
      <c r="X300" s="450"/>
      <c r="Y300" s="448"/>
      <c r="Z300" s="455"/>
      <c r="AA300" s="455"/>
      <c r="AB300" s="455"/>
      <c r="AC300" s="455"/>
      <c r="AD300" s="452"/>
      <c r="AE300" s="484"/>
      <c r="AF300" s="484"/>
      <c r="AG300" s="452"/>
      <c r="AH300" s="550"/>
    </row>
    <row r="301" spans="1:34" s="439" customFormat="1" ht="15">
      <c r="A301" s="472"/>
      <c r="B301" s="447"/>
      <c r="C301" s="454"/>
      <c r="D301" s="448"/>
      <c r="E301" s="449"/>
      <c r="F301" s="450"/>
      <c r="G301" s="450"/>
      <c r="H301" s="450"/>
      <c r="I301" s="450"/>
      <c r="J301" s="448"/>
      <c r="K301" s="450"/>
      <c r="L301" s="450"/>
      <c r="M301" s="451"/>
      <c r="N301" s="450"/>
      <c r="O301" s="537"/>
      <c r="P301" s="450"/>
      <c r="Q301" s="537"/>
      <c r="R301" s="543"/>
      <c r="S301" s="540"/>
      <c r="T301" s="451"/>
      <c r="U301" s="540"/>
      <c r="V301" s="451"/>
      <c r="W301" s="540"/>
      <c r="X301" s="450"/>
      <c r="Y301" s="448"/>
      <c r="Z301" s="455"/>
      <c r="AA301" s="455"/>
      <c r="AB301" s="455"/>
      <c r="AC301" s="455"/>
      <c r="AD301" s="452"/>
      <c r="AE301" s="484"/>
      <c r="AF301" s="484"/>
      <c r="AG301" s="452"/>
      <c r="AH301" s="550"/>
    </row>
    <row r="302" spans="1:34" s="439" customFormat="1" ht="15">
      <c r="A302" s="472"/>
      <c r="B302" s="447"/>
      <c r="C302" s="454"/>
      <c r="D302" s="448"/>
      <c r="E302" s="449"/>
      <c r="F302" s="450"/>
      <c r="G302" s="450"/>
      <c r="H302" s="450"/>
      <c r="I302" s="450"/>
      <c r="J302" s="448"/>
      <c r="K302" s="450"/>
      <c r="L302" s="450"/>
      <c r="M302" s="451"/>
      <c r="N302" s="450"/>
      <c r="O302" s="537"/>
      <c r="P302" s="450"/>
      <c r="Q302" s="537"/>
      <c r="R302" s="543"/>
      <c r="S302" s="540"/>
      <c r="T302" s="451"/>
      <c r="U302" s="540"/>
      <c r="V302" s="451"/>
      <c r="W302" s="540"/>
      <c r="X302" s="450"/>
      <c r="Y302" s="448"/>
      <c r="Z302" s="455"/>
      <c r="AA302" s="455"/>
      <c r="AB302" s="455"/>
      <c r="AC302" s="455"/>
      <c r="AD302" s="452"/>
      <c r="AE302" s="484"/>
      <c r="AF302" s="484"/>
      <c r="AG302" s="452"/>
      <c r="AH302" s="550"/>
    </row>
    <row r="303" spans="1:34" s="439" customFormat="1" ht="15">
      <c r="A303" s="472"/>
      <c r="B303" s="447"/>
      <c r="C303" s="454"/>
      <c r="D303" s="448"/>
      <c r="E303" s="449"/>
      <c r="F303" s="450"/>
      <c r="G303" s="450"/>
      <c r="H303" s="450"/>
      <c r="I303" s="450"/>
      <c r="J303" s="448"/>
      <c r="K303" s="450"/>
      <c r="L303" s="450"/>
      <c r="M303" s="451"/>
      <c r="N303" s="450"/>
      <c r="O303" s="537"/>
      <c r="P303" s="450"/>
      <c r="Q303" s="537"/>
      <c r="R303" s="543"/>
      <c r="S303" s="540"/>
      <c r="T303" s="451"/>
      <c r="U303" s="540"/>
      <c r="V303" s="451"/>
      <c r="W303" s="540"/>
      <c r="X303" s="450"/>
      <c r="Y303" s="448"/>
      <c r="Z303" s="455"/>
      <c r="AA303" s="455"/>
      <c r="AB303" s="455"/>
      <c r="AC303" s="455"/>
      <c r="AD303" s="452"/>
      <c r="AE303" s="484"/>
      <c r="AF303" s="484"/>
      <c r="AG303" s="452"/>
      <c r="AH303" s="550"/>
    </row>
    <row r="304" spans="1:34" s="439" customFormat="1" ht="15">
      <c r="A304" s="472"/>
      <c r="B304" s="447"/>
      <c r="C304" s="454"/>
      <c r="D304" s="448"/>
      <c r="E304" s="449"/>
      <c r="F304" s="450"/>
      <c r="G304" s="450"/>
      <c r="H304" s="450"/>
      <c r="I304" s="450"/>
      <c r="J304" s="448"/>
      <c r="K304" s="450"/>
      <c r="L304" s="450"/>
      <c r="M304" s="451"/>
      <c r="N304" s="450"/>
      <c r="O304" s="537"/>
      <c r="P304" s="450"/>
      <c r="Q304" s="537"/>
      <c r="R304" s="543"/>
      <c r="S304" s="540"/>
      <c r="T304" s="451"/>
      <c r="U304" s="540"/>
      <c r="V304" s="451"/>
      <c r="W304" s="540"/>
      <c r="X304" s="450"/>
      <c r="Y304" s="448"/>
      <c r="Z304" s="455"/>
      <c r="AA304" s="455"/>
      <c r="AB304" s="455"/>
      <c r="AC304" s="455"/>
      <c r="AD304" s="452"/>
      <c r="AE304" s="484"/>
      <c r="AF304" s="484"/>
      <c r="AG304" s="452"/>
      <c r="AH304" s="550"/>
    </row>
    <row r="305" spans="1:34" s="439" customFormat="1" ht="15">
      <c r="A305" s="472"/>
      <c r="B305" s="447"/>
      <c r="C305" s="454"/>
      <c r="D305" s="448"/>
      <c r="E305" s="449"/>
      <c r="F305" s="450"/>
      <c r="G305" s="450"/>
      <c r="H305" s="450"/>
      <c r="I305" s="450"/>
      <c r="J305" s="448"/>
      <c r="K305" s="450"/>
      <c r="L305" s="450"/>
      <c r="M305" s="451"/>
      <c r="N305" s="450"/>
      <c r="O305" s="537"/>
      <c r="P305" s="450"/>
      <c r="Q305" s="537"/>
      <c r="R305" s="543"/>
      <c r="S305" s="540"/>
      <c r="T305" s="451"/>
      <c r="U305" s="540"/>
      <c r="V305" s="451"/>
      <c r="W305" s="540"/>
      <c r="X305" s="450"/>
      <c r="Y305" s="448"/>
      <c r="Z305" s="455"/>
      <c r="AA305" s="455"/>
      <c r="AB305" s="455"/>
      <c r="AC305" s="455"/>
      <c r="AD305" s="452"/>
      <c r="AE305" s="484"/>
      <c r="AF305" s="484"/>
      <c r="AG305" s="452"/>
      <c r="AH305" s="550"/>
    </row>
    <row r="306" spans="1:34" s="439" customFormat="1" ht="15">
      <c r="A306" s="472"/>
      <c r="B306" s="447"/>
      <c r="C306" s="454"/>
      <c r="D306" s="448"/>
      <c r="E306" s="449"/>
      <c r="F306" s="450"/>
      <c r="G306" s="450"/>
      <c r="H306" s="450"/>
      <c r="I306" s="450"/>
      <c r="J306" s="448"/>
      <c r="K306" s="450"/>
      <c r="L306" s="450"/>
      <c r="M306" s="451"/>
      <c r="N306" s="450"/>
      <c r="O306" s="537"/>
      <c r="P306" s="450"/>
      <c r="Q306" s="537"/>
      <c r="R306" s="543"/>
      <c r="S306" s="540"/>
      <c r="T306" s="451"/>
      <c r="U306" s="540"/>
      <c r="V306" s="451"/>
      <c r="W306" s="540"/>
      <c r="X306" s="450"/>
      <c r="Y306" s="448"/>
      <c r="Z306" s="455"/>
      <c r="AA306" s="455"/>
      <c r="AB306" s="455"/>
      <c r="AC306" s="455"/>
      <c r="AD306" s="452"/>
      <c r="AE306" s="484"/>
      <c r="AF306" s="484"/>
      <c r="AG306" s="452"/>
      <c r="AH306" s="550"/>
    </row>
    <row r="307" spans="1:34" s="439" customFormat="1" ht="15">
      <c r="A307" s="472"/>
      <c r="B307" s="447"/>
      <c r="C307" s="454"/>
      <c r="D307" s="448"/>
      <c r="E307" s="449"/>
      <c r="F307" s="450"/>
      <c r="G307" s="450"/>
      <c r="H307" s="450"/>
      <c r="I307" s="450"/>
      <c r="J307" s="448"/>
      <c r="K307" s="450"/>
      <c r="L307" s="450"/>
      <c r="M307" s="451"/>
      <c r="N307" s="450"/>
      <c r="O307" s="537"/>
      <c r="P307" s="450"/>
      <c r="Q307" s="537"/>
      <c r="R307" s="543"/>
      <c r="S307" s="540"/>
      <c r="T307" s="451"/>
      <c r="U307" s="540"/>
      <c r="V307" s="451"/>
      <c r="W307" s="540"/>
      <c r="X307" s="450"/>
      <c r="Y307" s="448"/>
      <c r="Z307" s="455"/>
      <c r="AA307" s="455"/>
      <c r="AB307" s="455"/>
      <c r="AC307" s="455"/>
      <c r="AD307" s="452"/>
      <c r="AE307" s="484"/>
      <c r="AF307" s="484"/>
      <c r="AG307" s="452"/>
      <c r="AH307" s="550"/>
    </row>
    <row r="308" spans="1:34" s="439" customFormat="1" ht="15">
      <c r="A308" s="472"/>
      <c r="B308" s="447"/>
      <c r="C308" s="454"/>
      <c r="D308" s="448"/>
      <c r="E308" s="449"/>
      <c r="F308" s="450"/>
      <c r="G308" s="450"/>
      <c r="H308" s="450"/>
      <c r="I308" s="450"/>
      <c r="J308" s="448"/>
      <c r="K308" s="450"/>
      <c r="L308" s="450"/>
      <c r="M308" s="451"/>
      <c r="N308" s="450"/>
      <c r="O308" s="537"/>
      <c r="P308" s="450"/>
      <c r="Q308" s="537"/>
      <c r="R308" s="543"/>
      <c r="S308" s="540"/>
      <c r="T308" s="451"/>
      <c r="U308" s="540"/>
      <c r="V308" s="451"/>
      <c r="W308" s="540"/>
      <c r="X308" s="450"/>
      <c r="Y308" s="448"/>
      <c r="Z308" s="455"/>
      <c r="AA308" s="455"/>
      <c r="AB308" s="455"/>
      <c r="AC308" s="455"/>
      <c r="AD308" s="452"/>
      <c r="AE308" s="484"/>
      <c r="AF308" s="484"/>
      <c r="AG308" s="452"/>
      <c r="AH308" s="550"/>
    </row>
    <row r="309" spans="1:34" s="439" customFormat="1" ht="15">
      <c r="A309" s="472"/>
      <c r="B309" s="447"/>
      <c r="C309" s="454"/>
      <c r="D309" s="448"/>
      <c r="E309" s="449"/>
      <c r="F309" s="450"/>
      <c r="G309" s="450"/>
      <c r="H309" s="450"/>
      <c r="I309" s="450"/>
      <c r="J309" s="448"/>
      <c r="K309" s="450"/>
      <c r="L309" s="450"/>
      <c r="M309" s="451"/>
      <c r="N309" s="450"/>
      <c r="O309" s="537"/>
      <c r="P309" s="450"/>
      <c r="Q309" s="537"/>
      <c r="R309" s="543"/>
      <c r="S309" s="540"/>
      <c r="T309" s="451"/>
      <c r="U309" s="540"/>
      <c r="V309" s="451"/>
      <c r="W309" s="540"/>
      <c r="X309" s="450"/>
      <c r="Y309" s="448"/>
      <c r="Z309" s="455"/>
      <c r="AA309" s="455"/>
      <c r="AB309" s="455"/>
      <c r="AC309" s="455"/>
      <c r="AD309" s="452"/>
      <c r="AE309" s="484"/>
      <c r="AF309" s="484"/>
      <c r="AG309" s="452"/>
      <c r="AH309" s="550"/>
    </row>
    <row r="310" spans="1:34" s="439" customFormat="1" ht="15">
      <c r="A310" s="472"/>
      <c r="B310" s="447"/>
      <c r="C310" s="454"/>
      <c r="D310" s="448"/>
      <c r="E310" s="449"/>
      <c r="F310" s="450"/>
      <c r="G310" s="450"/>
      <c r="H310" s="450"/>
      <c r="I310" s="450"/>
      <c r="J310" s="448"/>
      <c r="K310" s="450"/>
      <c r="L310" s="450"/>
      <c r="M310" s="451"/>
      <c r="N310" s="450"/>
      <c r="O310" s="537"/>
      <c r="P310" s="450"/>
      <c r="Q310" s="537"/>
      <c r="R310" s="543"/>
      <c r="S310" s="540"/>
      <c r="T310" s="451"/>
      <c r="U310" s="540"/>
      <c r="V310" s="451"/>
      <c r="W310" s="540"/>
      <c r="X310" s="450"/>
      <c r="Y310" s="448"/>
      <c r="Z310" s="455"/>
      <c r="AA310" s="455"/>
      <c r="AB310" s="455"/>
      <c r="AC310" s="455"/>
      <c r="AD310" s="452"/>
      <c r="AE310" s="484"/>
      <c r="AF310" s="484"/>
      <c r="AG310" s="452"/>
      <c r="AH310" s="550"/>
    </row>
    <row r="311" spans="1:34" s="439" customFormat="1" ht="15">
      <c r="A311" s="472"/>
      <c r="B311" s="447"/>
      <c r="C311" s="454"/>
      <c r="D311" s="448"/>
      <c r="E311" s="449"/>
      <c r="F311" s="450"/>
      <c r="G311" s="450"/>
      <c r="H311" s="450"/>
      <c r="I311" s="450"/>
      <c r="J311" s="448"/>
      <c r="K311" s="450"/>
      <c r="L311" s="450"/>
      <c r="M311" s="451"/>
      <c r="N311" s="450"/>
      <c r="O311" s="537"/>
      <c r="P311" s="450"/>
      <c r="Q311" s="537"/>
      <c r="R311" s="543"/>
      <c r="S311" s="540"/>
      <c r="T311" s="451"/>
      <c r="U311" s="540"/>
      <c r="V311" s="451"/>
      <c r="W311" s="540"/>
      <c r="X311" s="450"/>
      <c r="Y311" s="448"/>
      <c r="Z311" s="455"/>
      <c r="AA311" s="455"/>
      <c r="AB311" s="455"/>
      <c r="AC311" s="455"/>
      <c r="AD311" s="452"/>
      <c r="AE311" s="484"/>
      <c r="AF311" s="484"/>
      <c r="AG311" s="452"/>
      <c r="AH311" s="550"/>
    </row>
    <row r="312" spans="1:34" s="439" customFormat="1" ht="15">
      <c r="A312" s="472"/>
      <c r="B312" s="447"/>
      <c r="C312" s="454"/>
      <c r="D312" s="448"/>
      <c r="E312" s="449"/>
      <c r="F312" s="450"/>
      <c r="G312" s="450"/>
      <c r="H312" s="450"/>
      <c r="I312" s="450"/>
      <c r="J312" s="448"/>
      <c r="K312" s="450"/>
      <c r="L312" s="450"/>
      <c r="M312" s="451"/>
      <c r="N312" s="450"/>
      <c r="O312" s="537"/>
      <c r="P312" s="450"/>
      <c r="Q312" s="537"/>
      <c r="R312" s="543"/>
      <c r="S312" s="540"/>
      <c r="T312" s="451"/>
      <c r="U312" s="540"/>
      <c r="V312" s="451"/>
      <c r="W312" s="540"/>
      <c r="X312" s="450"/>
      <c r="Y312" s="448"/>
      <c r="Z312" s="455"/>
      <c r="AA312" s="455"/>
      <c r="AB312" s="455"/>
      <c r="AC312" s="455"/>
      <c r="AD312" s="452"/>
      <c r="AE312" s="484"/>
      <c r="AF312" s="484"/>
      <c r="AG312" s="452"/>
      <c r="AH312" s="550"/>
    </row>
    <row r="313" spans="1:34" s="439" customFormat="1" ht="15">
      <c r="A313" s="472"/>
      <c r="B313" s="447"/>
      <c r="C313" s="454"/>
      <c r="D313" s="448"/>
      <c r="E313" s="449"/>
      <c r="F313" s="450"/>
      <c r="G313" s="450"/>
      <c r="H313" s="450"/>
      <c r="I313" s="450"/>
      <c r="J313" s="448"/>
      <c r="K313" s="450"/>
      <c r="L313" s="450"/>
      <c r="M313" s="451"/>
      <c r="N313" s="450"/>
      <c r="O313" s="537"/>
      <c r="P313" s="450"/>
      <c r="Q313" s="537"/>
      <c r="R313" s="543"/>
      <c r="S313" s="540"/>
      <c r="T313" s="451"/>
      <c r="U313" s="540"/>
      <c r="V313" s="451"/>
      <c r="W313" s="540"/>
      <c r="X313" s="450"/>
      <c r="Y313" s="448"/>
      <c r="Z313" s="455"/>
      <c r="AA313" s="455"/>
      <c r="AB313" s="455"/>
      <c r="AC313" s="455"/>
      <c r="AD313" s="452"/>
      <c r="AE313" s="484"/>
      <c r="AF313" s="484"/>
      <c r="AG313" s="452"/>
      <c r="AH313" s="550"/>
    </row>
    <row r="314" spans="1:34" s="439" customFormat="1" ht="15">
      <c r="A314" s="472"/>
      <c r="B314" s="447"/>
      <c r="C314" s="454"/>
      <c r="D314" s="448"/>
      <c r="E314" s="449"/>
      <c r="F314" s="450"/>
      <c r="G314" s="450"/>
      <c r="H314" s="450"/>
      <c r="I314" s="450"/>
      <c r="J314" s="448"/>
      <c r="K314" s="450"/>
      <c r="L314" s="450"/>
      <c r="M314" s="451"/>
      <c r="N314" s="450"/>
      <c r="O314" s="537"/>
      <c r="P314" s="450"/>
      <c r="Q314" s="537"/>
      <c r="R314" s="543"/>
      <c r="S314" s="540"/>
      <c r="T314" s="451"/>
      <c r="U314" s="540"/>
      <c r="V314" s="451"/>
      <c r="W314" s="540"/>
      <c r="X314" s="450"/>
      <c r="Y314" s="448"/>
      <c r="Z314" s="455"/>
      <c r="AA314" s="455"/>
      <c r="AB314" s="455"/>
      <c r="AC314" s="455"/>
      <c r="AD314" s="452"/>
      <c r="AE314" s="484"/>
      <c r="AF314" s="484"/>
      <c r="AG314" s="452"/>
      <c r="AH314" s="550"/>
    </row>
    <row r="315" spans="1:34" s="439" customFormat="1" ht="15">
      <c r="A315" s="472"/>
      <c r="B315" s="447"/>
      <c r="C315" s="454"/>
      <c r="D315" s="448"/>
      <c r="E315" s="449"/>
      <c r="F315" s="450"/>
      <c r="G315" s="450"/>
      <c r="H315" s="450"/>
      <c r="I315" s="450"/>
      <c r="J315" s="448"/>
      <c r="K315" s="450"/>
      <c r="L315" s="450"/>
      <c r="M315" s="451"/>
      <c r="N315" s="450"/>
      <c r="O315" s="537"/>
      <c r="P315" s="450"/>
      <c r="Q315" s="537"/>
      <c r="R315" s="543"/>
      <c r="S315" s="540"/>
      <c r="T315" s="451"/>
      <c r="U315" s="540"/>
      <c r="V315" s="451"/>
      <c r="W315" s="540"/>
      <c r="X315" s="450"/>
      <c r="Y315" s="448"/>
      <c r="Z315" s="455"/>
      <c r="AA315" s="455"/>
      <c r="AB315" s="455"/>
      <c r="AC315" s="455"/>
      <c r="AD315" s="452"/>
      <c r="AE315" s="484"/>
      <c r="AF315" s="484"/>
      <c r="AG315" s="452"/>
      <c r="AH315" s="550"/>
    </row>
    <row r="316" spans="1:34" s="439" customFormat="1" ht="15">
      <c r="A316" s="472"/>
      <c r="B316" s="447"/>
      <c r="C316" s="454"/>
      <c r="D316" s="448"/>
      <c r="E316" s="449"/>
      <c r="F316" s="450"/>
      <c r="G316" s="450"/>
      <c r="H316" s="450"/>
      <c r="I316" s="450"/>
      <c r="J316" s="448"/>
      <c r="K316" s="450"/>
      <c r="L316" s="450"/>
      <c r="M316" s="451"/>
      <c r="N316" s="450"/>
      <c r="O316" s="537"/>
      <c r="P316" s="450"/>
      <c r="Q316" s="537"/>
      <c r="R316" s="543"/>
      <c r="S316" s="540"/>
      <c r="T316" s="451"/>
      <c r="U316" s="540"/>
      <c r="V316" s="451"/>
      <c r="W316" s="540"/>
      <c r="X316" s="450"/>
      <c r="Y316" s="448"/>
      <c r="Z316" s="455"/>
      <c r="AA316" s="455"/>
      <c r="AB316" s="455"/>
      <c r="AC316" s="455"/>
      <c r="AD316" s="452"/>
      <c r="AE316" s="484"/>
      <c r="AF316" s="484"/>
      <c r="AG316" s="452"/>
      <c r="AH316" s="550"/>
    </row>
    <row r="317" spans="1:34" s="439" customFormat="1" ht="15">
      <c r="A317" s="472"/>
      <c r="B317" s="447"/>
      <c r="C317" s="454"/>
      <c r="D317" s="448"/>
      <c r="E317" s="449"/>
      <c r="F317" s="450"/>
      <c r="G317" s="450"/>
      <c r="H317" s="450"/>
      <c r="I317" s="450"/>
      <c r="J317" s="448"/>
      <c r="K317" s="450"/>
      <c r="L317" s="450"/>
      <c r="M317" s="451"/>
      <c r="N317" s="450"/>
      <c r="O317" s="537"/>
      <c r="P317" s="450"/>
      <c r="Q317" s="537"/>
      <c r="R317" s="543"/>
      <c r="S317" s="540"/>
      <c r="T317" s="451"/>
      <c r="U317" s="540"/>
      <c r="V317" s="451"/>
      <c r="W317" s="540"/>
      <c r="X317" s="450"/>
      <c r="Y317" s="448"/>
      <c r="Z317" s="455"/>
      <c r="AA317" s="455"/>
      <c r="AB317" s="455"/>
      <c r="AC317" s="455"/>
      <c r="AD317" s="452"/>
      <c r="AE317" s="484"/>
      <c r="AF317" s="484"/>
      <c r="AG317" s="452"/>
      <c r="AH317" s="550"/>
    </row>
    <row r="318" spans="1:34" s="439" customFormat="1" ht="15">
      <c r="A318" s="472"/>
      <c r="B318" s="447"/>
      <c r="C318" s="454"/>
      <c r="D318" s="448"/>
      <c r="E318" s="449"/>
      <c r="F318" s="450"/>
      <c r="G318" s="450"/>
      <c r="H318" s="450"/>
      <c r="I318" s="450"/>
      <c r="J318" s="448"/>
      <c r="K318" s="450"/>
      <c r="L318" s="450"/>
      <c r="M318" s="451"/>
      <c r="N318" s="450"/>
      <c r="O318" s="537"/>
      <c r="P318" s="450"/>
      <c r="Q318" s="537"/>
      <c r="R318" s="543"/>
      <c r="S318" s="540"/>
      <c r="T318" s="451"/>
      <c r="U318" s="540"/>
      <c r="V318" s="451"/>
      <c r="W318" s="540"/>
      <c r="X318" s="450"/>
      <c r="Y318" s="448"/>
      <c r="Z318" s="455"/>
      <c r="AA318" s="455"/>
      <c r="AB318" s="455"/>
      <c r="AC318" s="455"/>
      <c r="AD318" s="452"/>
      <c r="AE318" s="484"/>
      <c r="AF318" s="484"/>
      <c r="AG318" s="452"/>
      <c r="AH318" s="550"/>
    </row>
    <row r="319" spans="1:34" s="439" customFormat="1" ht="15">
      <c r="A319" s="472"/>
      <c r="B319" s="447"/>
      <c r="C319" s="454"/>
      <c r="D319" s="448"/>
      <c r="E319" s="449"/>
      <c r="F319" s="450"/>
      <c r="G319" s="450"/>
      <c r="H319" s="450"/>
      <c r="I319" s="450"/>
      <c r="J319" s="448"/>
      <c r="K319" s="450"/>
      <c r="L319" s="450"/>
      <c r="M319" s="451"/>
      <c r="N319" s="450"/>
      <c r="O319" s="537"/>
      <c r="P319" s="450"/>
      <c r="Q319" s="537"/>
      <c r="R319" s="543"/>
      <c r="S319" s="540"/>
      <c r="T319" s="451"/>
      <c r="U319" s="540"/>
      <c r="V319" s="451"/>
      <c r="W319" s="540"/>
      <c r="X319" s="450"/>
      <c r="Y319" s="448"/>
      <c r="Z319" s="455"/>
      <c r="AA319" s="455"/>
      <c r="AB319" s="455"/>
      <c r="AC319" s="455"/>
      <c r="AD319" s="452"/>
      <c r="AE319" s="484"/>
      <c r="AF319" s="484"/>
      <c r="AG319" s="452"/>
      <c r="AH319" s="550"/>
    </row>
    <row r="320" spans="1:34" s="439" customFormat="1" ht="15">
      <c r="A320" s="472"/>
      <c r="B320" s="447"/>
      <c r="C320" s="454"/>
      <c r="D320" s="448"/>
      <c r="E320" s="449"/>
      <c r="F320" s="450"/>
      <c r="G320" s="450"/>
      <c r="H320" s="450"/>
      <c r="I320" s="450"/>
      <c r="J320" s="448"/>
      <c r="K320" s="450"/>
      <c r="L320" s="450"/>
      <c r="M320" s="451"/>
      <c r="N320" s="450"/>
      <c r="O320" s="537"/>
      <c r="P320" s="450"/>
      <c r="Q320" s="537"/>
      <c r="R320" s="543"/>
      <c r="S320" s="540"/>
      <c r="T320" s="451"/>
      <c r="U320" s="540"/>
      <c r="V320" s="451"/>
      <c r="W320" s="540"/>
      <c r="X320" s="450"/>
      <c r="Y320" s="448"/>
      <c r="Z320" s="455"/>
      <c r="AA320" s="455"/>
      <c r="AB320" s="455"/>
      <c r="AC320" s="455"/>
      <c r="AD320" s="452"/>
      <c r="AE320" s="484"/>
      <c r="AF320" s="484"/>
      <c r="AG320" s="452"/>
      <c r="AH320" s="550"/>
    </row>
    <row r="321" spans="1:34" s="439" customFormat="1" ht="15">
      <c r="A321" s="472"/>
      <c r="B321" s="447"/>
      <c r="C321" s="454"/>
      <c r="D321" s="448"/>
      <c r="E321" s="449"/>
      <c r="F321" s="450"/>
      <c r="G321" s="450"/>
      <c r="H321" s="450"/>
      <c r="I321" s="450"/>
      <c r="J321" s="448"/>
      <c r="K321" s="450"/>
      <c r="L321" s="450"/>
      <c r="M321" s="451"/>
      <c r="N321" s="450"/>
      <c r="O321" s="537"/>
      <c r="P321" s="450"/>
      <c r="Q321" s="537"/>
      <c r="R321" s="543"/>
      <c r="S321" s="540"/>
      <c r="T321" s="451"/>
      <c r="U321" s="540"/>
      <c r="V321" s="451"/>
      <c r="W321" s="540"/>
      <c r="X321" s="450"/>
      <c r="Y321" s="448"/>
      <c r="Z321" s="455"/>
      <c r="AA321" s="455"/>
      <c r="AB321" s="455"/>
      <c r="AC321" s="455"/>
      <c r="AD321" s="452"/>
      <c r="AE321" s="484"/>
      <c r="AF321" s="484"/>
      <c r="AG321" s="452"/>
      <c r="AH321" s="550"/>
    </row>
    <row r="322" spans="1:34" s="439" customFormat="1" ht="15">
      <c r="A322" s="472"/>
      <c r="B322" s="447"/>
      <c r="C322" s="454"/>
      <c r="D322" s="448"/>
      <c r="E322" s="449"/>
      <c r="F322" s="450"/>
      <c r="G322" s="450"/>
      <c r="H322" s="450"/>
      <c r="I322" s="450"/>
      <c r="J322" s="448"/>
      <c r="K322" s="450"/>
      <c r="L322" s="450"/>
      <c r="M322" s="451"/>
      <c r="N322" s="450"/>
      <c r="O322" s="537"/>
      <c r="P322" s="450"/>
      <c r="Q322" s="537"/>
      <c r="R322" s="543"/>
      <c r="S322" s="540"/>
      <c r="T322" s="451"/>
      <c r="U322" s="540"/>
      <c r="V322" s="451"/>
      <c r="W322" s="540"/>
      <c r="X322" s="450"/>
      <c r="Y322" s="448"/>
      <c r="Z322" s="455"/>
      <c r="AA322" s="455"/>
      <c r="AB322" s="455"/>
      <c r="AC322" s="455"/>
      <c r="AD322" s="452"/>
      <c r="AE322" s="484"/>
      <c r="AF322" s="484"/>
      <c r="AG322" s="452"/>
      <c r="AH322" s="550"/>
    </row>
    <row r="323" spans="1:34" s="439" customFormat="1" ht="15">
      <c r="A323" s="472"/>
      <c r="B323" s="447"/>
      <c r="C323" s="454"/>
      <c r="D323" s="448"/>
      <c r="E323" s="449"/>
      <c r="F323" s="450"/>
      <c r="G323" s="450"/>
      <c r="H323" s="450"/>
      <c r="I323" s="450"/>
      <c r="J323" s="448"/>
      <c r="K323" s="450"/>
      <c r="L323" s="450"/>
      <c r="M323" s="451"/>
      <c r="N323" s="450"/>
      <c r="O323" s="537"/>
      <c r="P323" s="450"/>
      <c r="Q323" s="537"/>
      <c r="R323" s="543"/>
      <c r="S323" s="540"/>
      <c r="T323" s="451"/>
      <c r="U323" s="540"/>
      <c r="V323" s="451"/>
      <c r="W323" s="540"/>
      <c r="X323" s="450"/>
      <c r="Y323" s="448"/>
      <c r="Z323" s="455"/>
      <c r="AA323" s="455"/>
      <c r="AB323" s="455"/>
      <c r="AC323" s="455"/>
      <c r="AD323" s="452"/>
      <c r="AE323" s="484"/>
      <c r="AF323" s="484"/>
      <c r="AG323" s="452"/>
      <c r="AH323" s="550"/>
    </row>
    <row r="324" spans="1:34" s="439" customFormat="1" ht="15">
      <c r="A324" s="472"/>
      <c r="B324" s="447"/>
      <c r="C324" s="454"/>
      <c r="D324" s="448"/>
      <c r="E324" s="449"/>
      <c r="F324" s="450"/>
      <c r="G324" s="450"/>
      <c r="H324" s="450"/>
      <c r="I324" s="450"/>
      <c r="J324" s="448"/>
      <c r="K324" s="450"/>
      <c r="L324" s="450"/>
      <c r="M324" s="451"/>
      <c r="N324" s="450"/>
      <c r="O324" s="537"/>
      <c r="P324" s="450"/>
      <c r="Q324" s="537"/>
      <c r="R324" s="543"/>
      <c r="S324" s="540"/>
      <c r="T324" s="451"/>
      <c r="U324" s="540"/>
      <c r="V324" s="451"/>
      <c r="W324" s="540"/>
      <c r="X324" s="450"/>
      <c r="Y324" s="448"/>
      <c r="Z324" s="455"/>
      <c r="AA324" s="455"/>
      <c r="AB324" s="455"/>
      <c r="AC324" s="455"/>
      <c r="AD324" s="452"/>
      <c r="AE324" s="484"/>
      <c r="AF324" s="484"/>
      <c r="AG324" s="452"/>
      <c r="AH324" s="550"/>
    </row>
    <row r="325" spans="1:34" s="439" customFormat="1" ht="15">
      <c r="A325" s="472"/>
      <c r="B325" s="447"/>
      <c r="C325" s="454"/>
      <c r="D325" s="448"/>
      <c r="E325" s="449"/>
      <c r="F325" s="450"/>
      <c r="G325" s="450"/>
      <c r="H325" s="450"/>
      <c r="I325" s="450"/>
      <c r="J325" s="448"/>
      <c r="K325" s="450"/>
      <c r="L325" s="450"/>
      <c r="M325" s="451"/>
      <c r="N325" s="450"/>
      <c r="O325" s="537"/>
      <c r="P325" s="450"/>
      <c r="Q325" s="537"/>
      <c r="R325" s="543"/>
      <c r="S325" s="540"/>
      <c r="T325" s="451"/>
      <c r="U325" s="540"/>
      <c r="V325" s="451"/>
      <c r="W325" s="540"/>
      <c r="X325" s="450"/>
      <c r="Y325" s="448"/>
      <c r="Z325" s="455"/>
      <c r="AA325" s="455"/>
      <c r="AB325" s="455"/>
      <c r="AC325" s="455"/>
      <c r="AD325" s="452"/>
      <c r="AE325" s="484"/>
      <c r="AF325" s="484"/>
      <c r="AG325" s="452"/>
      <c r="AH325" s="550"/>
    </row>
    <row r="326" spans="1:34" s="439" customFormat="1" ht="15">
      <c r="A326" s="472"/>
      <c r="B326" s="447"/>
      <c r="C326" s="454"/>
      <c r="D326" s="448"/>
      <c r="E326" s="449"/>
      <c r="F326" s="450"/>
      <c r="G326" s="450"/>
      <c r="H326" s="450"/>
      <c r="I326" s="450"/>
      <c r="J326" s="448"/>
      <c r="K326" s="450"/>
      <c r="L326" s="450"/>
      <c r="M326" s="451"/>
      <c r="N326" s="450"/>
      <c r="O326" s="537"/>
      <c r="P326" s="450"/>
      <c r="Q326" s="537"/>
      <c r="R326" s="543"/>
      <c r="S326" s="540"/>
      <c r="T326" s="451"/>
      <c r="U326" s="540"/>
      <c r="V326" s="451"/>
      <c r="W326" s="540"/>
      <c r="X326" s="450"/>
      <c r="Y326" s="448"/>
      <c r="Z326" s="455"/>
      <c r="AA326" s="455"/>
      <c r="AB326" s="455"/>
      <c r="AC326" s="455"/>
      <c r="AD326" s="452"/>
      <c r="AE326" s="484"/>
      <c r="AF326" s="484"/>
      <c r="AG326" s="452"/>
      <c r="AH326" s="550"/>
    </row>
    <row r="327" spans="1:34" s="439" customFormat="1" ht="15">
      <c r="A327" s="472"/>
      <c r="B327" s="447"/>
      <c r="C327" s="454"/>
      <c r="D327" s="448"/>
      <c r="E327" s="449"/>
      <c r="F327" s="450"/>
      <c r="G327" s="450"/>
      <c r="H327" s="450"/>
      <c r="I327" s="450"/>
      <c r="J327" s="448"/>
      <c r="K327" s="450"/>
      <c r="L327" s="450"/>
      <c r="M327" s="451"/>
      <c r="N327" s="450"/>
      <c r="O327" s="537"/>
      <c r="P327" s="450"/>
      <c r="Q327" s="537"/>
      <c r="R327" s="543"/>
      <c r="S327" s="540"/>
      <c r="T327" s="451"/>
      <c r="U327" s="540"/>
      <c r="V327" s="451"/>
      <c r="W327" s="540"/>
      <c r="X327" s="450"/>
      <c r="Y327" s="448"/>
      <c r="Z327" s="455"/>
      <c r="AA327" s="455"/>
      <c r="AB327" s="455"/>
      <c r="AC327" s="455"/>
      <c r="AD327" s="452"/>
      <c r="AE327" s="484"/>
      <c r="AF327" s="484"/>
      <c r="AG327" s="452"/>
      <c r="AH327" s="550"/>
    </row>
    <row r="328" spans="1:34" s="439" customFormat="1" ht="15">
      <c r="A328" s="472"/>
      <c r="B328" s="447"/>
      <c r="C328" s="454"/>
      <c r="D328" s="448"/>
      <c r="E328" s="449"/>
      <c r="F328" s="450"/>
      <c r="G328" s="450"/>
      <c r="H328" s="450"/>
      <c r="I328" s="450"/>
      <c r="J328" s="448"/>
      <c r="K328" s="450"/>
      <c r="L328" s="450"/>
      <c r="M328" s="451"/>
      <c r="N328" s="450"/>
      <c r="O328" s="537"/>
      <c r="P328" s="450"/>
      <c r="Q328" s="537"/>
      <c r="R328" s="543"/>
      <c r="S328" s="540"/>
      <c r="T328" s="451"/>
      <c r="U328" s="540"/>
      <c r="V328" s="451"/>
      <c r="W328" s="540"/>
      <c r="X328" s="450"/>
      <c r="Y328" s="448"/>
      <c r="Z328" s="455"/>
      <c r="AA328" s="455"/>
      <c r="AB328" s="455"/>
      <c r="AC328" s="455"/>
      <c r="AD328" s="452"/>
      <c r="AE328" s="484"/>
      <c r="AF328" s="484"/>
      <c r="AG328" s="452"/>
      <c r="AH328" s="550"/>
    </row>
    <row r="329" spans="1:34" s="439" customFormat="1" ht="15">
      <c r="A329" s="472"/>
      <c r="B329" s="447"/>
      <c r="C329" s="454"/>
      <c r="D329" s="448"/>
      <c r="E329" s="449"/>
      <c r="F329" s="450"/>
      <c r="G329" s="450"/>
      <c r="H329" s="450"/>
      <c r="I329" s="450"/>
      <c r="J329" s="448"/>
      <c r="K329" s="450"/>
      <c r="L329" s="450"/>
      <c r="M329" s="451"/>
      <c r="N329" s="450"/>
      <c r="O329" s="537"/>
      <c r="P329" s="450"/>
      <c r="Q329" s="537"/>
      <c r="R329" s="543"/>
      <c r="S329" s="540"/>
      <c r="T329" s="451"/>
      <c r="U329" s="540"/>
      <c r="V329" s="451"/>
      <c r="W329" s="540"/>
      <c r="X329" s="450"/>
      <c r="Y329" s="448"/>
      <c r="Z329" s="455"/>
      <c r="AA329" s="455"/>
      <c r="AB329" s="455"/>
      <c r="AC329" s="455"/>
      <c r="AD329" s="452"/>
      <c r="AE329" s="484"/>
      <c r="AF329" s="484"/>
      <c r="AG329" s="452"/>
      <c r="AH329" s="550"/>
    </row>
    <row r="330" spans="1:34" s="439" customFormat="1" ht="15">
      <c r="A330" s="472"/>
      <c r="B330" s="447"/>
      <c r="C330" s="454"/>
      <c r="D330" s="448"/>
      <c r="E330" s="449"/>
      <c r="F330" s="450"/>
      <c r="G330" s="450"/>
      <c r="H330" s="450"/>
      <c r="I330" s="450"/>
      <c r="J330" s="448"/>
      <c r="K330" s="450"/>
      <c r="L330" s="450"/>
      <c r="M330" s="451"/>
      <c r="N330" s="450"/>
      <c r="O330" s="537"/>
      <c r="P330" s="450"/>
      <c r="Q330" s="537"/>
      <c r="R330" s="543"/>
      <c r="S330" s="540"/>
      <c r="T330" s="451"/>
      <c r="U330" s="540"/>
      <c r="V330" s="451"/>
      <c r="W330" s="540"/>
      <c r="X330" s="450"/>
      <c r="Y330" s="448"/>
      <c r="Z330" s="455"/>
      <c r="AA330" s="455"/>
      <c r="AB330" s="455"/>
      <c r="AC330" s="455"/>
      <c r="AD330" s="452"/>
      <c r="AE330" s="484"/>
      <c r="AF330" s="484"/>
      <c r="AG330" s="452"/>
      <c r="AH330" s="550"/>
    </row>
    <row r="331" spans="1:34" s="439" customFormat="1" ht="15">
      <c r="A331" s="472"/>
      <c r="B331" s="447"/>
      <c r="C331" s="454"/>
      <c r="D331" s="448"/>
      <c r="E331" s="449"/>
      <c r="F331" s="450"/>
      <c r="G331" s="450"/>
      <c r="H331" s="450"/>
      <c r="I331" s="450"/>
      <c r="J331" s="448"/>
      <c r="K331" s="450"/>
      <c r="L331" s="450"/>
      <c r="M331" s="451"/>
      <c r="N331" s="450"/>
      <c r="O331" s="537"/>
      <c r="P331" s="450"/>
      <c r="Q331" s="537"/>
      <c r="R331" s="543"/>
      <c r="S331" s="540"/>
      <c r="T331" s="451"/>
      <c r="U331" s="540"/>
      <c r="V331" s="451"/>
      <c r="W331" s="540"/>
      <c r="X331" s="450"/>
      <c r="Y331" s="448"/>
      <c r="Z331" s="455"/>
      <c r="AA331" s="455"/>
      <c r="AB331" s="455"/>
      <c r="AC331" s="455"/>
      <c r="AD331" s="452"/>
      <c r="AE331" s="484"/>
      <c r="AF331" s="484"/>
      <c r="AG331" s="452"/>
      <c r="AH331" s="550"/>
    </row>
    <row r="332" spans="1:34" s="439" customFormat="1" ht="15">
      <c r="A332" s="472"/>
      <c r="B332" s="447"/>
      <c r="C332" s="454"/>
      <c r="D332" s="448"/>
      <c r="E332" s="449"/>
      <c r="F332" s="450"/>
      <c r="G332" s="450"/>
      <c r="H332" s="450"/>
      <c r="I332" s="450"/>
      <c r="J332" s="448"/>
      <c r="K332" s="450"/>
      <c r="L332" s="450"/>
      <c r="M332" s="451"/>
      <c r="N332" s="450"/>
      <c r="O332" s="537"/>
      <c r="P332" s="450"/>
      <c r="Q332" s="537"/>
      <c r="R332" s="543"/>
      <c r="S332" s="540"/>
      <c r="T332" s="451"/>
      <c r="U332" s="540"/>
      <c r="V332" s="451"/>
      <c r="W332" s="540"/>
      <c r="X332" s="450"/>
      <c r="Y332" s="448"/>
      <c r="Z332" s="455"/>
      <c r="AA332" s="455"/>
      <c r="AB332" s="455"/>
      <c r="AC332" s="455"/>
      <c r="AD332" s="452"/>
      <c r="AE332" s="484"/>
      <c r="AF332" s="484"/>
      <c r="AG332" s="452"/>
      <c r="AH332" s="550"/>
    </row>
    <row r="333" spans="1:34" s="439" customFormat="1" ht="15">
      <c r="A333" s="472"/>
      <c r="B333" s="447"/>
      <c r="C333" s="454"/>
      <c r="D333" s="448"/>
      <c r="E333" s="449"/>
      <c r="F333" s="450"/>
      <c r="G333" s="450"/>
      <c r="H333" s="450"/>
      <c r="I333" s="450"/>
      <c r="J333" s="448"/>
      <c r="K333" s="450"/>
      <c r="L333" s="450"/>
      <c r="M333" s="451"/>
      <c r="N333" s="450"/>
      <c r="O333" s="537"/>
      <c r="P333" s="450"/>
      <c r="Q333" s="537"/>
      <c r="R333" s="543"/>
      <c r="S333" s="540"/>
      <c r="T333" s="451"/>
      <c r="U333" s="540"/>
      <c r="V333" s="451"/>
      <c r="W333" s="540"/>
      <c r="X333" s="450"/>
      <c r="Y333" s="448"/>
      <c r="Z333" s="455"/>
      <c r="AA333" s="455"/>
      <c r="AB333" s="455"/>
      <c r="AC333" s="455"/>
      <c r="AD333" s="452"/>
      <c r="AE333" s="484"/>
      <c r="AF333" s="484"/>
      <c r="AG333" s="452"/>
      <c r="AH333" s="550"/>
    </row>
    <row r="334" spans="1:34" s="439" customFormat="1" ht="15">
      <c r="A334" s="472"/>
      <c r="B334" s="447"/>
      <c r="C334" s="454"/>
      <c r="D334" s="448"/>
      <c r="E334" s="449"/>
      <c r="F334" s="450"/>
      <c r="G334" s="450"/>
      <c r="H334" s="450"/>
      <c r="I334" s="450"/>
      <c r="J334" s="448"/>
      <c r="K334" s="450"/>
      <c r="L334" s="450"/>
      <c r="M334" s="451"/>
      <c r="N334" s="450"/>
      <c r="O334" s="537"/>
      <c r="P334" s="450"/>
      <c r="Q334" s="537"/>
      <c r="R334" s="543"/>
      <c r="S334" s="540"/>
      <c r="T334" s="451"/>
      <c r="U334" s="540"/>
      <c r="V334" s="451"/>
      <c r="W334" s="540"/>
      <c r="X334" s="450"/>
      <c r="Y334" s="448"/>
      <c r="Z334" s="455"/>
      <c r="AA334" s="455"/>
      <c r="AB334" s="455"/>
      <c r="AC334" s="455"/>
      <c r="AD334" s="452"/>
      <c r="AE334" s="484"/>
      <c r="AF334" s="484"/>
      <c r="AG334" s="452"/>
      <c r="AH334" s="550"/>
    </row>
    <row r="335" spans="1:34" s="439" customFormat="1" ht="15">
      <c r="A335" s="472"/>
      <c r="B335" s="447"/>
      <c r="C335" s="454"/>
      <c r="D335" s="448"/>
      <c r="E335" s="449"/>
      <c r="F335" s="450"/>
      <c r="G335" s="450"/>
      <c r="H335" s="450"/>
      <c r="I335" s="450"/>
      <c r="J335" s="448"/>
      <c r="K335" s="450"/>
      <c r="L335" s="450"/>
      <c r="M335" s="451"/>
      <c r="N335" s="450"/>
      <c r="O335" s="537"/>
      <c r="P335" s="450"/>
      <c r="Q335" s="537"/>
      <c r="R335" s="543"/>
      <c r="S335" s="540"/>
      <c r="T335" s="451"/>
      <c r="U335" s="540"/>
      <c r="V335" s="451"/>
      <c r="W335" s="540"/>
      <c r="X335" s="450"/>
      <c r="Y335" s="448"/>
      <c r="Z335" s="455"/>
      <c r="AA335" s="455"/>
      <c r="AB335" s="455"/>
      <c r="AC335" s="455"/>
      <c r="AD335" s="452"/>
      <c r="AE335" s="484"/>
      <c r="AF335" s="484"/>
      <c r="AG335" s="452"/>
      <c r="AH335" s="550"/>
    </row>
    <row r="336" spans="1:34" s="439" customFormat="1" ht="15">
      <c r="A336" s="472"/>
      <c r="B336" s="447"/>
      <c r="C336" s="454"/>
      <c r="D336" s="448"/>
      <c r="E336" s="449"/>
      <c r="F336" s="450"/>
      <c r="G336" s="450"/>
      <c r="H336" s="450"/>
      <c r="I336" s="450"/>
      <c r="J336" s="448"/>
      <c r="K336" s="450"/>
      <c r="L336" s="450"/>
      <c r="M336" s="451"/>
      <c r="N336" s="450"/>
      <c r="O336" s="537"/>
      <c r="P336" s="450"/>
      <c r="Q336" s="537"/>
      <c r="R336" s="543"/>
      <c r="S336" s="540"/>
      <c r="T336" s="451"/>
      <c r="U336" s="540"/>
      <c r="V336" s="451"/>
      <c r="W336" s="540"/>
      <c r="X336" s="450"/>
      <c r="Y336" s="448"/>
      <c r="Z336" s="455"/>
      <c r="AA336" s="455"/>
      <c r="AB336" s="455"/>
      <c r="AC336" s="455"/>
      <c r="AD336" s="452"/>
      <c r="AE336" s="484"/>
      <c r="AF336" s="484"/>
      <c r="AG336" s="452"/>
      <c r="AH336" s="550"/>
    </row>
    <row r="337" spans="1:34" s="439" customFormat="1" ht="15">
      <c r="A337" s="472"/>
      <c r="B337" s="447"/>
      <c r="C337" s="454"/>
      <c r="D337" s="448"/>
      <c r="E337" s="449"/>
      <c r="F337" s="450"/>
      <c r="G337" s="450"/>
      <c r="H337" s="450"/>
      <c r="I337" s="450"/>
      <c r="J337" s="448"/>
      <c r="K337" s="450"/>
      <c r="L337" s="450"/>
      <c r="M337" s="451"/>
      <c r="N337" s="450"/>
      <c r="O337" s="537"/>
      <c r="P337" s="450"/>
      <c r="Q337" s="537"/>
      <c r="R337" s="543"/>
      <c r="S337" s="540"/>
      <c r="T337" s="451"/>
      <c r="U337" s="540"/>
      <c r="V337" s="451"/>
      <c r="W337" s="540"/>
      <c r="X337" s="450"/>
      <c r="Y337" s="448"/>
      <c r="Z337" s="455"/>
      <c r="AA337" s="455"/>
      <c r="AB337" s="455"/>
      <c r="AC337" s="455"/>
      <c r="AD337" s="452"/>
      <c r="AE337" s="484"/>
      <c r="AF337" s="484"/>
      <c r="AG337" s="452"/>
      <c r="AH337" s="550"/>
    </row>
    <row r="338" spans="1:34" s="439" customFormat="1" ht="15">
      <c r="A338" s="472"/>
      <c r="B338" s="447"/>
      <c r="C338" s="454"/>
      <c r="D338" s="448"/>
      <c r="E338" s="449"/>
      <c r="F338" s="450"/>
      <c r="G338" s="450"/>
      <c r="H338" s="450"/>
      <c r="I338" s="450"/>
      <c r="J338" s="448"/>
      <c r="K338" s="450"/>
      <c r="L338" s="450"/>
      <c r="M338" s="451"/>
      <c r="N338" s="450"/>
      <c r="O338" s="537"/>
      <c r="P338" s="450"/>
      <c r="Q338" s="537"/>
      <c r="R338" s="543"/>
      <c r="S338" s="540"/>
      <c r="T338" s="451"/>
      <c r="U338" s="540"/>
      <c r="V338" s="451"/>
      <c r="W338" s="540"/>
      <c r="X338" s="450"/>
      <c r="Y338" s="448"/>
      <c r="Z338" s="455"/>
      <c r="AA338" s="455"/>
      <c r="AB338" s="455"/>
      <c r="AC338" s="455"/>
      <c r="AD338" s="452"/>
      <c r="AE338" s="484"/>
      <c r="AF338" s="484"/>
      <c r="AG338" s="452"/>
      <c r="AH338" s="550"/>
    </row>
    <row r="339" spans="1:34" s="439" customFormat="1" ht="15">
      <c r="A339" s="472"/>
      <c r="B339" s="447"/>
      <c r="C339" s="454"/>
      <c r="D339" s="448"/>
      <c r="E339" s="449"/>
      <c r="F339" s="450"/>
      <c r="G339" s="450"/>
      <c r="H339" s="450"/>
      <c r="I339" s="450"/>
      <c r="J339" s="448"/>
      <c r="K339" s="450"/>
      <c r="L339" s="450"/>
      <c r="M339" s="451"/>
      <c r="N339" s="450"/>
      <c r="O339" s="537"/>
      <c r="P339" s="450"/>
      <c r="Q339" s="537"/>
      <c r="R339" s="543"/>
      <c r="S339" s="540"/>
      <c r="T339" s="451"/>
      <c r="U339" s="540"/>
      <c r="V339" s="451"/>
      <c r="W339" s="540"/>
      <c r="X339" s="450"/>
      <c r="Y339" s="448"/>
      <c r="Z339" s="455"/>
      <c r="AA339" s="455"/>
      <c r="AB339" s="455"/>
      <c r="AC339" s="455"/>
      <c r="AD339" s="452"/>
      <c r="AE339" s="484"/>
      <c r="AF339" s="484"/>
      <c r="AG339" s="452"/>
      <c r="AH339" s="550"/>
    </row>
    <row r="340" spans="1:34" s="439" customFormat="1" ht="15">
      <c r="A340" s="472"/>
      <c r="B340" s="447"/>
      <c r="C340" s="454"/>
      <c r="D340" s="448"/>
      <c r="E340" s="449"/>
      <c r="F340" s="450"/>
      <c r="G340" s="450"/>
      <c r="H340" s="450"/>
      <c r="I340" s="450"/>
      <c r="J340" s="448"/>
      <c r="K340" s="450"/>
      <c r="L340" s="450"/>
      <c r="M340" s="451"/>
      <c r="N340" s="450"/>
      <c r="O340" s="537"/>
      <c r="P340" s="450"/>
      <c r="Q340" s="537"/>
      <c r="R340" s="543"/>
      <c r="S340" s="540"/>
      <c r="T340" s="451"/>
      <c r="U340" s="540"/>
      <c r="V340" s="451"/>
      <c r="W340" s="540"/>
      <c r="X340" s="450"/>
      <c r="Y340" s="448"/>
      <c r="Z340" s="455"/>
      <c r="AA340" s="455"/>
      <c r="AB340" s="455"/>
      <c r="AC340" s="455"/>
      <c r="AD340" s="452"/>
      <c r="AE340" s="484"/>
      <c r="AF340" s="484"/>
      <c r="AG340" s="452"/>
      <c r="AH340" s="550"/>
    </row>
    <row r="341" spans="1:34" s="439" customFormat="1" ht="15">
      <c r="A341" s="472"/>
      <c r="B341" s="447"/>
      <c r="C341" s="454"/>
      <c r="D341" s="448"/>
      <c r="E341" s="449"/>
      <c r="F341" s="450"/>
      <c r="G341" s="450"/>
      <c r="H341" s="450"/>
      <c r="I341" s="450"/>
      <c r="J341" s="448"/>
      <c r="K341" s="450"/>
      <c r="L341" s="450"/>
      <c r="M341" s="451"/>
      <c r="N341" s="450"/>
      <c r="O341" s="537"/>
      <c r="P341" s="450"/>
      <c r="Q341" s="537"/>
      <c r="R341" s="543"/>
      <c r="S341" s="540"/>
      <c r="T341" s="451"/>
      <c r="U341" s="540"/>
      <c r="V341" s="451"/>
      <c r="W341" s="540"/>
      <c r="X341" s="450"/>
      <c r="Y341" s="448"/>
      <c r="Z341" s="455"/>
      <c r="AA341" s="455"/>
      <c r="AB341" s="455"/>
      <c r="AC341" s="455"/>
      <c r="AD341" s="452"/>
      <c r="AE341" s="484"/>
      <c r="AF341" s="484"/>
      <c r="AG341" s="452"/>
      <c r="AH341" s="550"/>
    </row>
    <row r="342" spans="1:34" s="439" customFormat="1" ht="15">
      <c r="A342" s="472"/>
      <c r="B342" s="447"/>
      <c r="C342" s="454"/>
      <c r="D342" s="448"/>
      <c r="E342" s="449"/>
      <c r="F342" s="450"/>
      <c r="G342" s="450"/>
      <c r="H342" s="450"/>
      <c r="I342" s="450"/>
      <c r="J342" s="448"/>
      <c r="K342" s="450"/>
      <c r="L342" s="450"/>
      <c r="M342" s="451"/>
      <c r="N342" s="450"/>
      <c r="O342" s="537"/>
      <c r="P342" s="450"/>
      <c r="Q342" s="537"/>
      <c r="R342" s="543"/>
      <c r="S342" s="540"/>
      <c r="T342" s="451"/>
      <c r="U342" s="540"/>
      <c r="V342" s="451"/>
      <c r="W342" s="540"/>
      <c r="X342" s="450"/>
      <c r="Y342" s="448"/>
      <c r="Z342" s="455"/>
      <c r="AA342" s="455"/>
      <c r="AB342" s="455"/>
      <c r="AC342" s="455"/>
      <c r="AD342" s="452"/>
      <c r="AE342" s="484"/>
      <c r="AF342" s="484"/>
      <c r="AG342" s="452"/>
      <c r="AH342" s="550"/>
    </row>
    <row r="343" spans="1:34" s="439" customFormat="1" ht="15">
      <c r="A343" s="472"/>
      <c r="B343" s="447"/>
      <c r="C343" s="454"/>
      <c r="D343" s="448"/>
      <c r="E343" s="449"/>
      <c r="F343" s="450"/>
      <c r="G343" s="450"/>
      <c r="H343" s="450"/>
      <c r="I343" s="450"/>
      <c r="J343" s="448"/>
      <c r="K343" s="450"/>
      <c r="L343" s="450"/>
      <c r="M343" s="451"/>
      <c r="N343" s="450"/>
      <c r="O343" s="537"/>
      <c r="P343" s="450"/>
      <c r="Q343" s="537"/>
      <c r="R343" s="543"/>
      <c r="S343" s="540"/>
      <c r="T343" s="451"/>
      <c r="U343" s="540"/>
      <c r="V343" s="451"/>
      <c r="W343" s="540"/>
      <c r="X343" s="450"/>
      <c r="Y343" s="448"/>
      <c r="Z343" s="455"/>
      <c r="AA343" s="455"/>
      <c r="AB343" s="455"/>
      <c r="AC343" s="455"/>
      <c r="AD343" s="452"/>
      <c r="AE343" s="484"/>
      <c r="AF343" s="484"/>
      <c r="AG343" s="452"/>
      <c r="AH343" s="550"/>
    </row>
    <row r="344" spans="1:34" s="439" customFormat="1" ht="15">
      <c r="A344" s="472"/>
      <c r="B344" s="447"/>
      <c r="C344" s="454"/>
      <c r="D344" s="448"/>
      <c r="E344" s="449"/>
      <c r="F344" s="450"/>
      <c r="G344" s="450"/>
      <c r="H344" s="450"/>
      <c r="I344" s="450"/>
      <c r="J344" s="448"/>
      <c r="K344" s="450"/>
      <c r="L344" s="450"/>
      <c r="M344" s="451"/>
      <c r="N344" s="450"/>
      <c r="O344" s="537"/>
      <c r="P344" s="450"/>
      <c r="Q344" s="537"/>
      <c r="R344" s="543"/>
      <c r="S344" s="540"/>
      <c r="T344" s="451"/>
      <c r="U344" s="540"/>
      <c r="V344" s="451"/>
      <c r="W344" s="540"/>
      <c r="X344" s="450"/>
      <c r="Y344" s="448"/>
      <c r="Z344" s="455"/>
      <c r="AA344" s="455"/>
      <c r="AB344" s="455"/>
      <c r="AC344" s="455"/>
      <c r="AD344" s="452"/>
      <c r="AE344" s="484"/>
      <c r="AF344" s="484"/>
      <c r="AG344" s="452"/>
      <c r="AH344" s="550"/>
    </row>
    <row r="345" spans="1:34" s="439" customFormat="1" ht="15">
      <c r="A345" s="472"/>
      <c r="B345" s="447"/>
      <c r="C345" s="454"/>
      <c r="D345" s="448"/>
      <c r="E345" s="449"/>
      <c r="F345" s="450"/>
      <c r="G345" s="450"/>
      <c r="H345" s="450"/>
      <c r="I345" s="450"/>
      <c r="J345" s="448"/>
      <c r="K345" s="450"/>
      <c r="L345" s="450"/>
      <c r="M345" s="451"/>
      <c r="N345" s="450"/>
      <c r="O345" s="537"/>
      <c r="P345" s="450"/>
      <c r="Q345" s="537"/>
      <c r="R345" s="543"/>
      <c r="S345" s="540"/>
      <c r="T345" s="451"/>
      <c r="U345" s="540"/>
      <c r="V345" s="451"/>
      <c r="W345" s="540"/>
      <c r="X345" s="450"/>
      <c r="Y345" s="448"/>
      <c r="Z345" s="455"/>
      <c r="AA345" s="455"/>
      <c r="AB345" s="455"/>
      <c r="AC345" s="455"/>
      <c r="AD345" s="452"/>
      <c r="AE345" s="484"/>
      <c r="AF345" s="484"/>
      <c r="AG345" s="452"/>
      <c r="AH345" s="550"/>
    </row>
    <row r="346" spans="1:34" s="439" customFormat="1" ht="15">
      <c r="A346" s="472"/>
      <c r="B346" s="447"/>
      <c r="C346" s="454"/>
      <c r="D346" s="448"/>
      <c r="E346" s="449"/>
      <c r="F346" s="450"/>
      <c r="G346" s="450"/>
      <c r="H346" s="450"/>
      <c r="I346" s="450"/>
      <c r="J346" s="448"/>
      <c r="K346" s="450"/>
      <c r="L346" s="450"/>
      <c r="M346" s="451"/>
      <c r="N346" s="450"/>
      <c r="O346" s="537"/>
      <c r="P346" s="450"/>
      <c r="Q346" s="537"/>
      <c r="R346" s="543"/>
      <c r="S346" s="540"/>
      <c r="T346" s="451"/>
      <c r="U346" s="540"/>
      <c r="V346" s="451"/>
      <c r="W346" s="540"/>
      <c r="X346" s="450"/>
      <c r="Y346" s="448"/>
      <c r="Z346" s="455"/>
      <c r="AA346" s="455"/>
      <c r="AB346" s="455"/>
      <c r="AC346" s="455"/>
      <c r="AD346" s="452"/>
      <c r="AE346" s="484"/>
      <c r="AF346" s="484"/>
      <c r="AG346" s="452"/>
      <c r="AH346" s="550"/>
    </row>
    <row r="347" spans="1:34" s="439" customFormat="1" ht="15">
      <c r="A347" s="472"/>
      <c r="B347" s="447"/>
      <c r="C347" s="454"/>
      <c r="D347" s="448"/>
      <c r="E347" s="449"/>
      <c r="F347" s="450"/>
      <c r="G347" s="450"/>
      <c r="H347" s="450"/>
      <c r="I347" s="450"/>
      <c r="J347" s="448"/>
      <c r="K347" s="450"/>
      <c r="L347" s="450"/>
      <c r="M347" s="451"/>
      <c r="N347" s="450"/>
      <c r="O347" s="537"/>
      <c r="P347" s="450"/>
      <c r="Q347" s="537"/>
      <c r="R347" s="543"/>
      <c r="S347" s="540"/>
      <c r="T347" s="451"/>
      <c r="U347" s="540"/>
      <c r="V347" s="451"/>
      <c r="W347" s="540"/>
      <c r="X347" s="450"/>
      <c r="Y347" s="448"/>
      <c r="Z347" s="455"/>
      <c r="AA347" s="455"/>
      <c r="AB347" s="455"/>
      <c r="AC347" s="455"/>
      <c r="AD347" s="452"/>
      <c r="AE347" s="484"/>
      <c r="AF347" s="484"/>
      <c r="AG347" s="452"/>
      <c r="AH347" s="550"/>
    </row>
    <row r="348" spans="1:34" s="439" customFormat="1" ht="15">
      <c r="A348" s="472"/>
      <c r="B348" s="447"/>
      <c r="C348" s="454"/>
      <c r="D348" s="448"/>
      <c r="E348" s="449"/>
      <c r="F348" s="450"/>
      <c r="G348" s="450"/>
      <c r="H348" s="450"/>
      <c r="I348" s="450"/>
      <c r="J348" s="448"/>
      <c r="K348" s="450"/>
      <c r="L348" s="450"/>
      <c r="M348" s="451"/>
      <c r="N348" s="450"/>
      <c r="O348" s="537"/>
      <c r="P348" s="450"/>
      <c r="Q348" s="537"/>
      <c r="R348" s="543"/>
      <c r="S348" s="540"/>
      <c r="T348" s="451"/>
      <c r="U348" s="540"/>
      <c r="V348" s="451"/>
      <c r="W348" s="540"/>
      <c r="X348" s="450"/>
      <c r="Y348" s="448"/>
      <c r="Z348" s="455"/>
      <c r="AA348" s="455"/>
      <c r="AB348" s="455"/>
      <c r="AC348" s="455"/>
      <c r="AD348" s="452"/>
      <c r="AE348" s="484"/>
      <c r="AF348" s="484"/>
      <c r="AG348" s="452"/>
      <c r="AH348" s="550"/>
    </row>
    <row r="349" spans="1:34" s="439" customFormat="1" ht="15">
      <c r="A349" s="472"/>
      <c r="B349" s="447"/>
      <c r="C349" s="454"/>
      <c r="D349" s="448"/>
      <c r="E349" s="449"/>
      <c r="F349" s="450"/>
      <c r="G349" s="450"/>
      <c r="H349" s="450"/>
      <c r="I349" s="450"/>
      <c r="J349" s="448"/>
      <c r="K349" s="450"/>
      <c r="L349" s="450"/>
      <c r="M349" s="451"/>
      <c r="N349" s="450"/>
      <c r="O349" s="537"/>
      <c r="P349" s="450"/>
      <c r="Q349" s="537"/>
      <c r="R349" s="543"/>
      <c r="S349" s="540"/>
      <c r="T349" s="451"/>
      <c r="U349" s="540"/>
      <c r="V349" s="451"/>
      <c r="W349" s="540"/>
      <c r="X349" s="450"/>
      <c r="Y349" s="448"/>
      <c r="Z349" s="455"/>
      <c r="AA349" s="455"/>
      <c r="AB349" s="455"/>
      <c r="AC349" s="455"/>
      <c r="AD349" s="452"/>
      <c r="AE349" s="484"/>
      <c r="AF349" s="484"/>
      <c r="AG349" s="452"/>
      <c r="AH349" s="550"/>
    </row>
    <row r="350" spans="1:34" s="439" customFormat="1" ht="15">
      <c r="A350" s="472"/>
      <c r="B350" s="447"/>
      <c r="C350" s="454"/>
      <c r="D350" s="448"/>
      <c r="E350" s="449"/>
      <c r="F350" s="450"/>
      <c r="G350" s="450"/>
      <c r="H350" s="450"/>
      <c r="I350" s="450"/>
      <c r="J350" s="448"/>
      <c r="K350" s="450"/>
      <c r="L350" s="450"/>
      <c r="M350" s="451"/>
      <c r="N350" s="450"/>
      <c r="O350" s="537"/>
      <c r="P350" s="450"/>
      <c r="Q350" s="537"/>
      <c r="R350" s="543"/>
      <c r="S350" s="540"/>
      <c r="T350" s="451"/>
      <c r="U350" s="540"/>
      <c r="V350" s="451"/>
      <c r="W350" s="540"/>
      <c r="X350" s="450"/>
      <c r="Y350" s="448"/>
      <c r="Z350" s="455"/>
      <c r="AA350" s="455"/>
      <c r="AB350" s="455"/>
      <c r="AC350" s="455"/>
      <c r="AD350" s="452"/>
      <c r="AE350" s="484"/>
      <c r="AF350" s="484"/>
      <c r="AG350" s="452"/>
      <c r="AH350" s="550"/>
    </row>
    <row r="351" spans="1:34" s="439" customFormat="1" ht="15">
      <c r="A351" s="472"/>
      <c r="B351" s="447"/>
      <c r="C351" s="454"/>
      <c r="D351" s="448"/>
      <c r="E351" s="449"/>
      <c r="F351" s="450"/>
      <c r="G351" s="450"/>
      <c r="H351" s="450"/>
      <c r="I351" s="450"/>
      <c r="J351" s="448"/>
      <c r="K351" s="450"/>
      <c r="L351" s="450"/>
      <c r="M351" s="451"/>
      <c r="N351" s="450"/>
      <c r="O351" s="537"/>
      <c r="P351" s="450"/>
      <c r="Q351" s="537"/>
      <c r="R351" s="543"/>
      <c r="S351" s="540"/>
      <c r="T351" s="451"/>
      <c r="U351" s="540"/>
      <c r="V351" s="451"/>
      <c r="W351" s="540"/>
      <c r="X351" s="450"/>
      <c r="Y351" s="448"/>
      <c r="Z351" s="455"/>
      <c r="AA351" s="455"/>
      <c r="AB351" s="455"/>
      <c r="AC351" s="455"/>
      <c r="AD351" s="452"/>
      <c r="AE351" s="484"/>
      <c r="AF351" s="484"/>
      <c r="AG351" s="452"/>
      <c r="AH351" s="550"/>
    </row>
    <row r="352" spans="1:34" s="439" customFormat="1" ht="15">
      <c r="A352" s="472"/>
      <c r="B352" s="447"/>
      <c r="C352" s="454"/>
      <c r="D352" s="448"/>
      <c r="E352" s="449"/>
      <c r="F352" s="450"/>
      <c r="G352" s="450"/>
      <c r="H352" s="450"/>
      <c r="I352" s="450"/>
      <c r="J352" s="448"/>
      <c r="K352" s="450"/>
      <c r="L352" s="450"/>
      <c r="M352" s="451"/>
      <c r="N352" s="450"/>
      <c r="O352" s="537"/>
      <c r="P352" s="450"/>
      <c r="Q352" s="537"/>
      <c r="R352" s="543"/>
      <c r="S352" s="540"/>
      <c r="T352" s="451"/>
      <c r="U352" s="540"/>
      <c r="V352" s="451"/>
      <c r="W352" s="540"/>
      <c r="X352" s="450"/>
      <c r="Y352" s="448"/>
      <c r="Z352" s="455"/>
      <c r="AA352" s="455"/>
      <c r="AB352" s="455"/>
      <c r="AC352" s="455"/>
      <c r="AD352" s="452"/>
      <c r="AE352" s="484"/>
      <c r="AF352" s="484"/>
      <c r="AG352" s="452"/>
      <c r="AH352" s="550"/>
    </row>
    <row r="353" spans="1:34" s="439" customFormat="1" ht="15">
      <c r="A353" s="472"/>
      <c r="B353" s="447"/>
      <c r="C353" s="454"/>
      <c r="D353" s="448"/>
      <c r="E353" s="449"/>
      <c r="F353" s="450"/>
      <c r="G353" s="450"/>
      <c r="H353" s="450"/>
      <c r="I353" s="450"/>
      <c r="J353" s="448"/>
      <c r="K353" s="450"/>
      <c r="L353" s="450"/>
      <c r="M353" s="451"/>
      <c r="N353" s="450"/>
      <c r="O353" s="537"/>
      <c r="P353" s="450"/>
      <c r="Q353" s="537"/>
      <c r="R353" s="543"/>
      <c r="S353" s="540"/>
      <c r="T353" s="451"/>
      <c r="U353" s="540"/>
      <c r="V353" s="451"/>
      <c r="W353" s="540"/>
      <c r="X353" s="450"/>
      <c r="Y353" s="448"/>
      <c r="Z353" s="455"/>
      <c r="AA353" s="455"/>
      <c r="AB353" s="455"/>
      <c r="AC353" s="455"/>
      <c r="AD353" s="452"/>
      <c r="AE353" s="484"/>
      <c r="AF353" s="484"/>
      <c r="AG353" s="452"/>
      <c r="AH353" s="550"/>
    </row>
    <row r="354" spans="1:34" s="439" customFormat="1" ht="15">
      <c r="A354" s="472"/>
      <c r="B354" s="447"/>
      <c r="C354" s="454"/>
      <c r="D354" s="448"/>
      <c r="E354" s="449"/>
      <c r="F354" s="450"/>
      <c r="G354" s="450"/>
      <c r="H354" s="450"/>
      <c r="I354" s="450"/>
      <c r="J354" s="448"/>
      <c r="K354" s="450"/>
      <c r="L354" s="450"/>
      <c r="M354" s="451"/>
      <c r="N354" s="450"/>
      <c r="O354" s="537"/>
      <c r="P354" s="450"/>
      <c r="Q354" s="537"/>
      <c r="R354" s="543"/>
      <c r="S354" s="540"/>
      <c r="T354" s="451"/>
      <c r="U354" s="540"/>
      <c r="V354" s="451"/>
      <c r="W354" s="540"/>
      <c r="X354" s="450"/>
      <c r="Y354" s="448"/>
      <c r="Z354" s="455"/>
      <c r="AA354" s="455"/>
      <c r="AB354" s="455"/>
      <c r="AC354" s="455"/>
      <c r="AD354" s="452"/>
      <c r="AE354" s="484"/>
      <c r="AF354" s="484"/>
      <c r="AG354" s="452"/>
      <c r="AH354" s="550"/>
    </row>
    <row r="355" spans="1:34" s="439" customFormat="1" ht="15">
      <c r="A355" s="472"/>
      <c r="B355" s="447"/>
      <c r="C355" s="454"/>
      <c r="D355" s="448"/>
      <c r="E355" s="449"/>
      <c r="F355" s="450"/>
      <c r="G355" s="450"/>
      <c r="H355" s="450"/>
      <c r="I355" s="450"/>
      <c r="J355" s="448"/>
      <c r="K355" s="450"/>
      <c r="L355" s="450"/>
      <c r="M355" s="451"/>
      <c r="N355" s="450"/>
      <c r="O355" s="537"/>
      <c r="P355" s="450"/>
      <c r="Q355" s="537"/>
      <c r="R355" s="543"/>
      <c r="S355" s="540"/>
      <c r="T355" s="451"/>
      <c r="U355" s="540"/>
      <c r="V355" s="451"/>
      <c r="W355" s="540"/>
      <c r="X355" s="450"/>
      <c r="Y355" s="448"/>
      <c r="Z355" s="455"/>
      <c r="AA355" s="455"/>
      <c r="AB355" s="455"/>
      <c r="AC355" s="455"/>
      <c r="AD355" s="452"/>
      <c r="AE355" s="484"/>
      <c r="AF355" s="484"/>
      <c r="AG355" s="452"/>
      <c r="AH355" s="550"/>
    </row>
    <row r="356" spans="1:34" s="439" customFormat="1" ht="15">
      <c r="A356" s="472"/>
      <c r="B356" s="447"/>
      <c r="C356" s="454"/>
      <c r="D356" s="448"/>
      <c r="E356" s="449"/>
      <c r="F356" s="450"/>
      <c r="G356" s="450"/>
      <c r="H356" s="450"/>
      <c r="I356" s="450"/>
      <c r="J356" s="448"/>
      <c r="K356" s="450"/>
      <c r="L356" s="450"/>
      <c r="M356" s="451"/>
      <c r="N356" s="450"/>
      <c r="O356" s="537"/>
      <c r="P356" s="450"/>
      <c r="Q356" s="537"/>
      <c r="R356" s="543"/>
      <c r="S356" s="540"/>
      <c r="T356" s="451"/>
      <c r="U356" s="540"/>
      <c r="V356" s="451"/>
      <c r="W356" s="540"/>
      <c r="X356" s="450"/>
      <c r="Y356" s="448"/>
      <c r="Z356" s="455"/>
      <c r="AA356" s="455"/>
      <c r="AB356" s="455"/>
      <c r="AC356" s="455"/>
      <c r="AD356" s="452"/>
      <c r="AE356" s="484"/>
      <c r="AF356" s="484"/>
      <c r="AG356" s="452"/>
      <c r="AH356" s="550"/>
    </row>
    <row r="357" spans="1:34" s="439" customFormat="1" ht="15">
      <c r="A357" s="472"/>
      <c r="B357" s="447"/>
      <c r="C357" s="454"/>
      <c r="D357" s="448"/>
      <c r="E357" s="449"/>
      <c r="F357" s="450"/>
      <c r="G357" s="450"/>
      <c r="H357" s="450"/>
      <c r="I357" s="450"/>
      <c r="J357" s="448"/>
      <c r="K357" s="450"/>
      <c r="L357" s="450"/>
      <c r="M357" s="451"/>
      <c r="N357" s="450"/>
      <c r="O357" s="537"/>
      <c r="P357" s="450"/>
      <c r="Q357" s="537"/>
      <c r="R357" s="543"/>
      <c r="S357" s="540"/>
      <c r="T357" s="451"/>
      <c r="U357" s="540"/>
      <c r="V357" s="451"/>
      <c r="W357" s="540"/>
      <c r="X357" s="450"/>
      <c r="Y357" s="448"/>
      <c r="Z357" s="455"/>
      <c r="AA357" s="455"/>
      <c r="AB357" s="455"/>
      <c r="AC357" s="455"/>
      <c r="AD357" s="452"/>
      <c r="AE357" s="484"/>
      <c r="AF357" s="484"/>
      <c r="AG357" s="452"/>
      <c r="AH357" s="550"/>
    </row>
    <row r="358" spans="1:34" s="439" customFormat="1" ht="15">
      <c r="A358" s="472"/>
      <c r="B358" s="447"/>
      <c r="C358" s="454"/>
      <c r="D358" s="448"/>
      <c r="E358" s="449"/>
      <c r="F358" s="450"/>
      <c r="G358" s="450"/>
      <c r="H358" s="450"/>
      <c r="I358" s="450"/>
      <c r="J358" s="448"/>
      <c r="K358" s="450"/>
      <c r="L358" s="450"/>
      <c r="M358" s="451"/>
      <c r="N358" s="450"/>
      <c r="O358" s="537"/>
      <c r="P358" s="450"/>
      <c r="Q358" s="537"/>
      <c r="R358" s="543"/>
      <c r="S358" s="540"/>
      <c r="T358" s="451"/>
      <c r="U358" s="540"/>
      <c r="V358" s="451"/>
      <c r="W358" s="540"/>
      <c r="X358" s="450"/>
      <c r="Y358" s="448"/>
      <c r="Z358" s="455"/>
      <c r="AA358" s="455"/>
      <c r="AB358" s="455"/>
      <c r="AC358" s="455"/>
      <c r="AD358" s="452"/>
      <c r="AE358" s="484"/>
      <c r="AF358" s="484"/>
      <c r="AG358" s="452"/>
      <c r="AH358" s="550"/>
    </row>
    <row r="359" spans="1:34" s="439" customFormat="1" ht="15.75">
      <c r="A359" s="472"/>
      <c r="B359" s="447"/>
      <c r="C359" s="448"/>
      <c r="D359" s="448"/>
      <c r="E359" s="449"/>
      <c r="F359" s="450"/>
      <c r="G359" s="450"/>
      <c r="H359" s="450"/>
      <c r="I359" s="450"/>
      <c r="J359" s="448"/>
      <c r="K359" s="450"/>
      <c r="L359" s="450"/>
      <c r="M359" s="451"/>
      <c r="N359" s="450"/>
      <c r="O359" s="537"/>
      <c r="P359" s="450"/>
      <c r="Q359" s="537"/>
      <c r="R359" s="543"/>
      <c r="S359" s="540"/>
      <c r="T359" s="451"/>
      <c r="U359" s="540"/>
      <c r="V359" s="451"/>
      <c r="W359" s="540"/>
      <c r="X359" s="450"/>
      <c r="Y359" s="448"/>
      <c r="Z359" s="455"/>
      <c r="AA359" s="455"/>
      <c r="AB359" s="455"/>
      <c r="AC359" s="455"/>
      <c r="AD359" s="452"/>
      <c r="AE359" s="484"/>
      <c r="AF359" s="484"/>
      <c r="AG359" s="517"/>
      <c r="AH359" s="551"/>
    </row>
    <row r="360" spans="1:34" s="439" customFormat="1" ht="15">
      <c r="A360" s="472"/>
      <c r="B360" s="447"/>
      <c r="C360" s="448"/>
      <c r="D360" s="448"/>
      <c r="E360" s="449"/>
      <c r="F360" s="450"/>
      <c r="G360" s="450"/>
      <c r="H360" s="450"/>
      <c r="I360" s="450"/>
      <c r="J360" s="448"/>
      <c r="K360" s="450"/>
      <c r="L360" s="450"/>
      <c r="M360" s="451"/>
      <c r="N360" s="450"/>
      <c r="O360" s="537"/>
      <c r="P360" s="450"/>
      <c r="Q360" s="537"/>
      <c r="R360" s="543"/>
      <c r="S360" s="540"/>
      <c r="T360" s="451"/>
      <c r="U360" s="540"/>
      <c r="V360" s="451"/>
      <c r="W360" s="540"/>
      <c r="X360" s="450"/>
      <c r="Y360" s="448"/>
      <c r="Z360" s="455"/>
      <c r="AA360" s="455"/>
      <c r="AB360" s="455"/>
      <c r="AC360" s="455"/>
      <c r="AD360" s="452"/>
      <c r="AE360" s="484"/>
      <c r="AF360" s="484"/>
      <c r="AG360" s="452"/>
      <c r="AH360" s="550"/>
    </row>
    <row r="361" spans="1:34" s="439" customFormat="1" ht="15">
      <c r="A361" s="472"/>
      <c r="B361" s="447"/>
      <c r="C361" s="448"/>
      <c r="D361" s="448"/>
      <c r="E361" s="449"/>
      <c r="F361" s="450"/>
      <c r="G361" s="450"/>
      <c r="H361" s="450"/>
      <c r="I361" s="450"/>
      <c r="J361" s="448"/>
      <c r="K361" s="450"/>
      <c r="L361" s="450"/>
      <c r="M361" s="451"/>
      <c r="N361" s="450"/>
      <c r="O361" s="537"/>
      <c r="P361" s="450"/>
      <c r="Q361" s="537"/>
      <c r="R361" s="543"/>
      <c r="S361" s="540"/>
      <c r="T361" s="451"/>
      <c r="U361" s="540"/>
      <c r="V361" s="451"/>
      <c r="W361" s="540"/>
      <c r="X361" s="450"/>
      <c r="Y361" s="448"/>
      <c r="Z361" s="455"/>
      <c r="AA361" s="455"/>
      <c r="AB361" s="455"/>
      <c r="AC361" s="455"/>
      <c r="AD361" s="452"/>
      <c r="AE361" s="484"/>
      <c r="AF361" s="484"/>
      <c r="AG361" s="452"/>
      <c r="AH361" s="550"/>
    </row>
    <row r="362" spans="1:34" s="439" customFormat="1" ht="15">
      <c r="A362" s="472"/>
      <c r="B362" s="447"/>
      <c r="C362" s="448"/>
      <c r="D362" s="448"/>
      <c r="E362" s="449"/>
      <c r="F362" s="450"/>
      <c r="G362" s="450"/>
      <c r="H362" s="450"/>
      <c r="I362" s="450"/>
      <c r="J362" s="448"/>
      <c r="K362" s="450"/>
      <c r="L362" s="450"/>
      <c r="M362" s="451"/>
      <c r="N362" s="450"/>
      <c r="O362" s="537"/>
      <c r="P362" s="450"/>
      <c r="Q362" s="537"/>
      <c r="R362" s="543"/>
      <c r="S362" s="540"/>
      <c r="T362" s="451"/>
      <c r="U362" s="540"/>
      <c r="V362" s="451"/>
      <c r="W362" s="540"/>
      <c r="X362" s="450"/>
      <c r="Y362" s="448"/>
      <c r="Z362" s="455"/>
      <c r="AA362" s="455"/>
      <c r="AB362" s="455"/>
      <c r="AC362" s="455"/>
      <c r="AD362" s="452"/>
      <c r="AE362" s="484"/>
      <c r="AF362" s="484"/>
      <c r="AG362" s="452"/>
      <c r="AH362" s="550"/>
    </row>
    <row r="363" spans="1:34" s="439" customFormat="1" ht="15">
      <c r="A363" s="472"/>
      <c r="B363" s="447"/>
      <c r="C363" s="448"/>
      <c r="D363" s="448"/>
      <c r="E363" s="449"/>
      <c r="F363" s="450"/>
      <c r="G363" s="450"/>
      <c r="H363" s="450"/>
      <c r="I363" s="450"/>
      <c r="J363" s="448"/>
      <c r="K363" s="450"/>
      <c r="L363" s="450"/>
      <c r="M363" s="451"/>
      <c r="N363" s="450"/>
      <c r="O363" s="537"/>
      <c r="P363" s="450"/>
      <c r="Q363" s="537"/>
      <c r="R363" s="543"/>
      <c r="S363" s="540"/>
      <c r="T363" s="451"/>
      <c r="U363" s="540"/>
      <c r="V363" s="451"/>
      <c r="W363" s="540"/>
      <c r="X363" s="450"/>
      <c r="Y363" s="448"/>
      <c r="Z363" s="455"/>
      <c r="AA363" s="455"/>
      <c r="AB363" s="455"/>
      <c r="AC363" s="455"/>
      <c r="AD363" s="452"/>
      <c r="AE363" s="484"/>
      <c r="AF363" s="484"/>
      <c r="AG363" s="453"/>
      <c r="AH363" s="550"/>
    </row>
    <row r="364" spans="1:34" s="439" customFormat="1" ht="15">
      <c r="A364" s="472"/>
      <c r="B364" s="447"/>
      <c r="C364" s="448"/>
      <c r="D364" s="448"/>
      <c r="E364" s="532"/>
      <c r="F364" s="450"/>
      <c r="G364" s="450"/>
      <c r="H364" s="450"/>
      <c r="I364" s="450"/>
      <c r="J364" s="448"/>
      <c r="K364" s="450"/>
      <c r="L364" s="450"/>
      <c r="M364" s="451"/>
      <c r="N364" s="450"/>
      <c r="O364" s="537"/>
      <c r="P364" s="450"/>
      <c r="Q364" s="537"/>
      <c r="R364" s="543"/>
      <c r="S364" s="540"/>
      <c r="T364" s="451"/>
      <c r="U364" s="540"/>
      <c r="V364" s="451"/>
      <c r="W364" s="540"/>
      <c r="X364" s="450"/>
      <c r="Y364" s="448"/>
      <c r="Z364" s="455"/>
      <c r="AA364" s="455"/>
      <c r="AB364" s="455"/>
      <c r="AC364" s="455"/>
      <c r="AD364" s="452"/>
      <c r="AE364" s="484"/>
      <c r="AF364" s="484"/>
      <c r="AG364" s="453"/>
      <c r="AH364" s="550"/>
    </row>
    <row r="365" spans="1:34" s="439" customFormat="1" ht="15">
      <c r="A365" s="472"/>
      <c r="B365" s="447"/>
      <c r="C365" s="448"/>
      <c r="D365" s="448"/>
      <c r="E365" s="449"/>
      <c r="F365" s="450"/>
      <c r="G365" s="450"/>
      <c r="H365" s="450"/>
      <c r="I365" s="450"/>
      <c r="J365" s="448"/>
      <c r="K365" s="450"/>
      <c r="L365" s="450"/>
      <c r="M365" s="451"/>
      <c r="N365" s="450"/>
      <c r="O365" s="537"/>
      <c r="P365" s="450"/>
      <c r="Q365" s="537"/>
      <c r="R365" s="543"/>
      <c r="S365" s="540"/>
      <c r="T365" s="451"/>
      <c r="U365" s="540"/>
      <c r="V365" s="451"/>
      <c r="W365" s="540"/>
      <c r="X365" s="450"/>
      <c r="Y365" s="448"/>
      <c r="Z365" s="455"/>
      <c r="AA365" s="455"/>
      <c r="AB365" s="455"/>
      <c r="AC365" s="455"/>
      <c r="AD365" s="452"/>
      <c r="AE365" s="484"/>
      <c r="AF365" s="484"/>
      <c r="AG365" s="453"/>
      <c r="AH365" s="550"/>
    </row>
    <row r="366" spans="1:34" s="439" customFormat="1" ht="15">
      <c r="A366" s="472"/>
      <c r="B366" s="447"/>
      <c r="C366" s="448"/>
      <c r="D366" s="448"/>
      <c r="E366" s="449"/>
      <c r="F366" s="450"/>
      <c r="G366" s="450"/>
      <c r="H366" s="450"/>
      <c r="I366" s="450"/>
      <c r="J366" s="448"/>
      <c r="K366" s="450"/>
      <c r="L366" s="450"/>
      <c r="M366" s="451"/>
      <c r="N366" s="450"/>
      <c r="O366" s="537"/>
      <c r="P366" s="450"/>
      <c r="Q366" s="537"/>
      <c r="R366" s="543"/>
      <c r="S366" s="540"/>
      <c r="T366" s="451"/>
      <c r="U366" s="540"/>
      <c r="V366" s="451"/>
      <c r="W366" s="540"/>
      <c r="X366" s="450"/>
      <c r="Y366" s="448"/>
      <c r="Z366" s="455"/>
      <c r="AA366" s="455"/>
      <c r="AB366" s="455"/>
      <c r="AC366" s="455"/>
      <c r="AD366" s="452"/>
      <c r="AE366" s="484"/>
      <c r="AF366" s="484"/>
      <c r="AG366" s="453"/>
      <c r="AH366" s="550"/>
    </row>
    <row r="367" spans="1:34" s="439" customFormat="1" ht="15">
      <c r="A367" s="472"/>
      <c r="B367" s="447"/>
      <c r="C367" s="448"/>
      <c r="D367" s="448"/>
      <c r="E367" s="449"/>
      <c r="F367" s="450"/>
      <c r="G367" s="450"/>
      <c r="H367" s="450"/>
      <c r="I367" s="450"/>
      <c r="J367" s="448"/>
      <c r="K367" s="450"/>
      <c r="L367" s="450"/>
      <c r="M367" s="451"/>
      <c r="N367" s="450"/>
      <c r="O367" s="537"/>
      <c r="P367" s="450"/>
      <c r="Q367" s="537"/>
      <c r="R367" s="543"/>
      <c r="S367" s="540"/>
      <c r="T367" s="451"/>
      <c r="U367" s="540"/>
      <c r="V367" s="451"/>
      <c r="W367" s="540"/>
      <c r="X367" s="450"/>
      <c r="Y367" s="448"/>
      <c r="Z367" s="455"/>
      <c r="AA367" s="455"/>
      <c r="AB367" s="455"/>
      <c r="AC367" s="455"/>
      <c r="AD367" s="452"/>
      <c r="AE367" s="484"/>
      <c r="AF367" s="484"/>
      <c r="AG367" s="453"/>
      <c r="AH367" s="550"/>
    </row>
    <row r="368" spans="1:34" s="439" customFormat="1" ht="15">
      <c r="A368" s="472"/>
      <c r="B368" s="447"/>
      <c r="C368" s="448"/>
      <c r="D368" s="448"/>
      <c r="E368" s="449"/>
      <c r="F368" s="450"/>
      <c r="G368" s="450"/>
      <c r="H368" s="450"/>
      <c r="I368" s="450"/>
      <c r="J368" s="448"/>
      <c r="K368" s="450"/>
      <c r="L368" s="450"/>
      <c r="M368" s="451"/>
      <c r="N368" s="450"/>
      <c r="O368" s="537"/>
      <c r="P368" s="450"/>
      <c r="Q368" s="537"/>
      <c r="R368" s="543"/>
      <c r="S368" s="540"/>
      <c r="T368" s="451"/>
      <c r="U368" s="540"/>
      <c r="V368" s="451"/>
      <c r="W368" s="540"/>
      <c r="X368" s="450"/>
      <c r="Y368" s="448"/>
      <c r="Z368" s="455"/>
      <c r="AA368" s="455"/>
      <c r="AB368" s="455"/>
      <c r="AC368" s="455"/>
      <c r="AD368" s="452"/>
      <c r="AE368" s="484"/>
      <c r="AF368" s="484"/>
      <c r="AG368" s="452"/>
      <c r="AH368" s="550"/>
    </row>
    <row r="369" spans="1:34" s="439" customFormat="1" ht="15">
      <c r="A369" s="472"/>
      <c r="B369" s="447"/>
      <c r="C369" s="448"/>
      <c r="D369" s="448"/>
      <c r="E369" s="449"/>
      <c r="F369" s="450"/>
      <c r="G369" s="450"/>
      <c r="H369" s="450"/>
      <c r="I369" s="450"/>
      <c r="J369" s="448"/>
      <c r="K369" s="450"/>
      <c r="L369" s="450"/>
      <c r="M369" s="451"/>
      <c r="N369" s="450"/>
      <c r="O369" s="537"/>
      <c r="P369" s="450"/>
      <c r="Q369" s="537"/>
      <c r="R369" s="543"/>
      <c r="S369" s="540"/>
      <c r="T369" s="451"/>
      <c r="U369" s="540"/>
      <c r="V369" s="451"/>
      <c r="W369" s="540"/>
      <c r="X369" s="450"/>
      <c r="Y369" s="448"/>
      <c r="Z369" s="455"/>
      <c r="AA369" s="455"/>
      <c r="AB369" s="455"/>
      <c r="AC369" s="455"/>
      <c r="AD369" s="452"/>
      <c r="AE369" s="484"/>
      <c r="AF369" s="484"/>
      <c r="AG369" s="452"/>
      <c r="AH369" s="550"/>
    </row>
    <row r="370" spans="1:34" s="439" customFormat="1" ht="15">
      <c r="A370" s="472"/>
      <c r="B370" s="447"/>
      <c r="C370" s="448"/>
      <c r="D370" s="448"/>
      <c r="E370" s="449"/>
      <c r="F370" s="450"/>
      <c r="G370" s="450"/>
      <c r="H370" s="450"/>
      <c r="I370" s="450"/>
      <c r="J370" s="448"/>
      <c r="K370" s="450"/>
      <c r="L370" s="450"/>
      <c r="M370" s="451"/>
      <c r="N370" s="450"/>
      <c r="O370" s="537"/>
      <c r="P370" s="450"/>
      <c r="Q370" s="537"/>
      <c r="R370" s="543"/>
      <c r="S370" s="540"/>
      <c r="T370" s="451"/>
      <c r="U370" s="540"/>
      <c r="V370" s="451"/>
      <c r="W370" s="540"/>
      <c r="X370" s="450"/>
      <c r="Y370" s="448"/>
      <c r="Z370" s="455"/>
      <c r="AA370" s="455"/>
      <c r="AB370" s="455"/>
      <c r="AC370" s="455"/>
      <c r="AD370" s="452"/>
      <c r="AE370" s="484"/>
      <c r="AF370" s="484"/>
      <c r="AG370" s="452"/>
      <c r="AH370" s="550"/>
    </row>
    <row r="371" spans="1:34" s="439" customFormat="1" ht="15">
      <c r="A371" s="472"/>
      <c r="B371" s="447"/>
      <c r="C371" s="448"/>
      <c r="D371" s="448"/>
      <c r="E371" s="449"/>
      <c r="F371" s="450"/>
      <c r="G371" s="450"/>
      <c r="H371" s="450"/>
      <c r="I371" s="450"/>
      <c r="J371" s="448"/>
      <c r="K371" s="450"/>
      <c r="L371" s="450"/>
      <c r="M371" s="451"/>
      <c r="N371" s="450"/>
      <c r="O371" s="537"/>
      <c r="P371" s="450"/>
      <c r="Q371" s="537"/>
      <c r="R371" s="543"/>
      <c r="S371" s="540"/>
      <c r="T371" s="451"/>
      <c r="U371" s="540"/>
      <c r="V371" s="451"/>
      <c r="W371" s="540"/>
      <c r="X371" s="450"/>
      <c r="Y371" s="448"/>
      <c r="Z371" s="455"/>
      <c r="AA371" s="455"/>
      <c r="AB371" s="455"/>
      <c r="AC371" s="455"/>
      <c r="AD371" s="452"/>
      <c r="AE371" s="484"/>
      <c r="AF371" s="484"/>
      <c r="AG371" s="452"/>
      <c r="AH371" s="550"/>
    </row>
    <row r="372" spans="1:34" s="439" customFormat="1" ht="15">
      <c r="A372" s="472"/>
      <c r="B372" s="447"/>
      <c r="C372" s="448"/>
      <c r="D372" s="448"/>
      <c r="E372" s="449"/>
      <c r="F372" s="450"/>
      <c r="G372" s="450"/>
      <c r="H372" s="450"/>
      <c r="I372" s="450"/>
      <c r="J372" s="448"/>
      <c r="K372" s="450"/>
      <c r="L372" s="450"/>
      <c r="M372" s="451"/>
      <c r="N372" s="450"/>
      <c r="O372" s="537"/>
      <c r="P372" s="450"/>
      <c r="Q372" s="537"/>
      <c r="R372" s="543"/>
      <c r="S372" s="540"/>
      <c r="T372" s="451"/>
      <c r="U372" s="540"/>
      <c r="V372" s="451"/>
      <c r="W372" s="540"/>
      <c r="X372" s="450"/>
      <c r="Y372" s="448"/>
      <c r="Z372" s="455"/>
      <c r="AA372" s="455"/>
      <c r="AB372" s="455"/>
      <c r="AC372" s="455"/>
      <c r="AD372" s="452"/>
      <c r="AE372" s="484"/>
      <c r="AF372" s="484"/>
      <c r="AG372" s="452"/>
      <c r="AH372" s="550"/>
    </row>
    <row r="373" spans="1:34" s="439" customFormat="1" ht="15">
      <c r="A373" s="472"/>
      <c r="B373" s="447"/>
      <c r="C373" s="448"/>
      <c r="D373" s="448"/>
      <c r="E373" s="449"/>
      <c r="F373" s="450"/>
      <c r="G373" s="450"/>
      <c r="H373" s="450"/>
      <c r="I373" s="450"/>
      <c r="J373" s="448"/>
      <c r="K373" s="450"/>
      <c r="L373" s="450"/>
      <c r="M373" s="451"/>
      <c r="N373" s="450"/>
      <c r="O373" s="537"/>
      <c r="P373" s="450"/>
      <c r="Q373" s="537"/>
      <c r="R373" s="543"/>
      <c r="S373" s="540"/>
      <c r="T373" s="451"/>
      <c r="U373" s="540"/>
      <c r="V373" s="451"/>
      <c r="W373" s="540"/>
      <c r="X373" s="450"/>
      <c r="Y373" s="448"/>
      <c r="Z373" s="455"/>
      <c r="AA373" s="455"/>
      <c r="AB373" s="455"/>
      <c r="AC373" s="455"/>
      <c r="AD373" s="452"/>
      <c r="AE373" s="484"/>
      <c r="AF373" s="484"/>
      <c r="AG373" s="452"/>
      <c r="AH373" s="550"/>
    </row>
    <row r="374" spans="1:34" s="439" customFormat="1" ht="15">
      <c r="A374" s="472"/>
      <c r="B374" s="447"/>
      <c r="C374" s="448"/>
      <c r="D374" s="448"/>
      <c r="E374" s="449"/>
      <c r="F374" s="450"/>
      <c r="G374" s="450"/>
      <c r="H374" s="450"/>
      <c r="I374" s="450"/>
      <c r="J374" s="448"/>
      <c r="K374" s="450"/>
      <c r="L374" s="450"/>
      <c r="M374" s="451"/>
      <c r="N374" s="450"/>
      <c r="O374" s="537"/>
      <c r="P374" s="450"/>
      <c r="Q374" s="537"/>
      <c r="R374" s="543"/>
      <c r="S374" s="540"/>
      <c r="T374" s="451"/>
      <c r="U374" s="540"/>
      <c r="V374" s="451"/>
      <c r="W374" s="540"/>
      <c r="X374" s="450"/>
      <c r="Y374" s="448"/>
      <c r="Z374" s="455"/>
      <c r="AA374" s="455"/>
      <c r="AB374" s="455"/>
      <c r="AC374" s="455"/>
      <c r="AD374" s="452"/>
      <c r="AE374" s="484"/>
      <c r="AF374" s="484"/>
      <c r="AG374" s="453"/>
      <c r="AH374" s="550"/>
    </row>
    <row r="375" spans="1:34" s="439" customFormat="1" ht="15">
      <c r="A375" s="472"/>
      <c r="B375" s="447"/>
      <c r="C375" s="448"/>
      <c r="D375" s="448"/>
      <c r="E375" s="449"/>
      <c r="F375" s="450"/>
      <c r="G375" s="450"/>
      <c r="H375" s="450"/>
      <c r="I375" s="450"/>
      <c r="J375" s="448"/>
      <c r="K375" s="450"/>
      <c r="L375" s="450"/>
      <c r="M375" s="451"/>
      <c r="N375" s="450"/>
      <c r="O375" s="537"/>
      <c r="P375" s="450"/>
      <c r="Q375" s="537"/>
      <c r="R375" s="544"/>
      <c r="S375" s="453"/>
      <c r="T375" s="451"/>
      <c r="U375" s="540"/>
      <c r="V375" s="451"/>
      <c r="W375" s="540"/>
      <c r="X375" s="450"/>
      <c r="Y375" s="448"/>
      <c r="Z375" s="455"/>
      <c r="AA375" s="455"/>
      <c r="AB375" s="455"/>
      <c r="AC375" s="455"/>
      <c r="AD375" s="452"/>
      <c r="AE375" s="484"/>
      <c r="AF375" s="484"/>
      <c r="AG375" s="453"/>
      <c r="AH375" s="550"/>
    </row>
    <row r="376" spans="1:34" s="439" customFormat="1" ht="15">
      <c r="A376" s="472"/>
      <c r="B376" s="447"/>
      <c r="C376" s="448"/>
      <c r="D376" s="448"/>
      <c r="E376" s="449"/>
      <c r="F376" s="450"/>
      <c r="G376" s="450"/>
      <c r="H376" s="450"/>
      <c r="I376" s="450"/>
      <c r="J376" s="448"/>
      <c r="K376" s="450"/>
      <c r="L376" s="450"/>
      <c r="M376" s="451"/>
      <c r="N376" s="450"/>
      <c r="O376" s="537"/>
      <c r="P376" s="450"/>
      <c r="Q376" s="537"/>
      <c r="R376" s="543"/>
      <c r="S376" s="540"/>
      <c r="T376" s="451"/>
      <c r="U376" s="540"/>
      <c r="V376" s="451"/>
      <c r="W376" s="540"/>
      <c r="X376" s="450"/>
      <c r="Y376" s="448"/>
      <c r="Z376" s="455"/>
      <c r="AA376" s="455"/>
      <c r="AB376" s="455"/>
      <c r="AC376" s="455"/>
      <c r="AD376" s="452"/>
      <c r="AE376" s="484"/>
      <c r="AF376" s="484"/>
      <c r="AG376" s="453"/>
      <c r="AH376" s="550"/>
    </row>
    <row r="377" spans="1:34" s="439" customFormat="1" ht="15">
      <c r="A377" s="472"/>
      <c r="B377" s="447"/>
      <c r="C377" s="448"/>
      <c r="D377" s="448"/>
      <c r="E377" s="449"/>
      <c r="F377" s="450"/>
      <c r="G377" s="450"/>
      <c r="H377" s="450"/>
      <c r="I377" s="450"/>
      <c r="J377" s="448"/>
      <c r="K377" s="450"/>
      <c r="L377" s="450"/>
      <c r="M377" s="451"/>
      <c r="N377" s="450"/>
      <c r="O377" s="537"/>
      <c r="P377" s="450"/>
      <c r="Q377" s="537"/>
      <c r="R377" s="543"/>
      <c r="S377" s="540"/>
      <c r="T377" s="451"/>
      <c r="U377" s="540"/>
      <c r="V377" s="451"/>
      <c r="W377" s="540"/>
      <c r="X377" s="450"/>
      <c r="Y377" s="448"/>
      <c r="Z377" s="455"/>
      <c r="AA377" s="455"/>
      <c r="AB377" s="455"/>
      <c r="AC377" s="455"/>
      <c r="AD377" s="452"/>
      <c r="AE377" s="484"/>
      <c r="AF377" s="484"/>
      <c r="AG377" s="452"/>
      <c r="AH377" s="550"/>
    </row>
    <row r="378" spans="1:34" s="439" customFormat="1" ht="15">
      <c r="A378" s="472"/>
      <c r="B378" s="447"/>
      <c r="C378" s="448"/>
      <c r="D378" s="448"/>
      <c r="E378" s="449"/>
      <c r="F378" s="450"/>
      <c r="G378" s="450"/>
      <c r="H378" s="450"/>
      <c r="I378" s="450"/>
      <c r="J378" s="448"/>
      <c r="K378" s="450"/>
      <c r="L378" s="450"/>
      <c r="M378" s="451"/>
      <c r="N378" s="450"/>
      <c r="O378" s="537"/>
      <c r="P378" s="450"/>
      <c r="Q378" s="537"/>
      <c r="R378" s="543"/>
      <c r="S378" s="540"/>
      <c r="T378" s="451"/>
      <c r="U378" s="540"/>
      <c r="V378" s="451"/>
      <c r="W378" s="540"/>
      <c r="X378" s="450"/>
      <c r="Y378" s="448"/>
      <c r="Z378" s="455"/>
      <c r="AA378" s="455"/>
      <c r="AB378" s="455"/>
      <c r="AC378" s="455"/>
      <c r="AD378" s="452"/>
      <c r="AE378" s="484"/>
      <c r="AF378" s="484"/>
      <c r="AG378" s="452"/>
      <c r="AH378" s="550"/>
    </row>
    <row r="379" spans="1:34" s="439" customFormat="1" ht="15">
      <c r="A379" s="472"/>
      <c r="B379" s="447"/>
      <c r="C379" s="448"/>
      <c r="D379" s="448"/>
      <c r="E379" s="449"/>
      <c r="F379" s="450"/>
      <c r="G379" s="450"/>
      <c r="H379" s="450"/>
      <c r="I379" s="450"/>
      <c r="J379" s="448"/>
      <c r="K379" s="450"/>
      <c r="L379" s="450"/>
      <c r="M379" s="451"/>
      <c r="N379" s="450"/>
      <c r="O379" s="537"/>
      <c r="P379" s="450"/>
      <c r="Q379" s="537"/>
      <c r="R379" s="543"/>
      <c r="S379" s="540"/>
      <c r="T379" s="451"/>
      <c r="U379" s="540"/>
      <c r="V379" s="451"/>
      <c r="W379" s="540"/>
      <c r="X379" s="450"/>
      <c r="Y379" s="448"/>
      <c r="Z379" s="455"/>
      <c r="AA379" s="455"/>
      <c r="AB379" s="455"/>
      <c r="AC379" s="455"/>
      <c r="AD379" s="452"/>
      <c r="AE379" s="484"/>
      <c r="AF379" s="484"/>
      <c r="AG379" s="452"/>
      <c r="AH379" s="550"/>
    </row>
    <row r="380" spans="1:34" s="439" customFormat="1" ht="15">
      <c r="A380" s="472"/>
      <c r="B380" s="447"/>
      <c r="C380" s="448"/>
      <c r="D380" s="448"/>
      <c r="E380" s="449"/>
      <c r="F380" s="450"/>
      <c r="G380" s="450"/>
      <c r="H380" s="450"/>
      <c r="I380" s="450"/>
      <c r="J380" s="448"/>
      <c r="K380" s="450"/>
      <c r="L380" s="450"/>
      <c r="M380" s="451"/>
      <c r="N380" s="450"/>
      <c r="O380" s="537"/>
      <c r="P380" s="450"/>
      <c r="Q380" s="537"/>
      <c r="R380" s="543"/>
      <c r="S380" s="540"/>
      <c r="T380" s="451"/>
      <c r="U380" s="540"/>
      <c r="V380" s="451"/>
      <c r="W380" s="540"/>
      <c r="X380" s="450"/>
      <c r="Y380" s="448"/>
      <c r="Z380" s="455"/>
      <c r="AA380" s="455"/>
      <c r="AB380" s="455"/>
      <c r="AC380" s="455"/>
      <c r="AD380" s="452"/>
      <c r="AE380" s="484"/>
      <c r="AF380" s="484"/>
      <c r="AG380" s="452"/>
      <c r="AH380" s="550"/>
    </row>
    <row r="381" spans="1:34" s="439" customFormat="1" ht="15">
      <c r="A381" s="472"/>
      <c r="B381" s="447"/>
      <c r="C381" s="455"/>
      <c r="D381" s="455"/>
      <c r="E381" s="449"/>
      <c r="F381" s="449"/>
      <c r="G381" s="450"/>
      <c r="H381" s="450"/>
      <c r="I381" s="450"/>
      <c r="J381" s="448"/>
      <c r="K381" s="450"/>
      <c r="L381" s="450"/>
      <c r="M381" s="451"/>
      <c r="N381" s="450"/>
      <c r="O381" s="537"/>
      <c r="P381" s="450"/>
      <c r="Q381" s="537"/>
      <c r="R381" s="544"/>
      <c r="S381" s="453"/>
      <c r="T381" s="451"/>
      <c r="U381" s="540"/>
      <c r="V381" s="451"/>
      <c r="W381" s="540"/>
      <c r="X381" s="449"/>
      <c r="Y381" s="455"/>
      <c r="Z381" s="455"/>
      <c r="AA381" s="455"/>
      <c r="AB381" s="455"/>
      <c r="AC381" s="455"/>
      <c r="AD381" s="452"/>
      <c r="AE381" s="484"/>
      <c r="AF381" s="484"/>
      <c r="AG381" s="452"/>
      <c r="AH381" s="550"/>
    </row>
    <row r="382" spans="1:34" s="439" customFormat="1" ht="15">
      <c r="A382" s="472"/>
      <c r="B382" s="447"/>
      <c r="C382" s="448"/>
      <c r="D382" s="448"/>
      <c r="E382" s="449"/>
      <c r="F382" s="450"/>
      <c r="G382" s="450"/>
      <c r="H382" s="450"/>
      <c r="I382" s="450"/>
      <c r="J382" s="448"/>
      <c r="K382" s="450"/>
      <c r="L382" s="450"/>
      <c r="M382" s="451"/>
      <c r="N382" s="450"/>
      <c r="O382" s="537"/>
      <c r="P382" s="450"/>
      <c r="Q382" s="537"/>
      <c r="R382" s="543"/>
      <c r="S382" s="540"/>
      <c r="T382" s="451"/>
      <c r="U382" s="540"/>
      <c r="V382" s="451"/>
      <c r="W382" s="540"/>
      <c r="X382" s="450"/>
      <c r="Y382" s="448"/>
      <c r="Z382" s="455"/>
      <c r="AA382" s="455"/>
      <c r="AB382" s="455"/>
      <c r="AC382" s="455"/>
      <c r="AD382" s="452"/>
      <c r="AE382" s="484"/>
      <c r="AF382" s="484"/>
      <c r="AG382" s="453"/>
      <c r="AH382" s="550"/>
    </row>
    <row r="383" spans="1:34" s="439" customFormat="1" ht="15">
      <c r="A383" s="472"/>
      <c r="B383" s="447"/>
      <c r="C383" s="448"/>
      <c r="D383" s="448"/>
      <c r="E383" s="449"/>
      <c r="F383" s="450"/>
      <c r="G383" s="450"/>
      <c r="H383" s="450"/>
      <c r="I383" s="450"/>
      <c r="J383" s="448"/>
      <c r="K383" s="450"/>
      <c r="L383" s="450"/>
      <c r="M383" s="451"/>
      <c r="N383" s="450"/>
      <c r="O383" s="537"/>
      <c r="P383" s="450"/>
      <c r="Q383" s="537"/>
      <c r="R383" s="543"/>
      <c r="S383" s="540"/>
      <c r="T383" s="451"/>
      <c r="U383" s="540"/>
      <c r="V383" s="451"/>
      <c r="W383" s="540"/>
      <c r="X383" s="450"/>
      <c r="Y383" s="448"/>
      <c r="Z383" s="455"/>
      <c r="AA383" s="455"/>
      <c r="AB383" s="455"/>
      <c r="AC383" s="455"/>
      <c r="AD383" s="452"/>
      <c r="AE383" s="484"/>
      <c r="AF383" s="484"/>
      <c r="AG383" s="452"/>
      <c r="AH383" s="550"/>
    </row>
    <row r="384" spans="1:34" s="439" customFormat="1" ht="15">
      <c r="A384" s="472"/>
      <c r="B384" s="447"/>
      <c r="C384" s="448"/>
      <c r="D384" s="448"/>
      <c r="E384" s="449"/>
      <c r="F384" s="450"/>
      <c r="G384" s="450"/>
      <c r="H384" s="450"/>
      <c r="I384" s="450"/>
      <c r="J384" s="448"/>
      <c r="K384" s="450"/>
      <c r="L384" s="450"/>
      <c r="M384" s="451"/>
      <c r="N384" s="450"/>
      <c r="O384" s="537"/>
      <c r="P384" s="450"/>
      <c r="Q384" s="537"/>
      <c r="R384" s="543"/>
      <c r="S384" s="540"/>
      <c r="T384" s="451"/>
      <c r="U384" s="540"/>
      <c r="V384" s="451"/>
      <c r="W384" s="540"/>
      <c r="X384" s="450"/>
      <c r="Y384" s="448"/>
      <c r="Z384" s="455"/>
      <c r="AA384" s="455"/>
      <c r="AB384" s="455"/>
      <c r="AC384" s="455"/>
      <c r="AD384" s="452"/>
      <c r="AE384" s="484"/>
      <c r="AF384" s="484"/>
      <c r="AG384" s="452"/>
      <c r="AH384" s="550"/>
    </row>
    <row r="385" spans="1:34" s="439" customFormat="1" ht="15">
      <c r="A385" s="472"/>
      <c r="B385" s="447"/>
      <c r="C385" s="448"/>
      <c r="D385" s="448"/>
      <c r="E385" s="449"/>
      <c r="F385" s="450"/>
      <c r="G385" s="450"/>
      <c r="H385" s="450"/>
      <c r="I385" s="450"/>
      <c r="J385" s="448"/>
      <c r="K385" s="450"/>
      <c r="L385" s="450"/>
      <c r="M385" s="451"/>
      <c r="N385" s="450"/>
      <c r="O385" s="537"/>
      <c r="P385" s="450"/>
      <c r="Q385" s="537"/>
      <c r="R385" s="543"/>
      <c r="S385" s="540"/>
      <c r="T385" s="451"/>
      <c r="U385" s="540"/>
      <c r="V385" s="451"/>
      <c r="W385" s="540"/>
      <c r="X385" s="450"/>
      <c r="Y385" s="448"/>
      <c r="Z385" s="455"/>
      <c r="AA385" s="455"/>
      <c r="AB385" s="455"/>
      <c r="AC385" s="455"/>
      <c r="AD385" s="452"/>
      <c r="AE385" s="484"/>
      <c r="AF385" s="484"/>
      <c r="AG385" s="453"/>
      <c r="AH385" s="550"/>
    </row>
    <row r="386" spans="1:34" s="439" customFormat="1" ht="15">
      <c r="A386" s="472"/>
      <c r="B386" s="447"/>
      <c r="C386" s="448"/>
      <c r="D386" s="448"/>
      <c r="E386" s="449"/>
      <c r="F386" s="450"/>
      <c r="G386" s="450"/>
      <c r="H386" s="450"/>
      <c r="I386" s="450"/>
      <c r="J386" s="448"/>
      <c r="K386" s="450"/>
      <c r="L386" s="450"/>
      <c r="M386" s="451"/>
      <c r="N386" s="450"/>
      <c r="O386" s="537"/>
      <c r="P386" s="450"/>
      <c r="Q386" s="537"/>
      <c r="R386" s="543"/>
      <c r="S386" s="540"/>
      <c r="T386" s="451"/>
      <c r="U386" s="540"/>
      <c r="V386" s="451"/>
      <c r="W386" s="540"/>
      <c r="X386" s="450"/>
      <c r="Y386" s="448"/>
      <c r="Z386" s="455"/>
      <c r="AA386" s="455"/>
      <c r="AB386" s="455"/>
      <c r="AC386" s="455"/>
      <c r="AD386" s="452"/>
      <c r="AE386" s="484"/>
      <c r="AF386" s="484"/>
      <c r="AG386" s="452"/>
      <c r="AH386" s="550"/>
    </row>
    <row r="387" spans="1:34" s="439" customFormat="1" ht="15">
      <c r="A387" s="472"/>
      <c r="B387" s="447"/>
      <c r="C387" s="448"/>
      <c r="D387" s="448"/>
      <c r="E387" s="449"/>
      <c r="F387" s="450"/>
      <c r="G387" s="450"/>
      <c r="H387" s="450"/>
      <c r="I387" s="450"/>
      <c r="J387" s="448"/>
      <c r="K387" s="450"/>
      <c r="L387" s="450"/>
      <c r="M387" s="451"/>
      <c r="N387" s="450"/>
      <c r="O387" s="537"/>
      <c r="P387" s="450"/>
      <c r="Q387" s="537"/>
      <c r="R387" s="543"/>
      <c r="S387" s="540"/>
      <c r="T387" s="451"/>
      <c r="U387" s="540"/>
      <c r="V387" s="451"/>
      <c r="W387" s="540"/>
      <c r="X387" s="450"/>
      <c r="Y387" s="448"/>
      <c r="Z387" s="455"/>
      <c r="AA387" s="455"/>
      <c r="AB387" s="455"/>
      <c r="AC387" s="455"/>
      <c r="AD387" s="452"/>
      <c r="AE387" s="484"/>
      <c r="AF387" s="484"/>
      <c r="AG387" s="452"/>
      <c r="AH387" s="550"/>
    </row>
    <row r="388" spans="1:34" s="439" customFormat="1" ht="15">
      <c r="A388" s="472"/>
      <c r="B388" s="447"/>
      <c r="C388" s="448"/>
      <c r="D388" s="448"/>
      <c r="E388" s="449"/>
      <c r="F388" s="450"/>
      <c r="G388" s="450"/>
      <c r="H388" s="450"/>
      <c r="I388" s="450"/>
      <c r="J388" s="448"/>
      <c r="K388" s="450"/>
      <c r="L388" s="450"/>
      <c r="M388" s="451"/>
      <c r="N388" s="450"/>
      <c r="O388" s="537"/>
      <c r="P388" s="450"/>
      <c r="Q388" s="537"/>
      <c r="R388" s="543"/>
      <c r="S388" s="540"/>
      <c r="T388" s="451"/>
      <c r="U388" s="540"/>
      <c r="V388" s="451"/>
      <c r="W388" s="540"/>
      <c r="X388" s="450"/>
      <c r="Y388" s="448"/>
      <c r="Z388" s="455"/>
      <c r="AA388" s="455"/>
      <c r="AB388" s="455"/>
      <c r="AC388" s="455"/>
      <c r="AD388" s="452"/>
      <c r="AE388" s="484"/>
      <c r="AF388" s="484"/>
      <c r="AG388" s="452"/>
      <c r="AH388" s="550"/>
    </row>
    <row r="389" spans="1:34" s="439" customFormat="1" ht="15">
      <c r="A389" s="472"/>
      <c r="B389" s="447"/>
      <c r="C389" s="448"/>
      <c r="D389" s="448"/>
      <c r="E389" s="449"/>
      <c r="F389" s="450"/>
      <c r="G389" s="450"/>
      <c r="H389" s="450"/>
      <c r="I389" s="450"/>
      <c r="J389" s="448"/>
      <c r="K389" s="450"/>
      <c r="L389" s="450"/>
      <c r="M389" s="451"/>
      <c r="N389" s="450"/>
      <c r="O389" s="537"/>
      <c r="P389" s="450"/>
      <c r="Q389" s="537"/>
      <c r="R389" s="543"/>
      <c r="S389" s="540"/>
      <c r="T389" s="451"/>
      <c r="U389" s="540"/>
      <c r="V389" s="451"/>
      <c r="W389" s="540"/>
      <c r="X389" s="450"/>
      <c r="Y389" s="448"/>
      <c r="Z389" s="455"/>
      <c r="AA389" s="455"/>
      <c r="AB389" s="455"/>
      <c r="AC389" s="455"/>
      <c r="AD389" s="452"/>
      <c r="AE389" s="484"/>
      <c r="AF389" s="484"/>
      <c r="AG389" s="453"/>
      <c r="AH389" s="550"/>
    </row>
    <row r="390" spans="1:34" s="439" customFormat="1" ht="15">
      <c r="A390" s="472"/>
      <c r="B390" s="447"/>
      <c r="C390" s="448"/>
      <c r="D390" s="448"/>
      <c r="E390" s="449"/>
      <c r="F390" s="450"/>
      <c r="G390" s="450"/>
      <c r="H390" s="450"/>
      <c r="I390" s="450"/>
      <c r="J390" s="448"/>
      <c r="K390" s="450"/>
      <c r="L390" s="450"/>
      <c r="M390" s="451"/>
      <c r="N390" s="450"/>
      <c r="O390" s="537"/>
      <c r="P390" s="450"/>
      <c r="Q390" s="537"/>
      <c r="R390" s="543"/>
      <c r="S390" s="540"/>
      <c r="T390" s="451"/>
      <c r="U390" s="540"/>
      <c r="V390" s="451"/>
      <c r="W390" s="540"/>
      <c r="X390" s="450"/>
      <c r="Y390" s="448"/>
      <c r="Z390" s="455"/>
      <c r="AA390" s="455"/>
      <c r="AB390" s="455"/>
      <c r="AC390" s="455"/>
      <c r="AD390" s="452"/>
      <c r="AE390" s="484"/>
      <c r="AF390" s="484"/>
      <c r="AG390" s="453"/>
      <c r="AH390" s="550"/>
    </row>
    <row r="391" spans="1:34" s="439" customFormat="1" ht="15">
      <c r="A391" s="472"/>
      <c r="B391" s="447"/>
      <c r="C391" s="448"/>
      <c r="D391" s="448"/>
      <c r="E391" s="449"/>
      <c r="F391" s="450"/>
      <c r="G391" s="450"/>
      <c r="H391" s="450"/>
      <c r="I391" s="450"/>
      <c r="J391" s="448"/>
      <c r="K391" s="450"/>
      <c r="L391" s="450"/>
      <c r="M391" s="451"/>
      <c r="N391" s="450"/>
      <c r="O391" s="537"/>
      <c r="P391" s="450"/>
      <c r="Q391" s="537"/>
      <c r="R391" s="543"/>
      <c r="S391" s="540"/>
      <c r="T391" s="451"/>
      <c r="U391" s="540"/>
      <c r="V391" s="451"/>
      <c r="W391" s="540"/>
      <c r="X391" s="450"/>
      <c r="Y391" s="448"/>
      <c r="Z391" s="455"/>
      <c r="AA391" s="455"/>
      <c r="AB391" s="455"/>
      <c r="AC391" s="455"/>
      <c r="AD391" s="452"/>
      <c r="AE391" s="484"/>
      <c r="AF391" s="484"/>
      <c r="AG391" s="452"/>
      <c r="AH391" s="550"/>
    </row>
    <row r="392" spans="1:34" s="439" customFormat="1" ht="15">
      <c r="A392" s="472"/>
      <c r="B392" s="447"/>
      <c r="C392" s="448"/>
      <c r="D392" s="448"/>
      <c r="E392" s="449"/>
      <c r="F392" s="450"/>
      <c r="G392" s="450"/>
      <c r="H392" s="450"/>
      <c r="I392" s="450"/>
      <c r="J392" s="448"/>
      <c r="K392" s="450"/>
      <c r="L392" s="450"/>
      <c r="M392" s="451"/>
      <c r="N392" s="450"/>
      <c r="O392" s="537"/>
      <c r="P392" s="450"/>
      <c r="Q392" s="537"/>
      <c r="R392" s="544"/>
      <c r="S392" s="453"/>
      <c r="T392" s="451"/>
      <c r="U392" s="540"/>
      <c r="V392" s="451"/>
      <c r="W392" s="540"/>
      <c r="X392" s="450"/>
      <c r="Y392" s="448"/>
      <c r="Z392" s="455"/>
      <c r="AA392" s="455"/>
      <c r="AB392" s="455"/>
      <c r="AC392" s="455"/>
      <c r="AD392" s="452"/>
      <c r="AE392" s="484"/>
      <c r="AF392" s="484"/>
      <c r="AG392" s="453"/>
      <c r="AH392" s="550"/>
    </row>
    <row r="393" spans="1:34" s="439" customFormat="1" ht="15">
      <c r="A393" s="472"/>
      <c r="B393" s="447"/>
      <c r="C393" s="448"/>
      <c r="D393" s="448"/>
      <c r="E393" s="449"/>
      <c r="F393" s="450"/>
      <c r="G393" s="450"/>
      <c r="H393" s="450"/>
      <c r="I393" s="450"/>
      <c r="J393" s="448"/>
      <c r="K393" s="450"/>
      <c r="L393" s="450"/>
      <c r="M393" s="451"/>
      <c r="N393" s="450"/>
      <c r="O393" s="537"/>
      <c r="P393" s="450"/>
      <c r="Q393" s="537"/>
      <c r="R393" s="543"/>
      <c r="S393" s="540"/>
      <c r="T393" s="451"/>
      <c r="U393" s="540"/>
      <c r="V393" s="451"/>
      <c r="W393" s="540"/>
      <c r="X393" s="450"/>
      <c r="Y393" s="448"/>
      <c r="Z393" s="455"/>
      <c r="AA393" s="455"/>
      <c r="AB393" s="455"/>
      <c r="AC393" s="455"/>
      <c r="AD393" s="452"/>
      <c r="AE393" s="484"/>
      <c r="AF393" s="484"/>
      <c r="AG393" s="453"/>
      <c r="AH393" s="550"/>
    </row>
    <row r="394" spans="1:34" s="439" customFormat="1" ht="15">
      <c r="A394" s="472"/>
      <c r="B394" s="447"/>
      <c r="C394" s="448"/>
      <c r="D394" s="448"/>
      <c r="E394" s="449"/>
      <c r="F394" s="450"/>
      <c r="G394" s="450"/>
      <c r="H394" s="450"/>
      <c r="I394" s="450"/>
      <c r="J394" s="448"/>
      <c r="K394" s="450"/>
      <c r="L394" s="450"/>
      <c r="M394" s="451"/>
      <c r="N394" s="450"/>
      <c r="O394" s="537"/>
      <c r="P394" s="450"/>
      <c r="Q394" s="537"/>
      <c r="R394" s="543"/>
      <c r="S394" s="540"/>
      <c r="T394" s="451"/>
      <c r="U394" s="540"/>
      <c r="V394" s="451"/>
      <c r="W394" s="540"/>
      <c r="X394" s="450"/>
      <c r="Y394" s="448"/>
      <c r="Z394" s="455"/>
      <c r="AA394" s="455"/>
      <c r="AB394" s="455"/>
      <c r="AC394" s="455"/>
      <c r="AD394" s="452"/>
      <c r="AE394" s="484"/>
      <c r="AF394" s="484"/>
      <c r="AG394" s="453"/>
      <c r="AH394" s="550"/>
    </row>
    <row r="395" spans="1:34" s="439" customFormat="1" ht="15">
      <c r="A395" s="472"/>
      <c r="B395" s="447"/>
      <c r="C395" s="448"/>
      <c r="D395" s="448"/>
      <c r="E395" s="449"/>
      <c r="F395" s="450"/>
      <c r="G395" s="450"/>
      <c r="H395" s="450"/>
      <c r="I395" s="450"/>
      <c r="J395" s="448"/>
      <c r="K395" s="450"/>
      <c r="L395" s="450"/>
      <c r="M395" s="451"/>
      <c r="N395" s="450"/>
      <c r="O395" s="537"/>
      <c r="P395" s="450"/>
      <c r="Q395" s="537"/>
      <c r="R395" s="543"/>
      <c r="S395" s="540"/>
      <c r="T395" s="451"/>
      <c r="U395" s="540"/>
      <c r="V395" s="451"/>
      <c r="W395" s="540"/>
      <c r="X395" s="450"/>
      <c r="Y395" s="448"/>
      <c r="Z395" s="455"/>
      <c r="AA395" s="455"/>
      <c r="AB395" s="455"/>
      <c r="AC395" s="455"/>
      <c r="AD395" s="452"/>
      <c r="AE395" s="484"/>
      <c r="AF395" s="484"/>
      <c r="AG395" s="452"/>
      <c r="AH395" s="550"/>
    </row>
    <row r="396" spans="1:34" s="439" customFormat="1" ht="15">
      <c r="A396" s="472"/>
      <c r="B396" s="447"/>
      <c r="C396" s="448"/>
      <c r="D396" s="448"/>
      <c r="E396" s="449"/>
      <c r="F396" s="450"/>
      <c r="G396" s="450"/>
      <c r="H396" s="450"/>
      <c r="I396" s="450"/>
      <c r="J396" s="448"/>
      <c r="K396" s="450"/>
      <c r="L396" s="450"/>
      <c r="M396" s="451"/>
      <c r="N396" s="450"/>
      <c r="O396" s="537"/>
      <c r="P396" s="450"/>
      <c r="Q396" s="537"/>
      <c r="R396" s="544"/>
      <c r="S396" s="453"/>
      <c r="T396" s="451"/>
      <c r="U396" s="540"/>
      <c r="V396" s="451"/>
      <c r="W396" s="540"/>
      <c r="X396" s="450"/>
      <c r="Y396" s="448"/>
      <c r="Z396" s="455"/>
      <c r="AA396" s="455"/>
      <c r="AB396" s="455"/>
      <c r="AC396" s="455"/>
      <c r="AD396" s="452"/>
      <c r="AE396" s="484"/>
      <c r="AF396" s="484"/>
      <c r="AG396" s="452"/>
      <c r="AH396" s="550"/>
    </row>
    <row r="397" spans="1:34" s="439" customFormat="1" ht="15">
      <c r="A397" s="472"/>
      <c r="B397" s="447"/>
      <c r="C397" s="448"/>
      <c r="D397" s="448"/>
      <c r="E397" s="449"/>
      <c r="F397" s="450"/>
      <c r="G397" s="450"/>
      <c r="H397" s="450"/>
      <c r="I397" s="450"/>
      <c r="J397" s="448"/>
      <c r="K397" s="450"/>
      <c r="L397" s="450"/>
      <c r="M397" s="451"/>
      <c r="N397" s="450"/>
      <c r="O397" s="537"/>
      <c r="P397" s="450"/>
      <c r="Q397" s="537"/>
      <c r="R397" s="543"/>
      <c r="S397" s="540"/>
      <c r="T397" s="451"/>
      <c r="U397" s="540"/>
      <c r="V397" s="451"/>
      <c r="W397" s="540"/>
      <c r="X397" s="450"/>
      <c r="Y397" s="448"/>
      <c r="Z397" s="455"/>
      <c r="AA397" s="455"/>
      <c r="AB397" s="455"/>
      <c r="AC397" s="455"/>
      <c r="AD397" s="452"/>
      <c r="AE397" s="484"/>
      <c r="AF397" s="484"/>
      <c r="AG397" s="452"/>
      <c r="AH397" s="550"/>
    </row>
    <row r="398" spans="1:34" s="439" customFormat="1" ht="15">
      <c r="A398" s="472"/>
      <c r="B398" s="447"/>
      <c r="C398" s="448"/>
      <c r="D398" s="448"/>
      <c r="E398" s="449"/>
      <c r="F398" s="450"/>
      <c r="G398" s="450"/>
      <c r="H398" s="450"/>
      <c r="I398" s="450"/>
      <c r="J398" s="448"/>
      <c r="K398" s="450"/>
      <c r="L398" s="450"/>
      <c r="M398" s="451"/>
      <c r="N398" s="450"/>
      <c r="O398" s="537"/>
      <c r="P398" s="450"/>
      <c r="Q398" s="537"/>
      <c r="R398" s="543"/>
      <c r="S398" s="540"/>
      <c r="T398" s="451"/>
      <c r="U398" s="540"/>
      <c r="V398" s="451"/>
      <c r="W398" s="540"/>
      <c r="X398" s="450"/>
      <c r="Y398" s="448"/>
      <c r="Z398" s="455"/>
      <c r="AA398" s="455"/>
      <c r="AB398" s="455"/>
      <c r="AC398" s="455"/>
      <c r="AD398" s="452"/>
      <c r="AE398" s="484"/>
      <c r="AF398" s="484"/>
      <c r="AG398" s="452"/>
      <c r="AH398" s="550"/>
    </row>
    <row r="399" spans="1:34" s="439" customFormat="1" ht="15">
      <c r="A399" s="472"/>
      <c r="B399" s="447"/>
      <c r="C399" s="448"/>
      <c r="D399" s="448"/>
      <c r="E399" s="449"/>
      <c r="F399" s="450"/>
      <c r="G399" s="450"/>
      <c r="H399" s="450"/>
      <c r="I399" s="450"/>
      <c r="J399" s="448"/>
      <c r="K399" s="450"/>
      <c r="L399" s="450"/>
      <c r="M399" s="451"/>
      <c r="N399" s="450"/>
      <c r="O399" s="537"/>
      <c r="P399" s="450"/>
      <c r="Q399" s="537"/>
      <c r="R399" s="544"/>
      <c r="S399" s="453"/>
      <c r="T399" s="451"/>
      <c r="U399" s="540"/>
      <c r="V399" s="451"/>
      <c r="W399" s="540"/>
      <c r="X399" s="450"/>
      <c r="Y399" s="448"/>
      <c r="Z399" s="455"/>
      <c r="AA399" s="455"/>
      <c r="AB399" s="455"/>
      <c r="AC399" s="455"/>
      <c r="AD399" s="452"/>
      <c r="AE399" s="484"/>
      <c r="AF399" s="484"/>
      <c r="AG399" s="453"/>
      <c r="AH399" s="550"/>
    </row>
    <row r="400" spans="1:34" s="439" customFormat="1" ht="15">
      <c r="A400" s="472"/>
      <c r="B400" s="447"/>
      <c r="C400" s="448"/>
      <c r="D400" s="448"/>
      <c r="E400" s="449"/>
      <c r="F400" s="450"/>
      <c r="G400" s="450"/>
      <c r="H400" s="450"/>
      <c r="I400" s="450"/>
      <c r="J400" s="448"/>
      <c r="K400" s="450"/>
      <c r="L400" s="450"/>
      <c r="M400" s="451"/>
      <c r="N400" s="450"/>
      <c r="O400" s="537"/>
      <c r="P400" s="450"/>
      <c r="Q400" s="537"/>
      <c r="R400" s="543"/>
      <c r="S400" s="540"/>
      <c r="T400" s="451"/>
      <c r="U400" s="540"/>
      <c r="V400" s="451"/>
      <c r="W400" s="540"/>
      <c r="X400" s="450"/>
      <c r="Y400" s="448"/>
      <c r="Z400" s="455"/>
      <c r="AA400" s="455"/>
      <c r="AB400" s="455"/>
      <c r="AC400" s="455"/>
      <c r="AD400" s="452"/>
      <c r="AE400" s="484"/>
      <c r="AF400" s="484"/>
      <c r="AG400" s="453"/>
      <c r="AH400" s="550"/>
    </row>
    <row r="401" spans="1:34" s="439" customFormat="1" ht="15">
      <c r="A401" s="472"/>
      <c r="B401" s="447"/>
      <c r="C401" s="448"/>
      <c r="D401" s="448"/>
      <c r="E401" s="449"/>
      <c r="F401" s="450"/>
      <c r="G401" s="450"/>
      <c r="H401" s="450"/>
      <c r="I401" s="450"/>
      <c r="J401" s="448"/>
      <c r="K401" s="450"/>
      <c r="L401" s="450"/>
      <c r="M401" s="451"/>
      <c r="N401" s="450"/>
      <c r="O401" s="537"/>
      <c r="P401" s="450"/>
      <c r="Q401" s="537"/>
      <c r="R401" s="543"/>
      <c r="S401" s="540"/>
      <c r="T401" s="451"/>
      <c r="U401" s="540"/>
      <c r="V401" s="451"/>
      <c r="W401" s="540"/>
      <c r="X401" s="450"/>
      <c r="Y401" s="448"/>
      <c r="Z401" s="455"/>
      <c r="AA401" s="455"/>
      <c r="AB401" s="455"/>
      <c r="AC401" s="455"/>
      <c r="AD401" s="452"/>
      <c r="AE401" s="484"/>
      <c r="AF401" s="484"/>
      <c r="AG401" s="453"/>
      <c r="AH401" s="550"/>
    </row>
    <row r="402" spans="1:34" s="439" customFormat="1" ht="15">
      <c r="A402" s="472"/>
      <c r="B402" s="447"/>
      <c r="C402" s="448"/>
      <c r="D402" s="448"/>
      <c r="E402" s="449"/>
      <c r="F402" s="450"/>
      <c r="G402" s="450"/>
      <c r="H402" s="450"/>
      <c r="I402" s="450"/>
      <c r="J402" s="448"/>
      <c r="K402" s="450"/>
      <c r="L402" s="450"/>
      <c r="M402" s="451"/>
      <c r="N402" s="450"/>
      <c r="O402" s="537"/>
      <c r="P402" s="450"/>
      <c r="Q402" s="537"/>
      <c r="R402" s="543"/>
      <c r="S402" s="540"/>
      <c r="T402" s="451"/>
      <c r="U402" s="540"/>
      <c r="V402" s="451"/>
      <c r="W402" s="540"/>
      <c r="X402" s="450"/>
      <c r="Y402" s="448"/>
      <c r="Z402" s="455"/>
      <c r="AA402" s="455"/>
      <c r="AB402" s="455"/>
      <c r="AC402" s="455"/>
      <c r="AD402" s="452"/>
      <c r="AE402" s="484"/>
      <c r="AF402" s="484"/>
      <c r="AG402" s="452"/>
      <c r="AH402" s="550"/>
    </row>
    <row r="403" spans="1:34" s="439" customFormat="1" ht="15">
      <c r="A403" s="472"/>
      <c r="B403" s="447"/>
      <c r="C403" s="448"/>
      <c r="D403" s="448"/>
      <c r="E403" s="449"/>
      <c r="F403" s="450"/>
      <c r="G403" s="450"/>
      <c r="H403" s="450"/>
      <c r="I403" s="450"/>
      <c r="J403" s="448"/>
      <c r="K403" s="450"/>
      <c r="L403" s="450"/>
      <c r="M403" s="451"/>
      <c r="N403" s="450"/>
      <c r="O403" s="537"/>
      <c r="P403" s="450"/>
      <c r="Q403" s="537"/>
      <c r="R403" s="543"/>
      <c r="S403" s="540"/>
      <c r="T403" s="451"/>
      <c r="U403" s="540"/>
      <c r="V403" s="451"/>
      <c r="W403" s="540"/>
      <c r="X403" s="450"/>
      <c r="Y403" s="448"/>
      <c r="Z403" s="455"/>
      <c r="AA403" s="455"/>
      <c r="AB403" s="455"/>
      <c r="AC403" s="455"/>
      <c r="AD403" s="452"/>
      <c r="AE403" s="484"/>
      <c r="AF403" s="484"/>
      <c r="AG403" s="452"/>
      <c r="AH403" s="550"/>
    </row>
    <row r="404" spans="1:34" s="439" customFormat="1" ht="15">
      <c r="A404" s="472"/>
      <c r="B404" s="447"/>
      <c r="C404" s="448"/>
      <c r="D404" s="448"/>
      <c r="E404" s="449"/>
      <c r="F404" s="450"/>
      <c r="G404" s="450"/>
      <c r="H404" s="450"/>
      <c r="I404" s="450"/>
      <c r="J404" s="448"/>
      <c r="K404" s="450"/>
      <c r="L404" s="450"/>
      <c r="M404" s="451"/>
      <c r="N404" s="450"/>
      <c r="O404" s="537"/>
      <c r="P404" s="450"/>
      <c r="Q404" s="537"/>
      <c r="R404" s="543"/>
      <c r="S404" s="540"/>
      <c r="T404" s="451"/>
      <c r="U404" s="540"/>
      <c r="V404" s="451"/>
      <c r="W404" s="540"/>
      <c r="X404" s="450"/>
      <c r="Y404" s="448"/>
      <c r="Z404" s="455"/>
      <c r="AA404" s="455"/>
      <c r="AB404" s="455"/>
      <c r="AC404" s="455"/>
      <c r="AD404" s="452"/>
      <c r="AE404" s="484"/>
      <c r="AF404" s="484"/>
      <c r="AG404" s="452"/>
      <c r="AH404" s="550"/>
    </row>
    <row r="405" spans="1:34" s="439" customFormat="1" ht="15">
      <c r="A405" s="472"/>
      <c r="B405" s="447"/>
      <c r="C405" s="448"/>
      <c r="D405" s="448"/>
      <c r="E405" s="449"/>
      <c r="F405" s="450"/>
      <c r="G405" s="450"/>
      <c r="H405" s="450"/>
      <c r="I405" s="450"/>
      <c r="J405" s="448"/>
      <c r="K405" s="450"/>
      <c r="L405" s="450"/>
      <c r="M405" s="451"/>
      <c r="N405" s="450"/>
      <c r="O405" s="537"/>
      <c r="P405" s="450"/>
      <c r="Q405" s="537"/>
      <c r="R405" s="543"/>
      <c r="S405" s="540"/>
      <c r="T405" s="451"/>
      <c r="U405" s="540"/>
      <c r="V405" s="451"/>
      <c r="W405" s="540"/>
      <c r="X405" s="450"/>
      <c r="Y405" s="448"/>
      <c r="Z405" s="455"/>
      <c r="AA405" s="455"/>
      <c r="AB405" s="455"/>
      <c r="AC405" s="455"/>
      <c r="AD405" s="452"/>
      <c r="AE405" s="484"/>
      <c r="AF405" s="484"/>
      <c r="AG405" s="452"/>
      <c r="AH405" s="550"/>
    </row>
    <row r="406" spans="1:34" s="439" customFormat="1" ht="15">
      <c r="A406" s="472"/>
      <c r="B406" s="447"/>
      <c r="C406" s="448"/>
      <c r="D406" s="448"/>
      <c r="E406" s="449"/>
      <c r="F406" s="450"/>
      <c r="G406" s="450"/>
      <c r="H406" s="450"/>
      <c r="I406" s="450"/>
      <c r="J406" s="448"/>
      <c r="K406" s="450"/>
      <c r="L406" s="450"/>
      <c r="M406" s="451"/>
      <c r="N406" s="450"/>
      <c r="O406" s="537"/>
      <c r="P406" s="450"/>
      <c r="Q406" s="537"/>
      <c r="R406" s="543"/>
      <c r="S406" s="540"/>
      <c r="T406" s="451"/>
      <c r="U406" s="540"/>
      <c r="V406" s="451"/>
      <c r="W406" s="540"/>
      <c r="X406" s="450"/>
      <c r="Y406" s="448"/>
      <c r="Z406" s="455"/>
      <c r="AA406" s="455"/>
      <c r="AB406" s="455"/>
      <c r="AC406" s="455"/>
      <c r="AD406" s="452"/>
      <c r="AE406" s="484"/>
      <c r="AF406" s="484"/>
      <c r="AG406" s="452"/>
      <c r="AH406" s="550"/>
    </row>
    <row r="407" spans="1:34" s="439" customFormat="1" ht="15">
      <c r="A407" s="472"/>
      <c r="B407" s="447"/>
      <c r="C407" s="448"/>
      <c r="D407" s="448"/>
      <c r="E407" s="449"/>
      <c r="F407" s="450"/>
      <c r="G407" s="450"/>
      <c r="H407" s="450"/>
      <c r="I407" s="450"/>
      <c r="J407" s="448"/>
      <c r="K407" s="450"/>
      <c r="L407" s="450"/>
      <c r="M407" s="451"/>
      <c r="N407" s="450"/>
      <c r="O407" s="537"/>
      <c r="P407" s="450"/>
      <c r="Q407" s="537"/>
      <c r="R407" s="543"/>
      <c r="S407" s="540"/>
      <c r="T407" s="451"/>
      <c r="U407" s="540"/>
      <c r="V407" s="451"/>
      <c r="W407" s="540"/>
      <c r="X407" s="450"/>
      <c r="Y407" s="448"/>
      <c r="Z407" s="455"/>
      <c r="AA407" s="455"/>
      <c r="AB407" s="455"/>
      <c r="AC407" s="455"/>
      <c r="AD407" s="452"/>
      <c r="AE407" s="484"/>
      <c r="AF407" s="484"/>
      <c r="AG407" s="452"/>
      <c r="AH407" s="550"/>
    </row>
    <row r="408" spans="1:34" s="439" customFormat="1" ht="15">
      <c r="A408" s="472"/>
      <c r="B408" s="447"/>
      <c r="C408" s="448"/>
      <c r="D408" s="448"/>
      <c r="E408" s="449"/>
      <c r="F408" s="450"/>
      <c r="G408" s="450"/>
      <c r="H408" s="450"/>
      <c r="I408" s="450"/>
      <c r="J408" s="448"/>
      <c r="K408" s="450"/>
      <c r="L408" s="450"/>
      <c r="M408" s="451"/>
      <c r="N408" s="450"/>
      <c r="O408" s="537"/>
      <c r="P408" s="450"/>
      <c r="Q408" s="537"/>
      <c r="R408" s="543"/>
      <c r="S408" s="540"/>
      <c r="T408" s="451"/>
      <c r="U408" s="540"/>
      <c r="V408" s="451"/>
      <c r="W408" s="540"/>
      <c r="X408" s="450"/>
      <c r="Y408" s="448"/>
      <c r="Z408" s="455"/>
      <c r="AA408" s="455"/>
      <c r="AB408" s="455"/>
      <c r="AC408" s="455"/>
      <c r="AD408" s="452"/>
      <c r="AE408" s="484"/>
      <c r="AF408" s="484"/>
      <c r="AG408" s="452"/>
      <c r="AH408" s="550"/>
    </row>
    <row r="409" spans="1:34" s="439" customFormat="1" ht="15">
      <c r="A409" s="472"/>
      <c r="B409" s="447"/>
      <c r="C409" s="448"/>
      <c r="D409" s="448"/>
      <c r="E409" s="449"/>
      <c r="F409" s="450"/>
      <c r="G409" s="450"/>
      <c r="H409" s="450"/>
      <c r="I409" s="450"/>
      <c r="J409" s="448"/>
      <c r="K409" s="450"/>
      <c r="L409" s="450"/>
      <c r="M409" s="451"/>
      <c r="N409" s="450"/>
      <c r="O409" s="537"/>
      <c r="P409" s="450"/>
      <c r="Q409" s="537"/>
      <c r="R409" s="543"/>
      <c r="S409" s="540"/>
      <c r="T409" s="451"/>
      <c r="U409" s="540"/>
      <c r="V409" s="451"/>
      <c r="W409" s="540"/>
      <c r="X409" s="450"/>
      <c r="Y409" s="448"/>
      <c r="Z409" s="455"/>
      <c r="AA409" s="455"/>
      <c r="AB409" s="455"/>
      <c r="AC409" s="455"/>
      <c r="AD409" s="452"/>
      <c r="AE409" s="484"/>
      <c r="AF409" s="484"/>
      <c r="AG409" s="452"/>
      <c r="AH409" s="550"/>
    </row>
    <row r="410" spans="1:34" s="439" customFormat="1" ht="15">
      <c r="A410" s="472"/>
      <c r="B410" s="447"/>
      <c r="C410" s="455"/>
      <c r="D410" s="455"/>
      <c r="E410" s="449"/>
      <c r="F410" s="450"/>
      <c r="G410" s="450"/>
      <c r="H410" s="450"/>
      <c r="I410" s="450"/>
      <c r="J410" s="448"/>
      <c r="K410" s="450"/>
      <c r="L410" s="450"/>
      <c r="M410" s="451"/>
      <c r="N410" s="450"/>
      <c r="O410" s="537"/>
      <c r="P410" s="450"/>
      <c r="Q410" s="537"/>
      <c r="R410" s="544"/>
      <c r="S410" s="453"/>
      <c r="T410" s="451"/>
      <c r="U410" s="540"/>
      <c r="V410" s="451"/>
      <c r="W410" s="540"/>
      <c r="X410" s="450"/>
      <c r="Y410" s="455"/>
      <c r="Z410" s="455"/>
      <c r="AA410" s="455"/>
      <c r="AB410" s="455"/>
      <c r="AC410" s="455"/>
      <c r="AD410" s="452"/>
      <c r="AE410" s="484"/>
      <c r="AF410" s="484"/>
      <c r="AG410" s="452"/>
      <c r="AH410" s="550"/>
    </row>
    <row r="411" spans="1:34" s="439" customFormat="1" ht="15">
      <c r="A411" s="472"/>
      <c r="B411" s="447"/>
      <c r="C411" s="455"/>
      <c r="D411" s="455"/>
      <c r="E411" s="449"/>
      <c r="F411" s="450"/>
      <c r="G411" s="450"/>
      <c r="H411" s="450"/>
      <c r="I411" s="450"/>
      <c r="J411" s="448"/>
      <c r="K411" s="450"/>
      <c r="L411" s="450"/>
      <c r="M411" s="451"/>
      <c r="N411" s="450"/>
      <c r="O411" s="537"/>
      <c r="P411" s="450"/>
      <c r="Q411" s="537"/>
      <c r="R411" s="543"/>
      <c r="S411" s="453"/>
      <c r="T411" s="451"/>
      <c r="U411" s="540"/>
      <c r="V411" s="451"/>
      <c r="W411" s="540"/>
      <c r="X411" s="450"/>
      <c r="Y411" s="455"/>
      <c r="Z411" s="455"/>
      <c r="AA411" s="455"/>
      <c r="AB411" s="455"/>
      <c r="AC411" s="455"/>
      <c r="AD411" s="452"/>
      <c r="AE411" s="484"/>
      <c r="AF411" s="484"/>
      <c r="AG411" s="453"/>
      <c r="AH411" s="550"/>
    </row>
    <row r="412" spans="1:34" s="439" customFormat="1" ht="15">
      <c r="A412" s="472"/>
      <c r="B412" s="447"/>
      <c r="C412" s="448"/>
      <c r="D412" s="448"/>
      <c r="E412" s="449"/>
      <c r="F412" s="450"/>
      <c r="G412" s="450"/>
      <c r="H412" s="450"/>
      <c r="I412" s="450"/>
      <c r="J412" s="448"/>
      <c r="K412" s="450"/>
      <c r="L412" s="450"/>
      <c r="M412" s="451"/>
      <c r="N412" s="450"/>
      <c r="O412" s="537"/>
      <c r="P412" s="450"/>
      <c r="Q412" s="537"/>
      <c r="R412" s="543"/>
      <c r="S412" s="453"/>
      <c r="T412" s="451"/>
      <c r="U412" s="540"/>
      <c r="V412" s="451"/>
      <c r="W412" s="540"/>
      <c r="X412" s="450"/>
      <c r="Y412" s="448"/>
      <c r="Z412" s="455"/>
      <c r="AA412" s="455"/>
      <c r="AB412" s="455"/>
      <c r="AC412" s="455"/>
      <c r="AD412" s="452"/>
      <c r="AE412" s="484"/>
      <c r="AF412" s="484"/>
      <c r="AG412" s="453"/>
      <c r="AH412" s="550"/>
    </row>
    <row r="413" spans="1:34" s="439" customFormat="1" ht="15">
      <c r="A413" s="472"/>
      <c r="B413" s="447"/>
      <c r="C413" s="448"/>
      <c r="D413" s="448"/>
      <c r="E413" s="449"/>
      <c r="F413" s="450"/>
      <c r="G413" s="450"/>
      <c r="H413" s="450"/>
      <c r="I413" s="450"/>
      <c r="J413" s="448"/>
      <c r="K413" s="450"/>
      <c r="L413" s="450"/>
      <c r="M413" s="451"/>
      <c r="N413" s="450"/>
      <c r="O413" s="537"/>
      <c r="P413" s="450"/>
      <c r="Q413" s="537"/>
      <c r="R413" s="543"/>
      <c r="S413" s="453"/>
      <c r="T413" s="451"/>
      <c r="U413" s="540"/>
      <c r="V413" s="451"/>
      <c r="W413" s="540"/>
      <c r="X413" s="450"/>
      <c r="Y413" s="448"/>
      <c r="Z413" s="455"/>
      <c r="AA413" s="455"/>
      <c r="AB413" s="455"/>
      <c r="AC413" s="455"/>
      <c r="AD413" s="452"/>
      <c r="AE413" s="484"/>
      <c r="AF413" s="484"/>
      <c r="AG413" s="453"/>
      <c r="AH413" s="550"/>
    </row>
    <row r="414" spans="1:34" s="439" customFormat="1" ht="15">
      <c r="A414" s="472"/>
      <c r="B414" s="447"/>
      <c r="C414" s="448"/>
      <c r="D414" s="448"/>
      <c r="E414" s="449"/>
      <c r="F414" s="450"/>
      <c r="G414" s="450"/>
      <c r="H414" s="450"/>
      <c r="I414" s="450"/>
      <c r="J414" s="448"/>
      <c r="K414" s="450"/>
      <c r="L414" s="450"/>
      <c r="M414" s="451"/>
      <c r="N414" s="450"/>
      <c r="O414" s="537"/>
      <c r="P414" s="450"/>
      <c r="Q414" s="537"/>
      <c r="R414" s="543"/>
      <c r="S414" s="453"/>
      <c r="T414" s="451"/>
      <c r="U414" s="540"/>
      <c r="V414" s="451"/>
      <c r="W414" s="540"/>
      <c r="X414" s="450"/>
      <c r="Y414" s="448"/>
      <c r="Z414" s="455"/>
      <c r="AA414" s="455"/>
      <c r="AB414" s="455"/>
      <c r="AC414" s="455"/>
      <c r="AD414" s="452"/>
      <c r="AE414" s="484"/>
      <c r="AF414" s="484"/>
      <c r="AG414" s="453"/>
      <c r="AH414" s="550"/>
    </row>
    <row r="415" spans="1:34" s="439" customFormat="1" ht="15">
      <c r="A415" s="472"/>
      <c r="B415" s="447"/>
      <c r="C415" s="448"/>
      <c r="D415" s="448"/>
      <c r="E415" s="449"/>
      <c r="F415" s="450"/>
      <c r="G415" s="450"/>
      <c r="H415" s="450"/>
      <c r="I415" s="450"/>
      <c r="J415" s="448"/>
      <c r="K415" s="450"/>
      <c r="L415" s="450"/>
      <c r="M415" s="451"/>
      <c r="N415" s="450"/>
      <c r="O415" s="537"/>
      <c r="P415" s="450"/>
      <c r="Q415" s="537"/>
      <c r="R415" s="543"/>
      <c r="S415" s="540"/>
      <c r="T415" s="451"/>
      <c r="U415" s="540"/>
      <c r="V415" s="451"/>
      <c r="W415" s="540"/>
      <c r="X415" s="450"/>
      <c r="Y415" s="448"/>
      <c r="Z415" s="455"/>
      <c r="AA415" s="455"/>
      <c r="AB415" s="455"/>
      <c r="AC415" s="455"/>
      <c r="AD415" s="452"/>
      <c r="AE415" s="484"/>
      <c r="AF415" s="484"/>
      <c r="AG415" s="453"/>
      <c r="AH415" s="550"/>
    </row>
    <row r="416" spans="1:34" s="439" customFormat="1" ht="15">
      <c r="A416" s="472"/>
      <c r="B416" s="447"/>
      <c r="C416" s="448"/>
      <c r="D416" s="448"/>
      <c r="E416" s="449"/>
      <c r="F416" s="450"/>
      <c r="G416" s="450"/>
      <c r="H416" s="450"/>
      <c r="I416" s="450"/>
      <c r="J416" s="448"/>
      <c r="K416" s="450"/>
      <c r="L416" s="450"/>
      <c r="M416" s="451"/>
      <c r="N416" s="450"/>
      <c r="O416" s="537"/>
      <c r="P416" s="450"/>
      <c r="Q416" s="537"/>
      <c r="R416" s="543"/>
      <c r="S416" s="540"/>
      <c r="T416" s="451"/>
      <c r="U416" s="540"/>
      <c r="V416" s="451"/>
      <c r="W416" s="540"/>
      <c r="X416" s="450"/>
      <c r="Y416" s="448"/>
      <c r="Z416" s="455"/>
      <c r="AA416" s="455"/>
      <c r="AB416" s="455"/>
      <c r="AC416" s="455"/>
      <c r="AD416" s="452"/>
      <c r="AE416" s="484"/>
      <c r="AF416" s="484"/>
      <c r="AG416" s="452"/>
      <c r="AH416" s="550"/>
    </row>
    <row r="417" spans="1:34" s="439" customFormat="1" ht="15">
      <c r="A417" s="472"/>
      <c r="B417" s="447"/>
      <c r="C417" s="448"/>
      <c r="D417" s="448"/>
      <c r="E417" s="449"/>
      <c r="F417" s="450"/>
      <c r="G417" s="450"/>
      <c r="H417" s="450"/>
      <c r="I417" s="450"/>
      <c r="J417" s="448"/>
      <c r="K417" s="450"/>
      <c r="L417" s="450"/>
      <c r="M417" s="451"/>
      <c r="N417" s="450"/>
      <c r="O417" s="537"/>
      <c r="P417" s="450"/>
      <c r="Q417" s="537"/>
      <c r="R417" s="543"/>
      <c r="S417" s="540"/>
      <c r="T417" s="451"/>
      <c r="U417" s="540"/>
      <c r="V417" s="451"/>
      <c r="W417" s="540"/>
      <c r="X417" s="450"/>
      <c r="Y417" s="448"/>
      <c r="Z417" s="455"/>
      <c r="AA417" s="455"/>
      <c r="AB417" s="455"/>
      <c r="AC417" s="455"/>
      <c r="AD417" s="452"/>
      <c r="AE417" s="484"/>
      <c r="AF417" s="484"/>
      <c r="AG417" s="453"/>
      <c r="AH417" s="550"/>
    </row>
    <row r="418" spans="1:34" s="439" customFormat="1" ht="15">
      <c r="A418" s="518"/>
      <c r="B418" s="520"/>
      <c r="C418" s="448"/>
      <c r="D418" s="448"/>
      <c r="E418" s="531"/>
      <c r="F418" s="450"/>
      <c r="G418" s="450"/>
      <c r="H418" s="450"/>
      <c r="I418" s="450"/>
      <c r="J418" s="448"/>
      <c r="K418" s="450"/>
      <c r="L418" s="450"/>
      <c r="M418" s="451"/>
      <c r="N418" s="450"/>
      <c r="O418" s="537"/>
      <c r="P418" s="450"/>
      <c r="Q418" s="537"/>
      <c r="R418" s="543"/>
      <c r="S418" s="540"/>
      <c r="T418" s="451"/>
      <c r="U418" s="540"/>
      <c r="V418" s="451"/>
      <c r="W418" s="540"/>
      <c r="X418" s="450"/>
      <c r="Y418" s="448"/>
      <c r="Z418" s="455"/>
      <c r="AA418" s="455"/>
      <c r="AB418" s="455"/>
      <c r="AC418" s="455"/>
      <c r="AD418" s="452"/>
      <c r="AE418" s="484"/>
      <c r="AF418" s="484"/>
      <c r="AG418" s="453"/>
      <c r="AH418" s="550"/>
    </row>
    <row r="419" spans="1:34" s="439" customFormat="1" ht="15">
      <c r="A419" s="472"/>
      <c r="B419" s="519"/>
      <c r="C419" s="448"/>
      <c r="D419" s="448"/>
      <c r="E419" s="449"/>
      <c r="F419" s="450"/>
      <c r="G419" s="450"/>
      <c r="H419" s="450"/>
      <c r="I419" s="450"/>
      <c r="J419" s="448"/>
      <c r="K419" s="450"/>
      <c r="L419" s="450"/>
      <c r="M419" s="451"/>
      <c r="N419" s="450"/>
      <c r="O419" s="537"/>
      <c r="P419" s="450"/>
      <c r="Q419" s="537"/>
      <c r="R419" s="543"/>
      <c r="S419" s="540"/>
      <c r="T419" s="451"/>
      <c r="U419" s="540"/>
      <c r="V419" s="451"/>
      <c r="W419" s="540"/>
      <c r="X419" s="450"/>
      <c r="Y419" s="448"/>
      <c r="Z419" s="455"/>
      <c r="AA419" s="455"/>
      <c r="AB419" s="455"/>
      <c r="AC419" s="455"/>
      <c r="AD419" s="452"/>
      <c r="AE419" s="484"/>
      <c r="AF419" s="484"/>
      <c r="AG419" s="452"/>
      <c r="AH419" s="550"/>
    </row>
    <row r="420" spans="1:34" s="439" customFormat="1" ht="15">
      <c r="A420" s="472"/>
      <c r="B420" s="447"/>
      <c r="C420" s="448"/>
      <c r="D420" s="448"/>
      <c r="E420" s="449"/>
      <c r="F420" s="450"/>
      <c r="G420" s="450"/>
      <c r="H420" s="450"/>
      <c r="I420" s="450"/>
      <c r="J420" s="448"/>
      <c r="K420" s="450"/>
      <c r="L420" s="450"/>
      <c r="M420" s="451"/>
      <c r="N420" s="450"/>
      <c r="O420" s="537"/>
      <c r="P420" s="450"/>
      <c r="Q420" s="537"/>
      <c r="R420" s="543"/>
      <c r="S420" s="540"/>
      <c r="T420" s="451"/>
      <c r="U420" s="540"/>
      <c r="V420" s="451"/>
      <c r="W420" s="540"/>
      <c r="X420" s="450"/>
      <c r="Y420" s="448"/>
      <c r="Z420" s="455"/>
      <c r="AA420" s="455"/>
      <c r="AB420" s="455"/>
      <c r="AC420" s="455"/>
      <c r="AD420" s="452"/>
      <c r="AE420" s="484"/>
      <c r="AF420" s="484"/>
      <c r="AG420" s="452"/>
      <c r="AH420" s="550"/>
    </row>
    <row r="421" spans="1:34" s="439" customFormat="1" ht="15">
      <c r="A421" s="472"/>
      <c r="B421" s="447"/>
      <c r="C421" s="448"/>
      <c r="D421" s="448"/>
      <c r="E421" s="449"/>
      <c r="F421" s="450"/>
      <c r="G421" s="450"/>
      <c r="H421" s="450"/>
      <c r="I421" s="450"/>
      <c r="J421" s="448"/>
      <c r="K421" s="450"/>
      <c r="L421" s="450"/>
      <c r="M421" s="451"/>
      <c r="N421" s="450"/>
      <c r="O421" s="537"/>
      <c r="P421" s="450"/>
      <c r="Q421" s="537"/>
      <c r="R421" s="543"/>
      <c r="S421" s="540"/>
      <c r="T421" s="451"/>
      <c r="U421" s="540"/>
      <c r="V421" s="451"/>
      <c r="W421" s="540"/>
      <c r="X421" s="450"/>
      <c r="Y421" s="448"/>
      <c r="Z421" s="455"/>
      <c r="AA421" s="455"/>
      <c r="AB421" s="455"/>
      <c r="AC421" s="455"/>
      <c r="AD421" s="452"/>
      <c r="AE421" s="484"/>
      <c r="AF421" s="484"/>
      <c r="AG421" s="452"/>
      <c r="AH421" s="550"/>
    </row>
    <row r="422" spans="1:34" s="439" customFormat="1" ht="15">
      <c r="A422" s="472"/>
      <c r="B422" s="447"/>
      <c r="C422" s="448"/>
      <c r="D422" s="448"/>
      <c r="E422" s="449"/>
      <c r="F422" s="450"/>
      <c r="G422" s="450"/>
      <c r="H422" s="450"/>
      <c r="I422" s="450"/>
      <c r="J422" s="448"/>
      <c r="K422" s="450"/>
      <c r="L422" s="450"/>
      <c r="M422" s="451"/>
      <c r="N422" s="450"/>
      <c r="O422" s="537"/>
      <c r="P422" s="450"/>
      <c r="Q422" s="537"/>
      <c r="R422" s="543"/>
      <c r="S422" s="540"/>
      <c r="T422" s="451"/>
      <c r="U422" s="540"/>
      <c r="V422" s="451"/>
      <c r="W422" s="540"/>
      <c r="X422" s="450"/>
      <c r="Y422" s="448"/>
      <c r="Z422" s="455"/>
      <c r="AA422" s="455"/>
      <c r="AB422" s="455"/>
      <c r="AC422" s="455"/>
      <c r="AD422" s="452"/>
      <c r="AE422" s="484"/>
      <c r="AF422" s="484"/>
      <c r="AG422" s="452"/>
      <c r="AH422" s="550"/>
    </row>
    <row r="423" spans="1:34" s="439" customFormat="1" ht="15">
      <c r="A423" s="472"/>
      <c r="B423" s="447"/>
      <c r="C423" s="448"/>
      <c r="D423" s="448"/>
      <c r="E423" s="449"/>
      <c r="F423" s="450"/>
      <c r="G423" s="450"/>
      <c r="H423" s="450"/>
      <c r="I423" s="450"/>
      <c r="J423" s="448"/>
      <c r="K423" s="450"/>
      <c r="L423" s="450"/>
      <c r="M423" s="451"/>
      <c r="N423" s="450"/>
      <c r="O423" s="537"/>
      <c r="P423" s="450"/>
      <c r="Q423" s="537"/>
      <c r="R423" s="543"/>
      <c r="S423" s="540"/>
      <c r="T423" s="451"/>
      <c r="U423" s="540"/>
      <c r="V423" s="451"/>
      <c r="W423" s="540"/>
      <c r="X423" s="450"/>
      <c r="Y423" s="448"/>
      <c r="Z423" s="455"/>
      <c r="AA423" s="455"/>
      <c r="AB423" s="455"/>
      <c r="AC423" s="455"/>
      <c r="AD423" s="452"/>
      <c r="AE423" s="484"/>
      <c r="AF423" s="484"/>
      <c r="AG423" s="452"/>
      <c r="AH423" s="550"/>
    </row>
    <row r="424" spans="1:34" s="439" customFormat="1" ht="15">
      <c r="A424" s="472"/>
      <c r="B424" s="447"/>
      <c r="C424" s="448"/>
      <c r="D424" s="448"/>
      <c r="E424" s="449"/>
      <c r="F424" s="450"/>
      <c r="G424" s="450"/>
      <c r="H424" s="450"/>
      <c r="I424" s="450"/>
      <c r="J424" s="448"/>
      <c r="K424" s="450"/>
      <c r="L424" s="450"/>
      <c r="M424" s="451"/>
      <c r="N424" s="450"/>
      <c r="O424" s="537"/>
      <c r="P424" s="450"/>
      <c r="Q424" s="537"/>
      <c r="R424" s="543"/>
      <c r="S424" s="540"/>
      <c r="T424" s="451"/>
      <c r="U424" s="540"/>
      <c r="V424" s="451"/>
      <c r="W424" s="540"/>
      <c r="X424" s="450"/>
      <c r="Y424" s="448"/>
      <c r="Z424" s="455"/>
      <c r="AA424" s="455"/>
      <c r="AB424" s="455"/>
      <c r="AC424" s="455"/>
      <c r="AD424" s="452"/>
      <c r="AE424" s="484"/>
      <c r="AF424" s="484"/>
      <c r="AG424" s="453"/>
      <c r="AH424" s="550"/>
    </row>
    <row r="425" spans="1:34" s="439" customFormat="1" ht="15">
      <c r="A425" s="472"/>
      <c r="B425" s="447"/>
      <c r="C425" s="448"/>
      <c r="D425" s="448"/>
      <c r="E425" s="449"/>
      <c r="F425" s="450"/>
      <c r="G425" s="450"/>
      <c r="H425" s="450"/>
      <c r="I425" s="450"/>
      <c r="J425" s="448"/>
      <c r="K425" s="450"/>
      <c r="L425" s="450"/>
      <c r="M425" s="451"/>
      <c r="N425" s="450"/>
      <c r="O425" s="537"/>
      <c r="P425" s="450"/>
      <c r="Q425" s="537"/>
      <c r="R425" s="543"/>
      <c r="S425" s="540"/>
      <c r="T425" s="451"/>
      <c r="U425" s="540"/>
      <c r="V425" s="451"/>
      <c r="W425" s="540"/>
      <c r="X425" s="450"/>
      <c r="Y425" s="448"/>
      <c r="Z425" s="455"/>
      <c r="AA425" s="455"/>
      <c r="AB425" s="455"/>
      <c r="AC425" s="455"/>
      <c r="AD425" s="452"/>
      <c r="AE425" s="484"/>
      <c r="AF425" s="484"/>
      <c r="AG425" s="452"/>
      <c r="AH425" s="550"/>
    </row>
    <row r="426" spans="1:34" s="439" customFormat="1" ht="15">
      <c r="A426" s="472"/>
      <c r="B426" s="447"/>
      <c r="C426" s="448"/>
      <c r="D426" s="448"/>
      <c r="E426" s="449"/>
      <c r="F426" s="450"/>
      <c r="G426" s="450"/>
      <c r="H426" s="450"/>
      <c r="I426" s="450"/>
      <c r="J426" s="448"/>
      <c r="K426" s="450"/>
      <c r="L426" s="450"/>
      <c r="M426" s="451"/>
      <c r="N426" s="450"/>
      <c r="O426" s="537"/>
      <c r="P426" s="450"/>
      <c r="Q426" s="537"/>
      <c r="R426" s="543"/>
      <c r="S426" s="540"/>
      <c r="T426" s="451"/>
      <c r="U426" s="540"/>
      <c r="V426" s="451"/>
      <c r="W426" s="540"/>
      <c r="X426" s="450"/>
      <c r="Y426" s="448"/>
      <c r="Z426" s="455"/>
      <c r="AA426" s="455"/>
      <c r="AB426" s="455"/>
      <c r="AC426" s="455"/>
      <c r="AD426" s="452"/>
      <c r="AE426" s="484"/>
      <c r="AF426" s="484"/>
      <c r="AG426" s="453"/>
      <c r="AH426" s="550"/>
    </row>
    <row r="427" spans="1:34" s="439" customFormat="1" ht="15">
      <c r="A427" s="472"/>
      <c r="B427" s="447"/>
      <c r="C427" s="448"/>
      <c r="D427" s="448"/>
      <c r="E427" s="449"/>
      <c r="F427" s="450"/>
      <c r="G427" s="450"/>
      <c r="H427" s="450"/>
      <c r="I427" s="450"/>
      <c r="J427" s="448"/>
      <c r="K427" s="450"/>
      <c r="L427" s="450"/>
      <c r="M427" s="451"/>
      <c r="N427" s="450"/>
      <c r="O427" s="537"/>
      <c r="P427" s="450"/>
      <c r="Q427" s="537"/>
      <c r="R427" s="543"/>
      <c r="S427" s="540"/>
      <c r="T427" s="451"/>
      <c r="U427" s="540"/>
      <c r="V427" s="451"/>
      <c r="W427" s="540"/>
      <c r="X427" s="450"/>
      <c r="Y427" s="448"/>
      <c r="Z427" s="455"/>
      <c r="AA427" s="455"/>
      <c r="AB427" s="455"/>
      <c r="AC427" s="455"/>
      <c r="AD427" s="452"/>
      <c r="AE427" s="484"/>
      <c r="AF427" s="484"/>
      <c r="AG427" s="452"/>
      <c r="AH427" s="550"/>
    </row>
    <row r="428" spans="1:34" s="439" customFormat="1" ht="15">
      <c r="A428" s="472"/>
      <c r="B428" s="447"/>
      <c r="C428" s="448"/>
      <c r="D428" s="448"/>
      <c r="E428" s="449"/>
      <c r="F428" s="450"/>
      <c r="G428" s="450"/>
      <c r="H428" s="450"/>
      <c r="I428" s="450"/>
      <c r="J428" s="448"/>
      <c r="K428" s="450"/>
      <c r="L428" s="450"/>
      <c r="M428" s="451"/>
      <c r="N428" s="450"/>
      <c r="O428" s="537"/>
      <c r="P428" s="450"/>
      <c r="Q428" s="537"/>
      <c r="R428" s="543"/>
      <c r="S428" s="540"/>
      <c r="T428" s="451"/>
      <c r="U428" s="540"/>
      <c r="V428" s="451"/>
      <c r="W428" s="540"/>
      <c r="X428" s="450"/>
      <c r="Y428" s="448"/>
      <c r="Z428" s="455"/>
      <c r="AA428" s="455"/>
      <c r="AB428" s="455"/>
      <c r="AC428" s="455"/>
      <c r="AD428" s="452"/>
      <c r="AE428" s="484"/>
      <c r="AF428" s="484"/>
      <c r="AG428" s="452"/>
      <c r="AH428" s="550"/>
    </row>
    <row r="429" spans="1:34" s="439" customFormat="1" ht="15">
      <c r="A429" s="472"/>
      <c r="B429" s="447"/>
      <c r="C429" s="448"/>
      <c r="D429" s="448"/>
      <c r="E429" s="449"/>
      <c r="F429" s="450"/>
      <c r="G429" s="450"/>
      <c r="H429" s="450"/>
      <c r="I429" s="450"/>
      <c r="J429" s="448"/>
      <c r="K429" s="450"/>
      <c r="L429" s="450"/>
      <c r="M429" s="451"/>
      <c r="N429" s="450"/>
      <c r="O429" s="537"/>
      <c r="P429" s="450"/>
      <c r="Q429" s="537"/>
      <c r="R429" s="543"/>
      <c r="S429" s="540"/>
      <c r="T429" s="451"/>
      <c r="U429" s="540"/>
      <c r="V429" s="451"/>
      <c r="W429" s="540"/>
      <c r="X429" s="450"/>
      <c r="Y429" s="448"/>
      <c r="Z429" s="455"/>
      <c r="AA429" s="455"/>
      <c r="AB429" s="455"/>
      <c r="AC429" s="455"/>
      <c r="AD429" s="452"/>
      <c r="AE429" s="484"/>
      <c r="AF429" s="484"/>
      <c r="AG429" s="452"/>
      <c r="AH429" s="550"/>
    </row>
    <row r="430" spans="1:34" s="439" customFormat="1" ht="15">
      <c r="A430" s="472"/>
      <c r="B430" s="447"/>
      <c r="C430" s="448"/>
      <c r="D430" s="448"/>
      <c r="E430" s="449"/>
      <c r="F430" s="450"/>
      <c r="G430" s="450"/>
      <c r="H430" s="450"/>
      <c r="I430" s="450"/>
      <c r="J430" s="448"/>
      <c r="K430" s="450"/>
      <c r="L430" s="450"/>
      <c r="M430" s="451"/>
      <c r="N430" s="450"/>
      <c r="O430" s="537"/>
      <c r="P430" s="450"/>
      <c r="Q430" s="537"/>
      <c r="R430" s="543"/>
      <c r="S430" s="540"/>
      <c r="T430" s="451"/>
      <c r="U430" s="540"/>
      <c r="V430" s="451"/>
      <c r="W430" s="540"/>
      <c r="X430" s="450"/>
      <c r="Y430" s="448"/>
      <c r="Z430" s="455"/>
      <c r="AA430" s="455"/>
      <c r="AB430" s="455"/>
      <c r="AC430" s="455"/>
      <c r="AD430" s="452"/>
      <c r="AE430" s="484"/>
      <c r="AF430" s="484"/>
      <c r="AG430" s="452"/>
      <c r="AH430" s="550"/>
    </row>
    <row r="431" spans="1:34" s="439" customFormat="1" ht="15">
      <c r="A431" s="472"/>
      <c r="B431" s="447"/>
      <c r="C431" s="448"/>
      <c r="D431" s="448"/>
      <c r="E431" s="449"/>
      <c r="F431" s="450"/>
      <c r="G431" s="450"/>
      <c r="H431" s="450"/>
      <c r="I431" s="450"/>
      <c r="J431" s="448"/>
      <c r="K431" s="450"/>
      <c r="L431" s="450"/>
      <c r="M431" s="451"/>
      <c r="N431" s="450"/>
      <c r="O431" s="537"/>
      <c r="P431" s="450"/>
      <c r="Q431" s="537"/>
      <c r="R431" s="543"/>
      <c r="S431" s="540"/>
      <c r="T431" s="451"/>
      <c r="U431" s="540"/>
      <c r="V431" s="451"/>
      <c r="W431" s="540"/>
      <c r="X431" s="450"/>
      <c r="Y431" s="448"/>
      <c r="Z431" s="455"/>
      <c r="AA431" s="455"/>
      <c r="AB431" s="455"/>
      <c r="AC431" s="455"/>
      <c r="AD431" s="452"/>
      <c r="AE431" s="484"/>
      <c r="AF431" s="484"/>
      <c r="AG431" s="452"/>
      <c r="AH431" s="550"/>
    </row>
    <row r="432" spans="1:34" s="439" customFormat="1" ht="15">
      <c r="A432" s="472"/>
      <c r="B432" s="447"/>
      <c r="C432" s="448"/>
      <c r="D432" s="448"/>
      <c r="E432" s="449"/>
      <c r="F432" s="450"/>
      <c r="G432" s="450"/>
      <c r="H432" s="450"/>
      <c r="I432" s="450"/>
      <c r="J432" s="448"/>
      <c r="K432" s="450"/>
      <c r="L432" s="450"/>
      <c r="M432" s="451"/>
      <c r="N432" s="450"/>
      <c r="O432" s="537"/>
      <c r="P432" s="450"/>
      <c r="Q432" s="537"/>
      <c r="R432" s="543"/>
      <c r="S432" s="540"/>
      <c r="T432" s="451"/>
      <c r="U432" s="540"/>
      <c r="V432" s="451"/>
      <c r="W432" s="540"/>
      <c r="X432" s="450"/>
      <c r="Y432" s="448"/>
      <c r="Z432" s="455"/>
      <c r="AA432" s="455"/>
      <c r="AB432" s="455"/>
      <c r="AC432" s="455"/>
      <c r="AD432" s="452"/>
      <c r="AE432" s="484"/>
      <c r="AF432" s="484"/>
      <c r="AG432" s="452"/>
      <c r="AH432" s="550"/>
    </row>
    <row r="433" spans="1:34" s="439" customFormat="1" ht="15">
      <c r="A433" s="472"/>
      <c r="B433" s="447"/>
      <c r="C433" s="448"/>
      <c r="D433" s="448"/>
      <c r="E433" s="449"/>
      <c r="F433" s="450"/>
      <c r="G433" s="450"/>
      <c r="H433" s="450"/>
      <c r="I433" s="450"/>
      <c r="J433" s="448"/>
      <c r="K433" s="450"/>
      <c r="L433" s="450"/>
      <c r="M433" s="451"/>
      <c r="N433" s="450"/>
      <c r="O433" s="537"/>
      <c r="P433" s="450"/>
      <c r="Q433" s="537"/>
      <c r="R433" s="543"/>
      <c r="S433" s="540"/>
      <c r="T433" s="451"/>
      <c r="U433" s="540"/>
      <c r="V433" s="451"/>
      <c r="W433" s="540"/>
      <c r="X433" s="450"/>
      <c r="Y433" s="448"/>
      <c r="Z433" s="455"/>
      <c r="AA433" s="455"/>
      <c r="AB433" s="455"/>
      <c r="AC433" s="455"/>
      <c r="AD433" s="452"/>
      <c r="AE433" s="484"/>
      <c r="AF433" s="484"/>
      <c r="AG433" s="452"/>
      <c r="AH433" s="550"/>
    </row>
    <row r="434" spans="1:34" s="439" customFormat="1" ht="15">
      <c r="A434" s="472"/>
      <c r="B434" s="447"/>
      <c r="C434" s="448"/>
      <c r="D434" s="448"/>
      <c r="E434" s="449"/>
      <c r="F434" s="450"/>
      <c r="G434" s="450"/>
      <c r="H434" s="450"/>
      <c r="I434" s="450"/>
      <c r="J434" s="448"/>
      <c r="K434" s="450"/>
      <c r="L434" s="450"/>
      <c r="M434" s="451"/>
      <c r="N434" s="450"/>
      <c r="O434" s="537"/>
      <c r="P434" s="450"/>
      <c r="Q434" s="537"/>
      <c r="R434" s="543"/>
      <c r="S434" s="540"/>
      <c r="T434" s="451"/>
      <c r="U434" s="540"/>
      <c r="V434" s="451"/>
      <c r="W434" s="540"/>
      <c r="X434" s="450"/>
      <c r="Y434" s="448"/>
      <c r="Z434" s="455"/>
      <c r="AA434" s="455"/>
      <c r="AB434" s="455"/>
      <c r="AC434" s="455"/>
      <c r="AD434" s="452"/>
      <c r="AE434" s="484"/>
      <c r="AF434" s="484"/>
      <c r="AG434" s="452"/>
      <c r="AH434" s="550"/>
    </row>
    <row r="435" spans="1:34" s="439" customFormat="1" ht="15">
      <c r="A435" s="472"/>
      <c r="B435" s="447"/>
      <c r="C435" s="448"/>
      <c r="D435" s="448"/>
      <c r="E435" s="449"/>
      <c r="F435" s="450"/>
      <c r="G435" s="450"/>
      <c r="H435" s="450"/>
      <c r="I435" s="450"/>
      <c r="J435" s="448"/>
      <c r="K435" s="450"/>
      <c r="L435" s="450"/>
      <c r="M435" s="451"/>
      <c r="N435" s="450"/>
      <c r="O435" s="537"/>
      <c r="P435" s="450"/>
      <c r="Q435" s="537"/>
      <c r="R435" s="543"/>
      <c r="S435" s="540"/>
      <c r="T435" s="451"/>
      <c r="U435" s="540"/>
      <c r="V435" s="451"/>
      <c r="W435" s="540"/>
      <c r="X435" s="450"/>
      <c r="Y435" s="448"/>
      <c r="Z435" s="455"/>
      <c r="AA435" s="455"/>
      <c r="AB435" s="455"/>
      <c r="AC435" s="455"/>
      <c r="AD435" s="452"/>
      <c r="AE435" s="484"/>
      <c r="AF435" s="484"/>
      <c r="AG435" s="453"/>
      <c r="AH435" s="550"/>
    </row>
    <row r="436" spans="1:34" s="439" customFormat="1" ht="15">
      <c r="A436" s="472"/>
      <c r="B436" s="447"/>
      <c r="C436" s="448"/>
      <c r="D436" s="448"/>
      <c r="E436" s="449"/>
      <c r="F436" s="450"/>
      <c r="G436" s="450"/>
      <c r="H436" s="450"/>
      <c r="I436" s="450"/>
      <c r="J436" s="448"/>
      <c r="K436" s="450"/>
      <c r="L436" s="450"/>
      <c r="M436" s="451"/>
      <c r="N436" s="450"/>
      <c r="O436" s="537"/>
      <c r="P436" s="450"/>
      <c r="Q436" s="537"/>
      <c r="R436" s="543"/>
      <c r="S436" s="540"/>
      <c r="T436" s="451"/>
      <c r="U436" s="540"/>
      <c r="V436" s="451"/>
      <c r="W436" s="540"/>
      <c r="X436" s="450"/>
      <c r="Y436" s="448"/>
      <c r="Z436" s="455"/>
      <c r="AA436" s="455"/>
      <c r="AB436" s="455"/>
      <c r="AC436" s="455"/>
      <c r="AD436" s="452"/>
      <c r="AE436" s="484"/>
      <c r="AF436" s="484"/>
      <c r="AG436" s="452"/>
      <c r="AH436" s="550"/>
    </row>
    <row r="437" spans="1:34" s="439" customFormat="1" ht="15">
      <c r="A437" s="472"/>
      <c r="B437" s="447"/>
      <c r="C437" s="448"/>
      <c r="D437" s="448"/>
      <c r="E437" s="449"/>
      <c r="F437" s="450"/>
      <c r="G437" s="450"/>
      <c r="H437" s="450"/>
      <c r="I437" s="450"/>
      <c r="J437" s="448"/>
      <c r="K437" s="450"/>
      <c r="L437" s="450"/>
      <c r="M437" s="451"/>
      <c r="N437" s="450"/>
      <c r="O437" s="537"/>
      <c r="P437" s="450"/>
      <c r="Q437" s="537"/>
      <c r="R437" s="543"/>
      <c r="S437" s="540"/>
      <c r="T437" s="451"/>
      <c r="U437" s="540"/>
      <c r="V437" s="451"/>
      <c r="W437" s="540"/>
      <c r="X437" s="450"/>
      <c r="Y437" s="448"/>
      <c r="Z437" s="455"/>
      <c r="AA437" s="455"/>
      <c r="AB437" s="455"/>
      <c r="AC437" s="455"/>
      <c r="AD437" s="452"/>
      <c r="AE437" s="484"/>
      <c r="AF437" s="484"/>
      <c r="AG437" s="452"/>
      <c r="AH437" s="550"/>
    </row>
    <row r="438" spans="1:34" s="439" customFormat="1" ht="15">
      <c r="A438" s="472"/>
      <c r="B438" s="447"/>
      <c r="C438" s="448"/>
      <c r="D438" s="448"/>
      <c r="E438" s="449"/>
      <c r="F438" s="450"/>
      <c r="G438" s="450"/>
      <c r="H438" s="450"/>
      <c r="I438" s="450"/>
      <c r="J438" s="448"/>
      <c r="K438" s="450"/>
      <c r="L438" s="450"/>
      <c r="M438" s="451"/>
      <c r="N438" s="450"/>
      <c r="O438" s="537"/>
      <c r="P438" s="450"/>
      <c r="Q438" s="537"/>
      <c r="R438" s="543"/>
      <c r="S438" s="540"/>
      <c r="T438" s="451"/>
      <c r="U438" s="540"/>
      <c r="V438" s="451"/>
      <c r="W438" s="540"/>
      <c r="X438" s="450"/>
      <c r="Y438" s="448"/>
      <c r="Z438" s="455"/>
      <c r="AA438" s="455"/>
      <c r="AB438" s="455"/>
      <c r="AC438" s="455"/>
      <c r="AD438" s="452"/>
      <c r="AE438" s="484"/>
      <c r="AF438" s="484"/>
      <c r="AG438" s="452"/>
      <c r="AH438" s="550"/>
    </row>
    <row r="439" spans="1:34" s="439" customFormat="1" ht="15">
      <c r="A439" s="472"/>
      <c r="B439" s="447"/>
      <c r="C439" s="448"/>
      <c r="D439" s="448"/>
      <c r="E439" s="449"/>
      <c r="F439" s="450"/>
      <c r="G439" s="450"/>
      <c r="H439" s="450"/>
      <c r="I439" s="450"/>
      <c r="J439" s="448"/>
      <c r="K439" s="450"/>
      <c r="L439" s="450"/>
      <c r="M439" s="451"/>
      <c r="N439" s="450"/>
      <c r="O439" s="537"/>
      <c r="P439" s="450"/>
      <c r="Q439" s="537"/>
      <c r="R439" s="543"/>
      <c r="S439" s="540"/>
      <c r="T439" s="451"/>
      <c r="U439" s="540"/>
      <c r="V439" s="451"/>
      <c r="W439" s="540"/>
      <c r="X439" s="450"/>
      <c r="Y439" s="448"/>
      <c r="Z439" s="455"/>
      <c r="AA439" s="455"/>
      <c r="AB439" s="455"/>
      <c r="AC439" s="455"/>
      <c r="AD439" s="452"/>
      <c r="AE439" s="484"/>
      <c r="AF439" s="484"/>
      <c r="AG439" s="452"/>
      <c r="AH439" s="550"/>
    </row>
    <row r="440" spans="1:34" s="439" customFormat="1" ht="15">
      <c r="A440" s="472"/>
      <c r="B440" s="447"/>
      <c r="C440" s="448"/>
      <c r="D440" s="448"/>
      <c r="E440" s="449"/>
      <c r="F440" s="450"/>
      <c r="G440" s="450"/>
      <c r="H440" s="450"/>
      <c r="I440" s="450"/>
      <c r="J440" s="448"/>
      <c r="K440" s="450"/>
      <c r="L440" s="450"/>
      <c r="M440" s="451"/>
      <c r="N440" s="450"/>
      <c r="O440" s="537"/>
      <c r="P440" s="450"/>
      <c r="Q440" s="537"/>
      <c r="R440" s="543"/>
      <c r="S440" s="540"/>
      <c r="T440" s="451"/>
      <c r="U440" s="540"/>
      <c r="V440" s="451"/>
      <c r="W440" s="540"/>
      <c r="X440" s="450"/>
      <c r="Y440" s="448"/>
      <c r="Z440" s="455"/>
      <c r="AA440" s="455"/>
      <c r="AB440" s="455"/>
      <c r="AC440" s="455"/>
      <c r="AD440" s="452"/>
      <c r="AE440" s="484"/>
      <c r="AF440" s="484"/>
      <c r="AG440" s="453"/>
      <c r="AH440" s="550"/>
    </row>
    <row r="441" spans="1:34" s="439" customFormat="1" ht="15">
      <c r="A441" s="472"/>
      <c r="B441" s="447"/>
      <c r="C441" s="448"/>
      <c r="D441" s="448"/>
      <c r="E441" s="449"/>
      <c r="F441" s="450"/>
      <c r="G441" s="450"/>
      <c r="H441" s="450"/>
      <c r="I441" s="450"/>
      <c r="J441" s="448"/>
      <c r="K441" s="450"/>
      <c r="L441" s="450"/>
      <c r="M441" s="451"/>
      <c r="N441" s="450"/>
      <c r="O441" s="537"/>
      <c r="P441" s="450"/>
      <c r="Q441" s="537"/>
      <c r="R441" s="543"/>
      <c r="S441" s="540"/>
      <c r="T441" s="451"/>
      <c r="U441" s="540"/>
      <c r="V441" s="451"/>
      <c r="W441" s="540"/>
      <c r="X441" s="450"/>
      <c r="Y441" s="448"/>
      <c r="Z441" s="455"/>
      <c r="AA441" s="455"/>
      <c r="AB441" s="455"/>
      <c r="AC441" s="455"/>
      <c r="AD441" s="452"/>
      <c r="AE441" s="484"/>
      <c r="AF441" s="484"/>
      <c r="AG441" s="452"/>
      <c r="AH441" s="550"/>
    </row>
    <row r="442" spans="1:34" s="439" customFormat="1" ht="15">
      <c r="A442" s="472"/>
      <c r="B442" s="447"/>
      <c r="C442" s="448"/>
      <c r="D442" s="448"/>
      <c r="E442" s="449"/>
      <c r="F442" s="450"/>
      <c r="G442" s="450"/>
      <c r="H442" s="450"/>
      <c r="I442" s="450"/>
      <c r="J442" s="448"/>
      <c r="K442" s="450"/>
      <c r="L442" s="450"/>
      <c r="M442" s="451"/>
      <c r="N442" s="450"/>
      <c r="O442" s="537"/>
      <c r="P442" s="450"/>
      <c r="Q442" s="537"/>
      <c r="R442" s="543"/>
      <c r="S442" s="540"/>
      <c r="T442" s="451"/>
      <c r="U442" s="540"/>
      <c r="V442" s="451"/>
      <c r="W442" s="540"/>
      <c r="X442" s="450"/>
      <c r="Y442" s="448"/>
      <c r="Z442" s="455"/>
      <c r="AA442" s="455"/>
      <c r="AB442" s="455"/>
      <c r="AC442" s="455"/>
      <c r="AD442" s="452"/>
      <c r="AE442" s="484"/>
      <c r="AF442" s="484"/>
      <c r="AG442" s="452"/>
      <c r="AH442" s="550"/>
    </row>
    <row r="443" spans="1:34" s="439" customFormat="1" ht="15">
      <c r="A443" s="472"/>
      <c r="B443" s="447"/>
      <c r="C443" s="448"/>
      <c r="D443" s="448"/>
      <c r="E443" s="449"/>
      <c r="F443" s="450"/>
      <c r="G443" s="450"/>
      <c r="H443" s="450"/>
      <c r="I443" s="450"/>
      <c r="J443" s="448"/>
      <c r="K443" s="450"/>
      <c r="L443" s="450"/>
      <c r="M443" s="451"/>
      <c r="N443" s="450"/>
      <c r="O443" s="537"/>
      <c r="P443" s="450"/>
      <c r="Q443" s="537"/>
      <c r="R443" s="543"/>
      <c r="S443" s="540"/>
      <c r="T443" s="451"/>
      <c r="U443" s="540"/>
      <c r="V443" s="451"/>
      <c r="W443" s="540"/>
      <c r="X443" s="450"/>
      <c r="Y443" s="448"/>
      <c r="Z443" s="455"/>
      <c r="AA443" s="455"/>
      <c r="AB443" s="455"/>
      <c r="AC443" s="455"/>
      <c r="AD443" s="452"/>
      <c r="AE443" s="484"/>
      <c r="AF443" s="484"/>
      <c r="AG443" s="453"/>
      <c r="AH443" s="550"/>
    </row>
    <row r="444" spans="1:34" s="439" customFormat="1" ht="15">
      <c r="A444" s="472"/>
      <c r="B444" s="447"/>
      <c r="C444" s="448"/>
      <c r="D444" s="448"/>
      <c r="E444" s="449"/>
      <c r="F444" s="450"/>
      <c r="G444" s="450"/>
      <c r="H444" s="450"/>
      <c r="I444" s="450"/>
      <c r="J444" s="448"/>
      <c r="K444" s="450"/>
      <c r="L444" s="450"/>
      <c r="M444" s="451"/>
      <c r="N444" s="450"/>
      <c r="O444" s="537"/>
      <c r="P444" s="450"/>
      <c r="Q444" s="537"/>
      <c r="R444" s="543"/>
      <c r="S444" s="540"/>
      <c r="T444" s="451"/>
      <c r="U444" s="540"/>
      <c r="V444" s="451"/>
      <c r="W444" s="540"/>
      <c r="X444" s="450"/>
      <c r="Y444" s="448"/>
      <c r="Z444" s="455"/>
      <c r="AA444" s="455"/>
      <c r="AB444" s="455"/>
      <c r="AC444" s="455"/>
      <c r="AD444" s="452"/>
      <c r="AE444" s="484"/>
      <c r="AF444" s="484"/>
      <c r="AG444" s="453"/>
      <c r="AH444" s="550"/>
    </row>
    <row r="445" spans="1:34" s="439" customFormat="1" ht="15">
      <c r="A445" s="472"/>
      <c r="B445" s="447"/>
      <c r="C445" s="448"/>
      <c r="D445" s="448"/>
      <c r="E445" s="449"/>
      <c r="F445" s="450"/>
      <c r="G445" s="450"/>
      <c r="H445" s="450"/>
      <c r="I445" s="450"/>
      <c r="J445" s="448"/>
      <c r="K445" s="450"/>
      <c r="L445" s="450"/>
      <c r="M445" s="451"/>
      <c r="N445" s="450"/>
      <c r="O445" s="537"/>
      <c r="P445" s="450"/>
      <c r="Q445" s="537"/>
      <c r="R445" s="543"/>
      <c r="S445" s="540"/>
      <c r="T445" s="451"/>
      <c r="U445" s="540"/>
      <c r="V445" s="451"/>
      <c r="W445" s="540"/>
      <c r="X445" s="450"/>
      <c r="Y445" s="448"/>
      <c r="Z445" s="455"/>
      <c r="AA445" s="455"/>
      <c r="AB445" s="455"/>
      <c r="AC445" s="455"/>
      <c r="AD445" s="452"/>
      <c r="AE445" s="484"/>
      <c r="AF445" s="484"/>
      <c r="AG445" s="453"/>
      <c r="AH445" s="550"/>
    </row>
    <row r="446" spans="1:34" s="439" customFormat="1" ht="15">
      <c r="A446" s="472"/>
      <c r="B446" s="447"/>
      <c r="C446" s="448"/>
      <c r="D446" s="448"/>
      <c r="E446" s="449"/>
      <c r="F446" s="450"/>
      <c r="G446" s="450"/>
      <c r="H446" s="450"/>
      <c r="I446" s="450"/>
      <c r="J446" s="448"/>
      <c r="K446" s="450"/>
      <c r="L446" s="450"/>
      <c r="M446" s="451"/>
      <c r="N446" s="450"/>
      <c r="O446" s="537"/>
      <c r="P446" s="450"/>
      <c r="Q446" s="537"/>
      <c r="R446" s="543"/>
      <c r="S446" s="540"/>
      <c r="T446" s="451"/>
      <c r="U446" s="540"/>
      <c r="V446" s="451"/>
      <c r="W446" s="540"/>
      <c r="X446" s="450"/>
      <c r="Y446" s="448"/>
      <c r="Z446" s="455"/>
      <c r="AA446" s="455"/>
      <c r="AB446" s="455"/>
      <c r="AC446" s="455"/>
      <c r="AD446" s="452"/>
      <c r="AE446" s="484"/>
      <c r="AF446" s="484"/>
      <c r="AG446" s="453"/>
      <c r="AH446" s="550"/>
    </row>
    <row r="447" spans="1:34" s="439" customFormat="1" ht="15">
      <c r="A447" s="472"/>
      <c r="B447" s="447"/>
      <c r="C447" s="448"/>
      <c r="D447" s="448"/>
      <c r="E447" s="449"/>
      <c r="F447" s="450"/>
      <c r="G447" s="450"/>
      <c r="H447" s="450"/>
      <c r="I447" s="450"/>
      <c r="J447" s="448"/>
      <c r="K447" s="450"/>
      <c r="L447" s="450"/>
      <c r="M447" s="451"/>
      <c r="N447" s="450"/>
      <c r="O447" s="537"/>
      <c r="P447" s="450"/>
      <c r="Q447" s="537"/>
      <c r="R447" s="543"/>
      <c r="S447" s="540"/>
      <c r="T447" s="451"/>
      <c r="U447" s="540"/>
      <c r="V447" s="451"/>
      <c r="W447" s="540"/>
      <c r="X447" s="450"/>
      <c r="Y447" s="451"/>
      <c r="Z447" s="455"/>
      <c r="AA447" s="455"/>
      <c r="AB447" s="455"/>
      <c r="AC447" s="455"/>
      <c r="AD447" s="452"/>
      <c r="AE447" s="484"/>
      <c r="AF447" s="484"/>
      <c r="AG447" s="452"/>
      <c r="AH447" s="550"/>
    </row>
    <row r="448" spans="1:34" s="439" customFormat="1" ht="15">
      <c r="A448" s="472"/>
      <c r="B448" s="447"/>
      <c r="C448" s="448"/>
      <c r="D448" s="448"/>
      <c r="E448" s="449"/>
      <c r="F448" s="450"/>
      <c r="G448" s="450"/>
      <c r="H448" s="450"/>
      <c r="I448" s="450"/>
      <c r="J448" s="448"/>
      <c r="K448" s="450"/>
      <c r="L448" s="450"/>
      <c r="M448" s="451"/>
      <c r="N448" s="450"/>
      <c r="O448" s="537"/>
      <c r="P448" s="450"/>
      <c r="Q448" s="537"/>
      <c r="R448" s="543"/>
      <c r="S448" s="540"/>
      <c r="T448" s="451"/>
      <c r="U448" s="540"/>
      <c r="V448" s="451"/>
      <c r="W448" s="540"/>
      <c r="X448" s="450"/>
      <c r="Y448" s="451"/>
      <c r="Z448" s="455"/>
      <c r="AA448" s="455"/>
      <c r="AB448" s="455"/>
      <c r="AC448" s="455"/>
      <c r="AD448" s="452"/>
      <c r="AE448" s="484"/>
      <c r="AF448" s="484"/>
      <c r="AG448" s="452"/>
      <c r="AH448" s="550"/>
    </row>
    <row r="449" spans="1:34" s="439" customFormat="1" ht="15">
      <c r="A449" s="472"/>
      <c r="B449" s="447"/>
      <c r="C449" s="448"/>
      <c r="D449" s="448"/>
      <c r="E449" s="449"/>
      <c r="F449" s="450"/>
      <c r="G449" s="450"/>
      <c r="H449" s="450"/>
      <c r="I449" s="450"/>
      <c r="J449" s="448"/>
      <c r="K449" s="450"/>
      <c r="L449" s="450"/>
      <c r="M449" s="451"/>
      <c r="N449" s="450"/>
      <c r="O449" s="537"/>
      <c r="P449" s="450"/>
      <c r="Q449" s="537"/>
      <c r="R449" s="543"/>
      <c r="S449" s="540"/>
      <c r="T449" s="451"/>
      <c r="U449" s="540"/>
      <c r="V449" s="451"/>
      <c r="W449" s="540"/>
      <c r="X449" s="450"/>
      <c r="Y449" s="448"/>
      <c r="Z449" s="455"/>
      <c r="AA449" s="455"/>
      <c r="AB449" s="455"/>
      <c r="AC449" s="455"/>
      <c r="AD449" s="452"/>
      <c r="AE449" s="484"/>
      <c r="AF449" s="484"/>
      <c r="AG449" s="453"/>
      <c r="AH449" s="550"/>
    </row>
    <row r="450" spans="1:34" s="439" customFormat="1" ht="15">
      <c r="A450" s="472"/>
      <c r="B450" s="447"/>
      <c r="C450" s="448"/>
      <c r="D450" s="448"/>
      <c r="E450" s="449"/>
      <c r="F450" s="450"/>
      <c r="G450" s="450"/>
      <c r="H450" s="450"/>
      <c r="I450" s="450"/>
      <c r="J450" s="448"/>
      <c r="K450" s="450"/>
      <c r="L450" s="450"/>
      <c r="M450" s="451"/>
      <c r="N450" s="450"/>
      <c r="O450" s="537"/>
      <c r="P450" s="450"/>
      <c r="Q450" s="537"/>
      <c r="R450" s="543"/>
      <c r="S450" s="540"/>
      <c r="T450" s="451"/>
      <c r="U450" s="540"/>
      <c r="V450" s="451"/>
      <c r="W450" s="540"/>
      <c r="X450" s="450"/>
      <c r="Y450" s="448"/>
      <c r="Z450" s="455"/>
      <c r="AA450" s="455"/>
      <c r="AB450" s="455"/>
      <c r="AC450" s="455"/>
      <c r="AD450" s="452"/>
      <c r="AE450" s="484"/>
      <c r="AF450" s="484"/>
      <c r="AG450" s="452"/>
      <c r="AH450" s="550"/>
    </row>
    <row r="451" spans="1:34" s="439" customFormat="1" ht="15">
      <c r="A451" s="472"/>
      <c r="B451" s="447"/>
      <c r="C451" s="448"/>
      <c r="D451" s="448"/>
      <c r="E451" s="449"/>
      <c r="F451" s="450"/>
      <c r="G451" s="450"/>
      <c r="H451" s="450"/>
      <c r="I451" s="450"/>
      <c r="J451" s="448"/>
      <c r="K451" s="450"/>
      <c r="L451" s="450"/>
      <c r="M451" s="451"/>
      <c r="N451" s="450"/>
      <c r="O451" s="537"/>
      <c r="P451" s="450"/>
      <c r="Q451" s="537"/>
      <c r="R451" s="543"/>
      <c r="S451" s="540"/>
      <c r="T451" s="451"/>
      <c r="U451" s="540"/>
      <c r="V451" s="451"/>
      <c r="W451" s="540"/>
      <c r="X451" s="450"/>
      <c r="Y451" s="448"/>
      <c r="Z451" s="455"/>
      <c r="AA451" s="455"/>
      <c r="AB451" s="455"/>
      <c r="AC451" s="455"/>
      <c r="AD451" s="452"/>
      <c r="AE451" s="484"/>
      <c r="AF451" s="484"/>
      <c r="AG451" s="452"/>
      <c r="AH451" s="550"/>
    </row>
    <row r="452" spans="1:34" s="439" customFormat="1" ht="15">
      <c r="A452" s="472"/>
      <c r="B452" s="447"/>
      <c r="C452" s="448"/>
      <c r="D452" s="448"/>
      <c r="E452" s="449"/>
      <c r="F452" s="450"/>
      <c r="G452" s="450"/>
      <c r="H452" s="450"/>
      <c r="I452" s="450"/>
      <c r="J452" s="448"/>
      <c r="K452" s="450"/>
      <c r="L452" s="450"/>
      <c r="M452" s="451"/>
      <c r="N452" s="450"/>
      <c r="O452" s="537"/>
      <c r="P452" s="450"/>
      <c r="Q452" s="537"/>
      <c r="R452" s="543"/>
      <c r="S452" s="540"/>
      <c r="T452" s="451"/>
      <c r="U452" s="540"/>
      <c r="V452" s="451"/>
      <c r="W452" s="540"/>
      <c r="X452" s="450"/>
      <c r="Y452" s="448"/>
      <c r="Z452" s="455"/>
      <c r="AA452" s="455"/>
      <c r="AB452" s="455"/>
      <c r="AC452" s="455"/>
      <c r="AD452" s="452"/>
      <c r="AE452" s="484"/>
      <c r="AF452" s="484"/>
      <c r="AG452" s="452"/>
      <c r="AH452" s="550"/>
    </row>
    <row r="453" spans="1:34" s="439" customFormat="1" ht="15">
      <c r="A453" s="472"/>
      <c r="B453" s="447"/>
      <c r="C453" s="448"/>
      <c r="D453" s="448"/>
      <c r="E453" s="449"/>
      <c r="F453" s="450"/>
      <c r="G453" s="450"/>
      <c r="H453" s="450"/>
      <c r="I453" s="450"/>
      <c r="J453" s="448"/>
      <c r="K453" s="450"/>
      <c r="L453" s="450"/>
      <c r="M453" s="451"/>
      <c r="N453" s="450"/>
      <c r="O453" s="537"/>
      <c r="P453" s="450"/>
      <c r="Q453" s="537"/>
      <c r="R453" s="543"/>
      <c r="S453" s="540"/>
      <c r="T453" s="451"/>
      <c r="U453" s="451"/>
      <c r="V453" s="451"/>
      <c r="W453" s="540"/>
      <c r="X453" s="450"/>
      <c r="Y453" s="448"/>
      <c r="Z453" s="455"/>
      <c r="AA453" s="455"/>
      <c r="AB453" s="455"/>
      <c r="AC453" s="455"/>
      <c r="AD453" s="452"/>
      <c r="AE453" s="484"/>
      <c r="AF453" s="484"/>
      <c r="AG453" s="452"/>
      <c r="AH453" s="550"/>
    </row>
    <row r="454" spans="1:34" s="439" customFormat="1" ht="15">
      <c r="A454" s="472"/>
      <c r="B454" s="447"/>
      <c r="C454" s="448"/>
      <c r="D454" s="448"/>
      <c r="E454" s="449"/>
      <c r="F454" s="450"/>
      <c r="G454" s="450"/>
      <c r="H454" s="450"/>
      <c r="I454" s="450"/>
      <c r="J454" s="448"/>
      <c r="K454" s="450"/>
      <c r="L454" s="450"/>
      <c r="M454" s="451"/>
      <c r="N454" s="450"/>
      <c r="O454" s="537"/>
      <c r="P454" s="450"/>
      <c r="Q454" s="537"/>
      <c r="R454" s="543"/>
      <c r="S454" s="540"/>
      <c r="T454" s="451"/>
      <c r="U454" s="451"/>
      <c r="V454" s="451"/>
      <c r="W454" s="540"/>
      <c r="X454" s="450"/>
      <c r="Y454" s="448"/>
      <c r="Z454" s="455"/>
      <c r="AA454" s="455"/>
      <c r="AB454" s="455"/>
      <c r="AC454" s="455"/>
      <c r="AD454" s="452"/>
      <c r="AE454" s="484"/>
      <c r="AF454" s="484"/>
      <c r="AG454" s="453"/>
      <c r="AH454" s="550"/>
    </row>
    <row r="455" spans="1:34" s="439" customFormat="1" ht="15">
      <c r="A455" s="472"/>
      <c r="B455" s="447"/>
      <c r="C455" s="448"/>
      <c r="D455" s="448"/>
      <c r="E455" s="449"/>
      <c r="F455" s="450"/>
      <c r="G455" s="450"/>
      <c r="H455" s="450"/>
      <c r="I455" s="450"/>
      <c r="J455" s="448"/>
      <c r="K455" s="450"/>
      <c r="L455" s="450"/>
      <c r="M455" s="451"/>
      <c r="N455" s="450"/>
      <c r="O455" s="537"/>
      <c r="P455" s="450"/>
      <c r="Q455" s="537"/>
      <c r="R455" s="543"/>
      <c r="S455" s="540"/>
      <c r="T455" s="451"/>
      <c r="U455" s="451"/>
      <c r="V455" s="451"/>
      <c r="W455" s="540"/>
      <c r="X455" s="450"/>
      <c r="Y455" s="448"/>
      <c r="Z455" s="455"/>
      <c r="AA455" s="455"/>
      <c r="AB455" s="455"/>
      <c r="AC455" s="455"/>
      <c r="AD455" s="452"/>
      <c r="AE455" s="484"/>
      <c r="AF455" s="484"/>
      <c r="AG455" s="453"/>
      <c r="AH455" s="550"/>
    </row>
    <row r="456" spans="1:34" s="439" customFormat="1" ht="15">
      <c r="A456" s="472"/>
      <c r="B456" s="447"/>
      <c r="C456" s="448"/>
      <c r="D456" s="448"/>
      <c r="E456" s="449"/>
      <c r="F456" s="450"/>
      <c r="G456" s="450"/>
      <c r="H456" s="450"/>
      <c r="I456" s="450"/>
      <c r="J456" s="448"/>
      <c r="K456" s="450"/>
      <c r="L456" s="450"/>
      <c r="M456" s="451"/>
      <c r="N456" s="450"/>
      <c r="O456" s="537"/>
      <c r="P456" s="450"/>
      <c r="Q456" s="537"/>
      <c r="R456" s="543"/>
      <c r="S456" s="540"/>
      <c r="T456" s="451"/>
      <c r="U456" s="451"/>
      <c r="V456" s="451"/>
      <c r="W456" s="540"/>
      <c r="X456" s="450"/>
      <c r="Y456" s="448"/>
      <c r="Z456" s="455"/>
      <c r="AA456" s="455"/>
      <c r="AB456" s="455"/>
      <c r="AC456" s="455"/>
      <c r="AD456" s="452"/>
      <c r="AE456" s="484"/>
      <c r="AF456" s="484"/>
      <c r="AG456" s="452"/>
      <c r="AH456" s="550"/>
    </row>
    <row r="457" spans="1:34" s="439" customFormat="1" ht="15">
      <c r="A457" s="472"/>
      <c r="B457" s="447"/>
      <c r="C457" s="448"/>
      <c r="D457" s="448"/>
      <c r="E457" s="449"/>
      <c r="F457" s="450"/>
      <c r="G457" s="450"/>
      <c r="H457" s="450"/>
      <c r="I457" s="450"/>
      <c r="J457" s="448"/>
      <c r="K457" s="450"/>
      <c r="L457" s="450"/>
      <c r="M457" s="451"/>
      <c r="N457" s="450"/>
      <c r="O457" s="537"/>
      <c r="P457" s="450"/>
      <c r="Q457" s="537"/>
      <c r="R457" s="543"/>
      <c r="S457" s="540"/>
      <c r="T457" s="451"/>
      <c r="U457" s="451"/>
      <c r="V457" s="451"/>
      <c r="W457" s="540"/>
      <c r="X457" s="450"/>
      <c r="Y457" s="448"/>
      <c r="Z457" s="455"/>
      <c r="AA457" s="455"/>
      <c r="AB457" s="455"/>
      <c r="AC457" s="455"/>
      <c r="AD457" s="452"/>
      <c r="AE457" s="484"/>
      <c r="AF457" s="484"/>
      <c r="AG457" s="452"/>
      <c r="AH457" s="550"/>
    </row>
    <row r="458" spans="1:34" s="439" customFormat="1" ht="15">
      <c r="A458" s="472"/>
      <c r="B458" s="447"/>
      <c r="C458" s="448"/>
      <c r="D458" s="448"/>
      <c r="E458" s="449"/>
      <c r="F458" s="450"/>
      <c r="G458" s="450"/>
      <c r="H458" s="450"/>
      <c r="I458" s="450"/>
      <c r="J458" s="448"/>
      <c r="K458" s="450"/>
      <c r="L458" s="450"/>
      <c r="M458" s="451"/>
      <c r="N458" s="450"/>
      <c r="O458" s="537"/>
      <c r="P458" s="450"/>
      <c r="Q458" s="537"/>
      <c r="R458" s="543"/>
      <c r="S458" s="540"/>
      <c r="T458" s="451"/>
      <c r="U458" s="451"/>
      <c r="V458" s="451"/>
      <c r="W458" s="540"/>
      <c r="X458" s="450"/>
      <c r="Y458" s="448"/>
      <c r="Z458" s="455"/>
      <c r="AA458" s="455"/>
      <c r="AB458" s="455"/>
      <c r="AC458" s="455"/>
      <c r="AD458" s="452"/>
      <c r="AE458" s="484"/>
      <c r="AF458" s="484"/>
      <c r="AG458" s="452"/>
      <c r="AH458" s="550"/>
    </row>
    <row r="459" spans="1:34" s="439" customFormat="1" ht="15">
      <c r="A459" s="472"/>
      <c r="B459" s="447"/>
      <c r="C459" s="448"/>
      <c r="D459" s="448"/>
      <c r="E459" s="449"/>
      <c r="F459" s="450"/>
      <c r="G459" s="450"/>
      <c r="H459" s="450"/>
      <c r="I459" s="450"/>
      <c r="J459" s="448"/>
      <c r="K459" s="450"/>
      <c r="L459" s="450"/>
      <c r="M459" s="451"/>
      <c r="N459" s="450"/>
      <c r="O459" s="537"/>
      <c r="P459" s="450"/>
      <c r="Q459" s="537"/>
      <c r="R459" s="543"/>
      <c r="S459" s="540"/>
      <c r="T459" s="451"/>
      <c r="U459" s="451"/>
      <c r="V459" s="451"/>
      <c r="W459" s="540"/>
      <c r="X459" s="450"/>
      <c r="Y459" s="448"/>
      <c r="Z459" s="455"/>
      <c r="AA459" s="455"/>
      <c r="AB459" s="455"/>
      <c r="AC459" s="455"/>
      <c r="AD459" s="452"/>
      <c r="AE459" s="484"/>
      <c r="AF459" s="484"/>
      <c r="AG459" s="452"/>
      <c r="AH459" s="550"/>
    </row>
    <row r="460" spans="1:34" s="439" customFormat="1" ht="15">
      <c r="A460" s="472"/>
      <c r="B460" s="447"/>
      <c r="C460" s="448"/>
      <c r="D460" s="448"/>
      <c r="E460" s="449"/>
      <c r="F460" s="450"/>
      <c r="G460" s="450"/>
      <c r="H460" s="450"/>
      <c r="I460" s="450"/>
      <c r="J460" s="448"/>
      <c r="K460" s="450"/>
      <c r="L460" s="450"/>
      <c r="M460" s="451"/>
      <c r="N460" s="450"/>
      <c r="O460" s="537"/>
      <c r="P460" s="450"/>
      <c r="Q460" s="537"/>
      <c r="R460" s="543"/>
      <c r="S460" s="540"/>
      <c r="T460" s="451"/>
      <c r="U460" s="451"/>
      <c r="V460" s="451"/>
      <c r="W460" s="540"/>
      <c r="X460" s="450"/>
      <c r="Y460" s="448"/>
      <c r="Z460" s="455"/>
      <c r="AA460" s="455"/>
      <c r="AB460" s="455"/>
      <c r="AC460" s="455"/>
      <c r="AD460" s="452"/>
      <c r="AE460" s="484"/>
      <c r="AF460" s="484"/>
      <c r="AG460" s="452"/>
      <c r="AH460" s="550"/>
    </row>
    <row r="461" spans="1:34" s="439" customFormat="1" ht="15">
      <c r="A461" s="472"/>
      <c r="B461" s="447"/>
      <c r="C461" s="448"/>
      <c r="D461" s="448"/>
      <c r="E461" s="449"/>
      <c r="F461" s="450"/>
      <c r="G461" s="450"/>
      <c r="H461" s="450"/>
      <c r="I461" s="450"/>
      <c r="J461" s="448"/>
      <c r="K461" s="450"/>
      <c r="L461" s="450"/>
      <c r="M461" s="451"/>
      <c r="N461" s="450"/>
      <c r="O461" s="537"/>
      <c r="P461" s="450"/>
      <c r="Q461" s="537"/>
      <c r="R461" s="543"/>
      <c r="S461" s="540"/>
      <c r="T461" s="451"/>
      <c r="U461" s="451"/>
      <c r="V461" s="451"/>
      <c r="W461" s="540"/>
      <c r="X461" s="450"/>
      <c r="Y461" s="448"/>
      <c r="Z461" s="455"/>
      <c r="AA461" s="455"/>
      <c r="AB461" s="455"/>
      <c r="AC461" s="455"/>
      <c r="AD461" s="452"/>
      <c r="AE461" s="484"/>
      <c r="AF461" s="484"/>
      <c r="AG461" s="452"/>
      <c r="AH461" s="550"/>
    </row>
    <row r="462" spans="1:34" s="439" customFormat="1" ht="15">
      <c r="A462" s="472"/>
      <c r="B462" s="447"/>
      <c r="C462" s="448"/>
      <c r="D462" s="448"/>
      <c r="E462" s="449"/>
      <c r="F462" s="450"/>
      <c r="G462" s="450"/>
      <c r="H462" s="450"/>
      <c r="I462" s="450"/>
      <c r="J462" s="448"/>
      <c r="K462" s="450"/>
      <c r="L462" s="450"/>
      <c r="M462" s="451"/>
      <c r="N462" s="450"/>
      <c r="O462" s="537"/>
      <c r="P462" s="450"/>
      <c r="Q462" s="537"/>
      <c r="R462" s="543"/>
      <c r="S462" s="540"/>
      <c r="T462" s="451"/>
      <c r="U462" s="451"/>
      <c r="V462" s="451"/>
      <c r="W462" s="540"/>
      <c r="X462" s="450"/>
      <c r="Y462" s="448"/>
      <c r="Z462" s="455"/>
      <c r="AA462" s="455"/>
      <c r="AB462" s="455"/>
      <c r="AC462" s="455"/>
      <c r="AD462" s="452"/>
      <c r="AE462" s="484"/>
      <c r="AF462" s="484"/>
      <c r="AG462" s="452"/>
      <c r="AH462" s="550"/>
    </row>
    <row r="463" spans="1:34" s="439" customFormat="1" ht="15">
      <c r="A463" s="472"/>
      <c r="B463" s="447"/>
      <c r="C463" s="448"/>
      <c r="D463" s="448"/>
      <c r="E463" s="449"/>
      <c r="F463" s="450"/>
      <c r="G463" s="450"/>
      <c r="H463" s="450"/>
      <c r="I463" s="450"/>
      <c r="J463" s="448"/>
      <c r="K463" s="450"/>
      <c r="L463" s="450"/>
      <c r="M463" s="451"/>
      <c r="N463" s="450"/>
      <c r="O463" s="537"/>
      <c r="P463" s="450"/>
      <c r="Q463" s="537"/>
      <c r="R463" s="543"/>
      <c r="S463" s="540"/>
      <c r="T463" s="451"/>
      <c r="U463" s="451"/>
      <c r="V463" s="451"/>
      <c r="W463" s="540"/>
      <c r="X463" s="450"/>
      <c r="Y463" s="448"/>
      <c r="Z463" s="455"/>
      <c r="AA463" s="455"/>
      <c r="AB463" s="455"/>
      <c r="AC463" s="455"/>
      <c r="AD463" s="452"/>
      <c r="AE463" s="484"/>
      <c r="AF463" s="484"/>
      <c r="AG463" s="452"/>
      <c r="AH463" s="550"/>
    </row>
    <row r="464" spans="1:34" s="439" customFormat="1" ht="15">
      <c r="A464" s="472"/>
      <c r="B464" s="447"/>
      <c r="C464" s="448"/>
      <c r="D464" s="448"/>
      <c r="E464" s="449"/>
      <c r="F464" s="450"/>
      <c r="G464" s="450"/>
      <c r="H464" s="450"/>
      <c r="I464" s="450"/>
      <c r="J464" s="448"/>
      <c r="K464" s="450"/>
      <c r="L464" s="450"/>
      <c r="M464" s="451"/>
      <c r="N464" s="450"/>
      <c r="O464" s="537"/>
      <c r="P464" s="450"/>
      <c r="Q464" s="537"/>
      <c r="R464" s="543"/>
      <c r="S464" s="540"/>
      <c r="T464" s="451"/>
      <c r="U464" s="451"/>
      <c r="V464" s="451"/>
      <c r="W464" s="540"/>
      <c r="X464" s="450"/>
      <c r="Y464" s="448"/>
      <c r="Z464" s="455"/>
      <c r="AA464" s="455"/>
      <c r="AB464" s="455"/>
      <c r="AC464" s="455"/>
      <c r="AD464" s="452"/>
      <c r="AE464" s="484"/>
      <c r="AF464" s="484"/>
      <c r="AG464" s="453"/>
      <c r="AH464" s="550"/>
    </row>
    <row r="465" spans="1:36" s="439" customFormat="1" ht="15">
      <c r="A465" s="472"/>
      <c r="B465" s="447"/>
      <c r="C465" s="448"/>
      <c r="D465" s="448"/>
      <c r="E465" s="449"/>
      <c r="F465" s="450"/>
      <c r="G465" s="450"/>
      <c r="H465" s="450"/>
      <c r="I465" s="450"/>
      <c r="J465" s="448"/>
      <c r="K465" s="450"/>
      <c r="L465" s="450"/>
      <c r="M465" s="451"/>
      <c r="N465" s="450"/>
      <c r="O465" s="537"/>
      <c r="P465" s="450"/>
      <c r="Q465" s="537"/>
      <c r="R465" s="543"/>
      <c r="S465" s="540"/>
      <c r="T465" s="451"/>
      <c r="U465" s="451"/>
      <c r="V465" s="451"/>
      <c r="W465" s="540"/>
      <c r="X465" s="450"/>
      <c r="Y465" s="448"/>
      <c r="Z465" s="455"/>
      <c r="AA465" s="455"/>
      <c r="AB465" s="455"/>
      <c r="AC465" s="455"/>
      <c r="AD465" s="452"/>
      <c r="AE465" s="484"/>
      <c r="AF465" s="484"/>
      <c r="AG465" s="453"/>
      <c r="AH465" s="550"/>
    </row>
    <row r="466" spans="1:36" s="439" customFormat="1" ht="15">
      <c r="A466" s="472"/>
      <c r="B466" s="447"/>
      <c r="C466" s="448"/>
      <c r="D466" s="448"/>
      <c r="E466" s="449"/>
      <c r="F466" s="450"/>
      <c r="G466" s="450"/>
      <c r="H466" s="450"/>
      <c r="I466" s="450"/>
      <c r="J466" s="448"/>
      <c r="K466" s="450"/>
      <c r="L466" s="450"/>
      <c r="M466" s="451"/>
      <c r="N466" s="450"/>
      <c r="O466" s="537"/>
      <c r="P466" s="450"/>
      <c r="Q466" s="537"/>
      <c r="R466" s="543"/>
      <c r="S466" s="540"/>
      <c r="T466" s="451"/>
      <c r="U466" s="451"/>
      <c r="V466" s="451"/>
      <c r="W466" s="540"/>
      <c r="X466" s="450"/>
      <c r="Y466" s="448"/>
      <c r="Z466" s="455"/>
      <c r="AA466" s="455"/>
      <c r="AB466" s="455"/>
      <c r="AC466" s="455"/>
      <c r="AD466" s="452"/>
      <c r="AE466" s="484"/>
      <c r="AF466" s="484"/>
      <c r="AG466" s="453"/>
      <c r="AH466" s="550"/>
    </row>
    <row r="467" spans="1:36" s="439" customFormat="1" ht="15">
      <c r="A467" s="472"/>
      <c r="B467" s="447"/>
      <c r="C467" s="448"/>
      <c r="D467" s="448"/>
      <c r="E467" s="449"/>
      <c r="F467" s="450"/>
      <c r="G467" s="450"/>
      <c r="H467" s="450"/>
      <c r="I467" s="450"/>
      <c r="J467" s="448"/>
      <c r="K467" s="450"/>
      <c r="L467" s="450"/>
      <c r="M467" s="451"/>
      <c r="N467" s="450"/>
      <c r="O467" s="537"/>
      <c r="P467" s="450"/>
      <c r="Q467" s="537"/>
      <c r="R467" s="543"/>
      <c r="S467" s="540"/>
      <c r="T467" s="451"/>
      <c r="U467" s="451"/>
      <c r="V467" s="451"/>
      <c r="W467" s="540"/>
      <c r="X467" s="450"/>
      <c r="Y467" s="448"/>
      <c r="Z467" s="455"/>
      <c r="AA467" s="455"/>
      <c r="AB467" s="455"/>
      <c r="AC467" s="455"/>
      <c r="AD467" s="452"/>
      <c r="AE467" s="484"/>
      <c r="AF467" s="484"/>
      <c r="AG467" s="452"/>
      <c r="AH467" s="550"/>
    </row>
    <row r="468" spans="1:36" s="439" customFormat="1" ht="15">
      <c r="A468" s="472"/>
      <c r="B468" s="447"/>
      <c r="C468" s="448"/>
      <c r="D468" s="448"/>
      <c r="E468" s="449"/>
      <c r="F468" s="450"/>
      <c r="G468" s="450"/>
      <c r="H468" s="450"/>
      <c r="I468" s="450"/>
      <c r="J468" s="448"/>
      <c r="K468" s="450"/>
      <c r="L468" s="450"/>
      <c r="M468" s="451"/>
      <c r="N468" s="450"/>
      <c r="O468" s="537"/>
      <c r="P468" s="450"/>
      <c r="Q468" s="537"/>
      <c r="R468" s="543"/>
      <c r="S468" s="540"/>
      <c r="T468" s="451"/>
      <c r="U468" s="451"/>
      <c r="V468" s="451"/>
      <c r="W468" s="540"/>
      <c r="X468" s="450"/>
      <c r="Y468" s="448"/>
      <c r="Z468" s="455"/>
      <c r="AA468" s="455"/>
      <c r="AB468" s="455"/>
      <c r="AC468" s="455"/>
      <c r="AD468" s="452"/>
      <c r="AE468" s="484"/>
      <c r="AF468" s="484"/>
      <c r="AG468" s="452"/>
      <c r="AH468" s="550"/>
    </row>
    <row r="469" spans="1:36" s="439" customFormat="1" ht="15">
      <c r="A469" s="472"/>
      <c r="B469" s="447"/>
      <c r="C469" s="448"/>
      <c r="D469" s="448"/>
      <c r="E469" s="449"/>
      <c r="F469" s="450"/>
      <c r="G469" s="450"/>
      <c r="H469" s="450"/>
      <c r="I469" s="450"/>
      <c r="J469" s="448"/>
      <c r="K469" s="450"/>
      <c r="L469" s="450"/>
      <c r="M469" s="451"/>
      <c r="N469" s="450"/>
      <c r="O469" s="537"/>
      <c r="P469" s="450"/>
      <c r="Q469" s="537"/>
      <c r="R469" s="543"/>
      <c r="S469" s="540"/>
      <c r="T469" s="451"/>
      <c r="U469" s="451"/>
      <c r="V469" s="451"/>
      <c r="W469" s="540"/>
      <c r="X469" s="450"/>
      <c r="Y469" s="448"/>
      <c r="Z469" s="455"/>
      <c r="AA469" s="455"/>
      <c r="AB469" s="455"/>
      <c r="AC469" s="455"/>
      <c r="AD469" s="452"/>
      <c r="AE469" s="484"/>
      <c r="AF469" s="484"/>
      <c r="AG469" s="453"/>
      <c r="AH469" s="550"/>
    </row>
    <row r="470" spans="1:36" s="439" customFormat="1" ht="15">
      <c r="A470" s="472"/>
      <c r="B470" s="447"/>
      <c r="C470" s="448"/>
      <c r="D470" s="448"/>
      <c r="E470" s="449"/>
      <c r="F470" s="450"/>
      <c r="G470" s="450"/>
      <c r="H470" s="450"/>
      <c r="I470" s="450"/>
      <c r="J470" s="448"/>
      <c r="K470" s="450"/>
      <c r="L470" s="450"/>
      <c r="M470" s="451"/>
      <c r="N470" s="450"/>
      <c r="O470" s="537"/>
      <c r="P470" s="450"/>
      <c r="Q470" s="537"/>
      <c r="R470" s="543"/>
      <c r="S470" s="540"/>
      <c r="T470" s="451"/>
      <c r="U470" s="451"/>
      <c r="V470" s="451"/>
      <c r="W470" s="540"/>
      <c r="X470" s="450"/>
      <c r="Y470" s="448"/>
      <c r="Z470" s="455"/>
      <c r="AA470" s="455"/>
      <c r="AB470" s="455"/>
      <c r="AC470" s="455"/>
      <c r="AD470" s="452"/>
      <c r="AE470" s="484"/>
      <c r="AF470" s="484"/>
      <c r="AG470" s="452"/>
      <c r="AH470" s="550"/>
    </row>
    <row r="471" spans="1:36" s="439" customFormat="1" ht="15">
      <c r="A471" s="472"/>
      <c r="B471" s="447"/>
      <c r="C471" s="448"/>
      <c r="D471" s="448"/>
      <c r="E471" s="449"/>
      <c r="F471" s="450"/>
      <c r="G471" s="450"/>
      <c r="H471" s="450"/>
      <c r="I471" s="450"/>
      <c r="J471" s="448"/>
      <c r="K471" s="450"/>
      <c r="L471" s="450"/>
      <c r="M471" s="451"/>
      <c r="N471" s="450"/>
      <c r="O471" s="537"/>
      <c r="P471" s="450"/>
      <c r="Q471" s="537"/>
      <c r="R471" s="543"/>
      <c r="S471" s="540"/>
      <c r="T471" s="451"/>
      <c r="U471" s="451"/>
      <c r="V471" s="451"/>
      <c r="W471" s="540"/>
      <c r="X471" s="450"/>
      <c r="Y471" s="448"/>
      <c r="Z471" s="455"/>
      <c r="AA471" s="455"/>
      <c r="AB471" s="455"/>
      <c r="AC471" s="455"/>
      <c r="AD471" s="452"/>
      <c r="AE471" s="484"/>
      <c r="AF471" s="484"/>
      <c r="AG471" s="452"/>
      <c r="AH471" s="550"/>
    </row>
    <row r="472" spans="1:36" s="439" customFormat="1" ht="15">
      <c r="A472" s="472"/>
      <c r="B472" s="447"/>
      <c r="C472" s="448"/>
      <c r="D472" s="448"/>
      <c r="E472" s="449"/>
      <c r="F472" s="450"/>
      <c r="G472" s="450"/>
      <c r="H472" s="450"/>
      <c r="I472" s="450"/>
      <c r="J472" s="448"/>
      <c r="K472" s="450"/>
      <c r="L472" s="450"/>
      <c r="M472" s="451"/>
      <c r="N472" s="450"/>
      <c r="O472" s="537"/>
      <c r="P472" s="450"/>
      <c r="Q472" s="537"/>
      <c r="R472" s="543"/>
      <c r="S472" s="540"/>
      <c r="T472" s="451"/>
      <c r="U472" s="451"/>
      <c r="V472" s="451"/>
      <c r="W472" s="540"/>
      <c r="X472" s="450"/>
      <c r="Y472" s="448"/>
      <c r="Z472" s="455"/>
      <c r="AA472" s="455"/>
      <c r="AB472" s="455"/>
      <c r="AC472" s="455"/>
      <c r="AD472" s="452"/>
      <c r="AE472" s="484"/>
      <c r="AF472" s="484"/>
      <c r="AG472" s="452"/>
      <c r="AH472" s="550"/>
    </row>
    <row r="473" spans="1:36" ht="15">
      <c r="A473" s="472"/>
      <c r="B473" s="447"/>
      <c r="C473" s="448"/>
      <c r="D473" s="448"/>
      <c r="E473" s="449"/>
      <c r="F473" s="450"/>
      <c r="G473" s="450"/>
      <c r="H473" s="450"/>
      <c r="I473" s="450"/>
      <c r="J473" s="448"/>
      <c r="K473" s="450"/>
      <c r="L473" s="450"/>
      <c r="M473" s="451"/>
      <c r="N473" s="450"/>
      <c r="O473" s="537"/>
      <c r="P473" s="450"/>
      <c r="Q473" s="537"/>
      <c r="R473" s="543"/>
      <c r="S473" s="540"/>
      <c r="T473" s="451"/>
      <c r="U473" s="451"/>
      <c r="V473" s="451"/>
      <c r="W473" s="540"/>
      <c r="X473" s="450"/>
      <c r="Y473" s="448"/>
      <c r="Z473" s="455"/>
      <c r="AA473" s="455"/>
      <c r="AB473" s="455"/>
      <c r="AC473" s="455"/>
      <c r="AD473" s="452"/>
      <c r="AE473" s="484"/>
      <c r="AF473" s="484"/>
      <c r="AG473" s="452"/>
      <c r="AH473" s="550"/>
      <c r="AI473" s="439"/>
      <c r="AJ473" s="439"/>
    </row>
    <row r="474" spans="1:36" s="439" customFormat="1" ht="15">
      <c r="A474" s="472"/>
      <c r="B474" s="447"/>
      <c r="C474" s="448"/>
      <c r="D474" s="448"/>
      <c r="E474" s="449"/>
      <c r="F474" s="450"/>
      <c r="G474" s="450"/>
      <c r="H474" s="450"/>
      <c r="I474" s="450"/>
      <c r="J474" s="448"/>
      <c r="K474" s="450"/>
      <c r="L474" s="450"/>
      <c r="M474" s="451"/>
      <c r="N474" s="450"/>
      <c r="O474" s="537"/>
      <c r="P474" s="450"/>
      <c r="Q474" s="537"/>
      <c r="R474" s="543"/>
      <c r="S474" s="540"/>
      <c r="T474" s="451"/>
      <c r="U474" s="451"/>
      <c r="V474" s="451"/>
      <c r="W474" s="540"/>
      <c r="X474" s="450"/>
      <c r="Y474" s="448"/>
      <c r="Z474" s="455"/>
      <c r="AA474" s="455"/>
      <c r="AB474" s="455"/>
      <c r="AC474" s="455"/>
      <c r="AD474" s="452"/>
      <c r="AE474" s="484"/>
      <c r="AF474" s="484"/>
      <c r="AG474" s="453"/>
      <c r="AH474" s="550"/>
      <c r="AI474" s="430"/>
      <c r="AJ474" s="431"/>
    </row>
  </sheetData>
  <sheetProtection selectLockedCells="1"/>
  <autoFilter ref="A5:AJ290" xr:uid="{00000000-0009-0000-0000-000007000000}"/>
  <mergeCells count="27">
    <mergeCell ref="P4:Q4"/>
    <mergeCell ref="P3:Q3"/>
    <mergeCell ref="C4:D4"/>
    <mergeCell ref="E4:F4"/>
    <mergeCell ref="I4:J4"/>
    <mergeCell ref="K4:L4"/>
    <mergeCell ref="N4:O4"/>
    <mergeCell ref="G3:H3"/>
    <mergeCell ref="G4:H4"/>
    <mergeCell ref="C3:D3"/>
    <mergeCell ref="E3:F3"/>
    <mergeCell ref="I3:J3"/>
    <mergeCell ref="K3:L3"/>
    <mergeCell ref="N3:O3"/>
    <mergeCell ref="R4:S4"/>
    <mergeCell ref="T4:U4"/>
    <mergeCell ref="V4:W4"/>
    <mergeCell ref="X4:Y4"/>
    <mergeCell ref="R3:S3"/>
    <mergeCell ref="T3:U3"/>
    <mergeCell ref="V3:W3"/>
    <mergeCell ref="X3:Y3"/>
    <mergeCell ref="AE3:AF3"/>
    <mergeCell ref="AB3:AC3"/>
    <mergeCell ref="AB4:AC4"/>
    <mergeCell ref="Z3:AA3"/>
    <mergeCell ref="Z4:AA4"/>
  </mergeCells>
  <conditionalFormatting sqref="A418">
    <cfRule type="expression" dxfId="3" priority="3">
      <formula>AND(#REF!&lt;&gt;"",OR(#REF!&lt;0.95,#REF!&gt;1.05))</formula>
    </cfRule>
    <cfRule type="expression" dxfId="2" priority="4">
      <formula>OR(#REF!&lt;0.2,#REF!&gt;5)</formula>
    </cfRule>
  </conditionalFormatting>
  <conditionalFormatting sqref="AH359">
    <cfRule type="expression" dxfId="1" priority="1">
      <formula>AND(#REF!&lt;&gt;"",OR(#REF!&lt;0.95,#REF!&gt;1.05))</formula>
    </cfRule>
    <cfRule type="expression" dxfId="0" priority="2">
      <formula>OR(#REF!&lt;0.2,#REF!&gt;5)</formula>
    </cfRule>
  </conditionalFormatting>
  <printOptions horizontalCentered="1" gridLinesSet="0"/>
  <pageMargins left="0.5" right="0.5" top="0.65" bottom="0.65" header="0.5" footer="0.5"/>
  <pageSetup paperSize="256" scale="27" fitToHeight="0" orientation="landscape" r:id="rId1"/>
  <headerFooter alignWithMargins="0">
    <oddHeader>&amp;CVLOOKUP TABLES</oddHeader>
    <oddFooter>&amp;C&amp;P of &amp;N</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E7"/>
  <sheetViews>
    <sheetView topLeftCell="B1" workbookViewId="0">
      <selection activeCell="G5" sqref="G5"/>
    </sheetView>
  </sheetViews>
  <sheetFormatPr defaultRowHeight="12.75"/>
  <cols>
    <col min="1" max="1" width="30.5703125" bestFit="1" customWidth="1"/>
    <col min="2" max="2" width="10.42578125" bestFit="1" customWidth="1"/>
    <col min="3" max="3" width="10.28515625" customWidth="1"/>
    <col min="4" max="4" width="10.5703125" bestFit="1" customWidth="1"/>
    <col min="5" max="5" width="11.28515625" customWidth="1"/>
    <col min="6" max="6" width="11.140625" customWidth="1"/>
  </cols>
  <sheetData>
    <row r="1" spans="1:5" ht="25.5">
      <c r="A1" s="126" t="s">
        <v>336</v>
      </c>
      <c r="B1" s="127"/>
      <c r="C1" s="127" t="s">
        <v>224</v>
      </c>
      <c r="D1" s="127" t="s">
        <v>146</v>
      </c>
      <c r="E1" s="128" t="s">
        <v>2306</v>
      </c>
    </row>
    <row r="2" spans="1:5">
      <c r="A2" s="5" t="s">
        <v>143</v>
      </c>
      <c r="B2" s="8" t="s">
        <v>11</v>
      </c>
      <c r="C2" s="8" t="s">
        <v>228</v>
      </c>
      <c r="D2" s="642">
        <v>70</v>
      </c>
      <c r="E2" s="642">
        <v>70</v>
      </c>
    </row>
    <row r="3" spans="1:5">
      <c r="A3" s="7" t="s">
        <v>144</v>
      </c>
      <c r="B3" s="8" t="s">
        <v>11</v>
      </c>
      <c r="C3" s="8" t="s">
        <v>229</v>
      </c>
      <c r="D3" s="642">
        <v>26</v>
      </c>
      <c r="E3" s="642">
        <v>25</v>
      </c>
    </row>
    <row r="4" spans="1:5">
      <c r="A4" s="5" t="s">
        <v>145</v>
      </c>
      <c r="B4" s="6" t="s">
        <v>11</v>
      </c>
      <c r="C4" s="6" t="s">
        <v>9</v>
      </c>
      <c r="D4" s="642">
        <v>26</v>
      </c>
      <c r="E4" s="642">
        <v>25</v>
      </c>
    </row>
    <row r="5" spans="1:5">
      <c r="A5" s="5" t="s">
        <v>147</v>
      </c>
      <c r="B5" s="6" t="s">
        <v>12</v>
      </c>
      <c r="C5" s="6" t="s">
        <v>10</v>
      </c>
      <c r="D5" s="642">
        <v>350</v>
      </c>
      <c r="E5" s="642">
        <v>250</v>
      </c>
    </row>
    <row r="6" spans="1:5">
      <c r="A6" s="5" t="s">
        <v>225</v>
      </c>
      <c r="B6" s="6" t="s">
        <v>226</v>
      </c>
      <c r="C6" s="6" t="s">
        <v>227</v>
      </c>
      <c r="D6" s="642">
        <v>24</v>
      </c>
      <c r="E6" s="642">
        <v>8</v>
      </c>
    </row>
    <row r="7" spans="1:5">
      <c r="A7" s="5" t="s">
        <v>1786</v>
      </c>
      <c r="B7" s="6" t="s">
        <v>11</v>
      </c>
      <c r="C7" s="6" t="s">
        <v>1784</v>
      </c>
      <c r="D7" s="642">
        <v>72</v>
      </c>
    </row>
  </sheetData>
  <sheetProtection algorithmName="SHA-512" hashValue="6pgTDX98l1yU+d+kui6itWDo0ddtGG8oENi+nOXfe55F2IJBFffD6BUy7Ptpzfj0ao2Hn2mTXlZlWVYg0544uQ==" saltValue="x7KFHA25WPGkT4XWVuoBvA==" spinCount="100000" sheet="1" objects="1" scenarios="1" selectLockedCells="1"/>
  <phoneticPr fontId="0" type="noConversion"/>
  <pageMargins left="0.75" right="0.75" top="1" bottom="1" header="0.5" footer="0.5"/>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6">
    <pageSetUpPr fitToPage="1"/>
  </sheetPr>
  <dimension ref="A1:O27"/>
  <sheetViews>
    <sheetView zoomScaleNormal="100" workbookViewId="0">
      <selection activeCell="C21" sqref="C21:O21"/>
    </sheetView>
  </sheetViews>
  <sheetFormatPr defaultRowHeight="12.75"/>
  <cols>
    <col min="1" max="1" width="16.28515625" bestFit="1" customWidth="1"/>
    <col min="2" max="2" width="12.28515625" style="1" customWidth="1"/>
    <col min="3" max="3" width="12.42578125" style="3" customWidth="1"/>
    <col min="4" max="4" width="13.5703125" style="3" customWidth="1"/>
    <col min="5" max="5" width="11.140625" style="3" customWidth="1"/>
    <col min="6" max="6" width="9.5703125" style="3" customWidth="1"/>
    <col min="7" max="7" width="11.7109375" style="3" customWidth="1"/>
    <col min="8" max="8" width="10.7109375" style="3" customWidth="1"/>
    <col min="9" max="9" width="8.5703125" style="3" bestFit="1" customWidth="1"/>
    <col min="10" max="10" width="10.42578125" style="3" bestFit="1" customWidth="1"/>
    <col min="11" max="11" width="10.5703125" style="3" bestFit="1" customWidth="1"/>
    <col min="12" max="12" width="11.42578125" style="3" bestFit="1" customWidth="1"/>
    <col min="13" max="13" width="10.42578125" style="3" customWidth="1"/>
    <col min="14" max="14" width="10.7109375" customWidth="1"/>
    <col min="15" max="15" width="16.42578125" customWidth="1"/>
  </cols>
  <sheetData>
    <row r="1" spans="1:15">
      <c r="A1" s="228">
        <v>1</v>
      </c>
      <c r="B1" s="189">
        <v>2</v>
      </c>
      <c r="C1" s="188">
        <v>3</v>
      </c>
      <c r="D1" s="189">
        <v>4</v>
      </c>
      <c r="E1" s="188">
        <v>5</v>
      </c>
      <c r="F1" s="189">
        <v>6</v>
      </c>
      <c r="G1" s="188">
        <v>7</v>
      </c>
      <c r="H1" s="189">
        <v>8</v>
      </c>
      <c r="I1" s="188">
        <v>9</v>
      </c>
      <c r="J1" s="189">
        <v>10</v>
      </c>
      <c r="K1" s="188">
        <v>11</v>
      </c>
      <c r="L1" s="189">
        <v>12</v>
      </c>
      <c r="M1" s="188">
        <v>13</v>
      </c>
      <c r="N1" s="229">
        <v>14</v>
      </c>
      <c r="O1" s="230">
        <v>15</v>
      </c>
    </row>
    <row r="2" spans="1:15" ht="51">
      <c r="A2" s="182"/>
      <c r="B2" s="227"/>
      <c r="C2" s="181" t="s">
        <v>238</v>
      </c>
      <c r="D2" s="181" t="s">
        <v>237</v>
      </c>
      <c r="E2" s="181" t="s">
        <v>19</v>
      </c>
      <c r="F2" s="16"/>
      <c r="G2" s="181" t="s">
        <v>239</v>
      </c>
      <c r="H2" s="181" t="s">
        <v>243</v>
      </c>
      <c r="I2" s="16"/>
      <c r="J2" s="16"/>
      <c r="K2" s="16"/>
      <c r="L2" s="16"/>
      <c r="M2" s="181" t="s">
        <v>20</v>
      </c>
      <c r="N2" s="181" t="s">
        <v>1671</v>
      </c>
      <c r="O2" s="231"/>
    </row>
    <row r="3" spans="1:15" ht="14.25">
      <c r="A3" s="109"/>
      <c r="B3" s="110"/>
      <c r="C3" s="16" t="s">
        <v>179</v>
      </c>
      <c r="D3" s="17" t="s">
        <v>235</v>
      </c>
      <c r="E3" s="17" t="s">
        <v>236</v>
      </c>
      <c r="F3" s="16" t="s">
        <v>240</v>
      </c>
      <c r="G3" s="16" t="s">
        <v>242</v>
      </c>
      <c r="H3" s="16" t="s">
        <v>244</v>
      </c>
      <c r="I3" s="18" t="s">
        <v>322</v>
      </c>
      <c r="J3" s="19" t="s">
        <v>246</v>
      </c>
      <c r="K3" s="17" t="s">
        <v>247</v>
      </c>
      <c r="L3" s="20" t="s">
        <v>323</v>
      </c>
      <c r="M3" s="172"/>
      <c r="N3" s="223" t="s">
        <v>337</v>
      </c>
      <c r="O3" s="232"/>
    </row>
    <row r="4" spans="1:15" ht="15.75">
      <c r="A4" s="111" t="s">
        <v>21</v>
      </c>
      <c r="B4" s="112" t="s">
        <v>131</v>
      </c>
      <c r="C4" s="113" t="s">
        <v>324</v>
      </c>
      <c r="D4" s="114" t="s">
        <v>324</v>
      </c>
      <c r="E4" s="114" t="s">
        <v>325</v>
      </c>
      <c r="F4" s="114" t="s">
        <v>241</v>
      </c>
      <c r="G4" s="114" t="s">
        <v>324</v>
      </c>
      <c r="H4" s="114" t="s">
        <v>2</v>
      </c>
      <c r="I4" s="115" t="s">
        <v>245</v>
      </c>
      <c r="J4" s="113" t="s">
        <v>128</v>
      </c>
      <c r="K4" s="114" t="s">
        <v>128</v>
      </c>
      <c r="L4" s="113" t="s">
        <v>324</v>
      </c>
      <c r="M4" s="115" t="s">
        <v>2</v>
      </c>
      <c r="N4" s="114" t="s">
        <v>324</v>
      </c>
      <c r="O4" s="233" t="s">
        <v>1686</v>
      </c>
    </row>
    <row r="5" spans="1:15">
      <c r="A5" s="12" t="s">
        <v>208</v>
      </c>
      <c r="B5" s="226"/>
      <c r="C5" s="118"/>
      <c r="D5" s="117"/>
      <c r="E5" s="117"/>
      <c r="F5" s="117"/>
      <c r="G5" s="117"/>
      <c r="H5" s="117"/>
      <c r="I5" s="185"/>
      <c r="J5" s="118"/>
      <c r="K5" s="117"/>
      <c r="L5" s="186"/>
      <c r="M5" s="116"/>
      <c r="N5" s="179"/>
      <c r="O5" s="234" t="s">
        <v>1674</v>
      </c>
    </row>
    <row r="6" spans="1:15">
      <c r="A6" s="12" t="s">
        <v>22</v>
      </c>
      <c r="B6" s="13" t="s">
        <v>3</v>
      </c>
      <c r="C6" s="116">
        <v>0.45900000000000002</v>
      </c>
      <c r="D6" s="117">
        <v>0.215</v>
      </c>
      <c r="E6" s="118">
        <v>1.43</v>
      </c>
      <c r="F6" s="118">
        <v>0.61</v>
      </c>
      <c r="G6" s="116">
        <f>L6+(C6-L6)/(2^K6)</f>
        <v>0.41185514021910663</v>
      </c>
      <c r="H6" s="118">
        <f>0.15/(M6*0.2)</f>
        <v>81.521739130434781</v>
      </c>
      <c r="I6" s="119">
        <v>1.4959999999999999E-2</v>
      </c>
      <c r="J6" s="116">
        <v>1.2529999999999999</v>
      </c>
      <c r="K6" s="120">
        <v>0.2019</v>
      </c>
      <c r="L6" s="116">
        <v>9.8000000000000004E-2</v>
      </c>
      <c r="M6" s="120">
        <v>9.1999999999999998E-3</v>
      </c>
      <c r="N6" s="224" t="s">
        <v>1658</v>
      </c>
      <c r="O6" s="234" t="s">
        <v>1673</v>
      </c>
    </row>
    <row r="7" spans="1:15">
      <c r="A7" s="12" t="s">
        <v>24</v>
      </c>
      <c r="B7" s="13" t="s">
        <v>23</v>
      </c>
      <c r="C7" s="116">
        <v>0.442</v>
      </c>
      <c r="D7" s="117">
        <v>0.16800000000000001</v>
      </c>
      <c r="E7" s="118">
        <v>1.48</v>
      </c>
      <c r="F7" s="118">
        <v>0.34</v>
      </c>
      <c r="G7" s="116">
        <f t="shared" ref="G7:G17" si="0">L7+(C7-L7)/(2^K7)</f>
        <v>0.37511745783298384</v>
      </c>
      <c r="H7" s="118">
        <f t="shared" ref="H7:H17" si="1">0.15/(M7*0.2)</f>
        <v>46.874999999999993</v>
      </c>
      <c r="I7" s="119">
        <v>1.5810000000000001E-2</v>
      </c>
      <c r="J7" s="116">
        <v>1.4159999999999999</v>
      </c>
      <c r="K7" s="120">
        <v>0.29380000000000001</v>
      </c>
      <c r="L7" s="116">
        <v>7.9000000000000001E-2</v>
      </c>
      <c r="M7" s="116">
        <v>1.6E-2</v>
      </c>
      <c r="N7" s="225" t="s">
        <v>1659</v>
      </c>
      <c r="O7" s="234" t="s">
        <v>1675</v>
      </c>
    </row>
    <row r="8" spans="1:15">
      <c r="A8" s="12" t="s">
        <v>26</v>
      </c>
      <c r="B8" s="13" t="s">
        <v>25</v>
      </c>
      <c r="C8" s="116">
        <v>0.39900000000000002</v>
      </c>
      <c r="D8" s="117">
        <v>0.14799999999999999</v>
      </c>
      <c r="E8" s="118">
        <v>1.59</v>
      </c>
      <c r="F8" s="118">
        <v>0.5</v>
      </c>
      <c r="G8" s="116">
        <f t="shared" si="0"/>
        <v>0.33163027613496815</v>
      </c>
      <c r="H8" s="118">
        <f t="shared" si="1"/>
        <v>37.5</v>
      </c>
      <c r="I8" s="119">
        <v>1.112E-2</v>
      </c>
      <c r="J8" s="116">
        <v>1.472</v>
      </c>
      <c r="K8" s="120">
        <v>0.32069999999999999</v>
      </c>
      <c r="L8" s="116">
        <v>6.0999999999999999E-2</v>
      </c>
      <c r="M8" s="116">
        <v>0.02</v>
      </c>
      <c r="N8" s="225" t="s">
        <v>1660</v>
      </c>
      <c r="O8" s="234" t="s">
        <v>1676</v>
      </c>
    </row>
    <row r="9" spans="1:15">
      <c r="A9" s="12" t="s">
        <v>28</v>
      </c>
      <c r="B9" s="13" t="s">
        <v>27</v>
      </c>
      <c r="C9" s="116">
        <v>0.39</v>
      </c>
      <c r="D9" s="117">
        <v>7.5999999999999998E-2</v>
      </c>
      <c r="E9" s="118">
        <v>1.62</v>
      </c>
      <c r="F9" s="118">
        <v>4.38</v>
      </c>
      <c r="G9" s="116">
        <f t="shared" si="0"/>
        <v>0.30258540940861994</v>
      </c>
      <c r="H9" s="118">
        <f t="shared" si="1"/>
        <v>18.75</v>
      </c>
      <c r="I9" s="119">
        <v>3.4750000000000003E-2</v>
      </c>
      <c r="J9" s="116">
        <v>1.746</v>
      </c>
      <c r="K9" s="120">
        <v>0.42730000000000001</v>
      </c>
      <c r="L9" s="116">
        <v>4.9000000000000002E-2</v>
      </c>
      <c r="M9" s="116">
        <v>0.04</v>
      </c>
      <c r="N9" s="225" t="s">
        <v>1661</v>
      </c>
      <c r="O9" s="234" t="s">
        <v>1677</v>
      </c>
    </row>
    <row r="10" spans="1:15">
      <c r="A10" s="12" t="s">
        <v>29</v>
      </c>
      <c r="B10" s="13" t="s">
        <v>14</v>
      </c>
      <c r="C10" s="116">
        <v>0.375</v>
      </c>
      <c r="D10" s="117">
        <v>5.3999999999999999E-2</v>
      </c>
      <c r="E10" s="118">
        <v>1.66</v>
      </c>
      <c r="F10" s="118">
        <v>26.78</v>
      </c>
      <c r="G10" s="116">
        <f t="shared" si="0"/>
        <v>0.25325811258744746</v>
      </c>
      <c r="H10" s="118">
        <f t="shared" si="1"/>
        <v>17.045454545454543</v>
      </c>
      <c r="I10" s="119">
        <v>3.524E-2</v>
      </c>
      <c r="J10" s="116">
        <v>3.177</v>
      </c>
      <c r="K10" s="120">
        <v>0.68520000000000003</v>
      </c>
      <c r="L10" s="116">
        <v>5.2999999999999999E-2</v>
      </c>
      <c r="M10" s="116">
        <v>4.3999999999999997E-2</v>
      </c>
      <c r="N10" s="225" t="s">
        <v>1666</v>
      </c>
      <c r="O10" s="234" t="s">
        <v>1678</v>
      </c>
    </row>
    <row r="11" spans="1:15">
      <c r="A11" s="12" t="s">
        <v>30</v>
      </c>
      <c r="B11" s="13" t="s">
        <v>4</v>
      </c>
      <c r="C11" s="116">
        <v>0.38500000000000001</v>
      </c>
      <c r="D11" s="117">
        <v>0.19700000000000001</v>
      </c>
      <c r="E11" s="118">
        <v>1.63</v>
      </c>
      <c r="F11" s="118">
        <v>0.47</v>
      </c>
      <c r="G11" s="116">
        <f t="shared" si="0"/>
        <v>0.35484686352606337</v>
      </c>
      <c r="H11" s="118">
        <f t="shared" si="1"/>
        <v>29.999999999999993</v>
      </c>
      <c r="I11" s="119">
        <v>3.3419999999999998E-2</v>
      </c>
      <c r="J11" s="116">
        <v>1.208</v>
      </c>
      <c r="K11" s="120">
        <v>0.17219999999999999</v>
      </c>
      <c r="L11" s="116">
        <v>0.11700000000000001</v>
      </c>
      <c r="M11" s="116">
        <v>2.5000000000000001E-2</v>
      </c>
      <c r="N11" s="225" t="s">
        <v>1667</v>
      </c>
      <c r="O11" s="234" t="s">
        <v>1679</v>
      </c>
    </row>
    <row r="12" spans="1:15">
      <c r="A12" s="12" t="s">
        <v>32</v>
      </c>
      <c r="B12" s="13" t="s">
        <v>31</v>
      </c>
      <c r="C12" s="116">
        <v>0.38400000000000001</v>
      </c>
      <c r="D12" s="117">
        <v>0.14599999999999999</v>
      </c>
      <c r="E12" s="118">
        <v>1.63</v>
      </c>
      <c r="F12" s="118">
        <v>0.55000000000000004</v>
      </c>
      <c r="G12" s="116">
        <f t="shared" si="0"/>
        <v>0.33328347283627918</v>
      </c>
      <c r="H12" s="118">
        <f t="shared" si="1"/>
        <v>25.862068965517238</v>
      </c>
      <c r="I12" s="119">
        <v>2.1090000000000001E-2</v>
      </c>
      <c r="J12" s="116">
        <v>1.33</v>
      </c>
      <c r="K12" s="120">
        <v>0.24809999999999999</v>
      </c>
      <c r="L12" s="116">
        <v>6.3E-2</v>
      </c>
      <c r="M12" s="116">
        <v>2.9000000000000001E-2</v>
      </c>
      <c r="N12" s="225" t="s">
        <v>1668</v>
      </c>
      <c r="O12" s="234" t="s">
        <v>1680</v>
      </c>
    </row>
    <row r="13" spans="1:15">
      <c r="A13" s="12" t="s">
        <v>42</v>
      </c>
      <c r="B13" s="13" t="s">
        <v>41</v>
      </c>
      <c r="C13" s="116">
        <v>0.38700000000000001</v>
      </c>
      <c r="D13" s="117">
        <v>0.10299999999999999</v>
      </c>
      <c r="E13" s="118">
        <v>1.62</v>
      </c>
      <c r="F13" s="118">
        <v>1.6</v>
      </c>
      <c r="G13" s="116">
        <f t="shared" si="0"/>
        <v>0.31973079031050577</v>
      </c>
      <c r="H13" s="118">
        <f t="shared" si="1"/>
        <v>25</v>
      </c>
      <c r="I13" s="119">
        <v>2.6669999999999999E-2</v>
      </c>
      <c r="J13" s="116">
        <v>1.4490000000000001</v>
      </c>
      <c r="K13" s="120">
        <v>0.30990000000000001</v>
      </c>
      <c r="L13" s="116">
        <v>3.9E-2</v>
      </c>
      <c r="M13" s="116">
        <v>0.03</v>
      </c>
      <c r="N13" s="224" t="s">
        <v>1669</v>
      </c>
      <c r="O13" s="234" t="s">
        <v>1681</v>
      </c>
    </row>
    <row r="14" spans="1:15">
      <c r="A14" s="12" t="s">
        <v>34</v>
      </c>
      <c r="B14" s="13" t="s">
        <v>33</v>
      </c>
      <c r="C14" s="116">
        <v>0.48899999999999999</v>
      </c>
      <c r="D14" s="117">
        <v>0.16700000000000001</v>
      </c>
      <c r="E14" s="118">
        <v>1.35</v>
      </c>
      <c r="F14" s="118">
        <v>1.82</v>
      </c>
      <c r="G14" s="116">
        <f t="shared" si="0"/>
        <v>0.38168664844936456</v>
      </c>
      <c r="H14" s="118">
        <f t="shared" si="1"/>
        <v>163.04347826086956</v>
      </c>
      <c r="I14" s="119">
        <v>6.5799999999999999E-3</v>
      </c>
      <c r="J14" s="116">
        <v>1.679</v>
      </c>
      <c r="K14" s="120">
        <v>0.40439999999999998</v>
      </c>
      <c r="L14" s="116">
        <v>0.05</v>
      </c>
      <c r="M14" s="120">
        <v>4.5999999999999999E-3</v>
      </c>
      <c r="N14" s="224" t="s">
        <v>1662</v>
      </c>
      <c r="O14" s="234" t="s">
        <v>1682</v>
      </c>
    </row>
    <row r="15" spans="1:15">
      <c r="A15" s="12" t="s">
        <v>40</v>
      </c>
      <c r="B15" s="13" t="s">
        <v>39</v>
      </c>
      <c r="C15" s="116">
        <v>0.439</v>
      </c>
      <c r="D15" s="117">
        <v>0.18</v>
      </c>
      <c r="E15" s="118">
        <v>1.49</v>
      </c>
      <c r="F15" s="118">
        <v>0.76</v>
      </c>
      <c r="G15" s="116">
        <f t="shared" si="0"/>
        <v>0.34869451746833802</v>
      </c>
      <c r="H15" s="118">
        <f t="shared" si="1"/>
        <v>68.181818181818173</v>
      </c>
      <c r="I15" s="119">
        <v>5.0600000000000003E-3</v>
      </c>
      <c r="J15" s="116">
        <v>1.663</v>
      </c>
      <c r="K15" s="120">
        <v>0.3987</v>
      </c>
      <c r="L15" s="116">
        <v>6.5000000000000002E-2</v>
      </c>
      <c r="M15" s="116">
        <v>1.0999999999999999E-2</v>
      </c>
      <c r="N15" s="224" t="s">
        <v>1663</v>
      </c>
      <c r="O15" s="234" t="s">
        <v>1683</v>
      </c>
    </row>
    <row r="16" spans="1:15">
      <c r="A16" s="12" t="s">
        <v>36</v>
      </c>
      <c r="B16" s="13" t="s">
        <v>35</v>
      </c>
      <c r="C16" s="116">
        <v>0.48099999999999998</v>
      </c>
      <c r="D16" s="117">
        <v>0.216</v>
      </c>
      <c r="E16" s="118">
        <v>1.38</v>
      </c>
      <c r="F16" s="118">
        <v>0.4</v>
      </c>
      <c r="G16" s="116">
        <f t="shared" si="0"/>
        <v>0.42364496223262998</v>
      </c>
      <c r="H16" s="118">
        <f t="shared" si="1"/>
        <v>192.30769230769229</v>
      </c>
      <c r="I16" s="119">
        <v>1.6219999999999998E-2</v>
      </c>
      <c r="J16" s="116">
        <v>1.321</v>
      </c>
      <c r="K16" s="120">
        <v>0.24299999999999999</v>
      </c>
      <c r="L16" s="116">
        <v>0.111</v>
      </c>
      <c r="M16" s="120">
        <v>3.8999999999999998E-3</v>
      </c>
      <c r="N16" s="223" t="s">
        <v>1664</v>
      </c>
      <c r="O16" s="234" t="s">
        <v>1684</v>
      </c>
    </row>
    <row r="17" spans="1:15">
      <c r="A17" s="14" t="s">
        <v>38</v>
      </c>
      <c r="B17" s="15" t="s">
        <v>37</v>
      </c>
      <c r="C17" s="121">
        <v>0.48199999999999998</v>
      </c>
      <c r="D17" s="122">
        <v>0.19800000000000001</v>
      </c>
      <c r="E17" s="123">
        <v>1.37</v>
      </c>
      <c r="F17" s="123">
        <v>0.46</v>
      </c>
      <c r="G17" s="121">
        <f t="shared" si="0"/>
        <v>0.39915999635500699</v>
      </c>
      <c r="H17" s="123">
        <f t="shared" si="1"/>
        <v>133.92857142857142</v>
      </c>
      <c r="I17" s="124">
        <v>8.3899999999999999E-3</v>
      </c>
      <c r="J17" s="121">
        <v>1.5209999999999999</v>
      </c>
      <c r="K17" s="125">
        <v>0.34250000000000003</v>
      </c>
      <c r="L17" s="121">
        <v>0.09</v>
      </c>
      <c r="M17" s="125">
        <v>5.5999999999999999E-3</v>
      </c>
      <c r="N17" s="235" t="s">
        <v>1665</v>
      </c>
      <c r="O17" s="236" t="s">
        <v>1685</v>
      </c>
    </row>
    <row r="20" spans="1:15">
      <c r="B20" s="343" t="s">
        <v>1719</v>
      </c>
    </row>
    <row r="21" spans="1:15" ht="32.25" customHeight="1">
      <c r="B21" s="345" t="s">
        <v>322</v>
      </c>
      <c r="C21" s="968" t="s">
        <v>1761</v>
      </c>
      <c r="D21" s="968"/>
      <c r="E21" s="968"/>
      <c r="F21" s="968"/>
      <c r="G21" s="968"/>
      <c r="H21" s="968"/>
      <c r="I21" s="968"/>
      <c r="J21" s="968"/>
      <c r="K21" s="968"/>
      <c r="L21" s="968"/>
      <c r="M21" s="968"/>
      <c r="N21" s="968"/>
      <c r="O21" s="968"/>
    </row>
    <row r="22" spans="1:15" ht="15">
      <c r="B22" s="342" t="s">
        <v>246</v>
      </c>
      <c r="C22" s="344" t="s">
        <v>1752</v>
      </c>
    </row>
    <row r="23" spans="1:15" ht="15">
      <c r="B23" s="342" t="s">
        <v>247</v>
      </c>
      <c r="C23" s="344" t="s">
        <v>1753</v>
      </c>
    </row>
    <row r="24" spans="1:15" ht="14.25">
      <c r="B24" s="20" t="s">
        <v>323</v>
      </c>
      <c r="C24" s="344" t="s">
        <v>1756</v>
      </c>
    </row>
    <row r="25" spans="1:15" ht="18">
      <c r="B25" s="342" t="s">
        <v>1757</v>
      </c>
      <c r="C25" s="344" t="s">
        <v>1754</v>
      </c>
    </row>
    <row r="26" spans="1:15" ht="15">
      <c r="B26" s="341"/>
      <c r="C26"/>
    </row>
    <row r="27" spans="1:15" ht="15">
      <c r="B27" s="341" t="s">
        <v>1755</v>
      </c>
      <c r="C27"/>
    </row>
  </sheetData>
  <sheetProtection selectLockedCells="1"/>
  <mergeCells count="1">
    <mergeCell ref="C21:O21"/>
  </mergeCells>
  <phoneticPr fontId="0" type="noConversion"/>
  <pageMargins left="0.75" right="0.75" top="1" bottom="1" header="0.5" footer="0.5"/>
  <pageSetup scale="70" orientation="landscape"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
    <pageSetUpPr fitToPage="1"/>
  </sheetPr>
  <dimension ref="A1:O23"/>
  <sheetViews>
    <sheetView topLeftCell="A3" workbookViewId="0">
      <selection activeCell="B8" sqref="A1:XFD1048576"/>
    </sheetView>
  </sheetViews>
  <sheetFormatPr defaultRowHeight="12.75"/>
  <cols>
    <col min="1" max="1" width="16.28515625" bestFit="1" customWidth="1"/>
    <col min="2" max="2" width="12.28515625" style="1" customWidth="1"/>
    <col min="3" max="3" width="12.42578125" style="3" customWidth="1"/>
    <col min="4" max="4" width="13.5703125" style="3" customWidth="1"/>
    <col min="5" max="5" width="11.140625" style="3" customWidth="1"/>
    <col min="6" max="6" width="9.5703125" style="3" customWidth="1"/>
    <col min="7" max="7" width="11.7109375" style="3" customWidth="1"/>
    <col min="8" max="8" width="10.7109375" style="3" customWidth="1"/>
    <col min="9" max="9" width="8.5703125" style="3" bestFit="1" customWidth="1"/>
    <col min="10" max="10" width="10.42578125" style="3" bestFit="1" customWidth="1"/>
    <col min="11" max="11" width="10.5703125" style="3" bestFit="1" customWidth="1"/>
    <col min="12" max="12" width="11.42578125" style="3" bestFit="1" customWidth="1"/>
    <col min="13" max="13" width="10.42578125" style="3" customWidth="1"/>
    <col min="14" max="14" width="16.85546875" customWidth="1"/>
  </cols>
  <sheetData>
    <row r="1" spans="1:15">
      <c r="A1" s="183">
        <v>1</v>
      </c>
      <c r="B1" s="187">
        <v>2</v>
      </c>
      <c r="C1" s="188">
        <v>3</v>
      </c>
      <c r="D1" s="189">
        <v>4</v>
      </c>
      <c r="E1" s="188">
        <v>5</v>
      </c>
      <c r="F1" s="189">
        <v>6</v>
      </c>
      <c r="G1" s="188">
        <v>7</v>
      </c>
      <c r="H1" s="189">
        <v>8</v>
      </c>
      <c r="I1" s="188">
        <v>9</v>
      </c>
      <c r="J1" s="189">
        <v>10</v>
      </c>
      <c r="K1" s="188">
        <v>11</v>
      </c>
      <c r="L1" s="189">
        <v>12</v>
      </c>
      <c r="M1" s="188">
        <v>13</v>
      </c>
      <c r="N1" s="201">
        <v>14</v>
      </c>
    </row>
    <row r="2" spans="1:15" ht="51">
      <c r="A2" s="182"/>
      <c r="B2" s="190"/>
      <c r="C2" s="181" t="s">
        <v>238</v>
      </c>
      <c r="D2" s="181" t="s">
        <v>237</v>
      </c>
      <c r="E2" s="181" t="s">
        <v>19</v>
      </c>
      <c r="F2" s="16"/>
      <c r="G2" s="181" t="s">
        <v>239</v>
      </c>
      <c r="H2" s="181" t="s">
        <v>243</v>
      </c>
      <c r="I2" s="16"/>
      <c r="J2" s="16"/>
      <c r="K2" s="16"/>
      <c r="L2" s="16"/>
      <c r="M2" s="181" t="s">
        <v>20</v>
      </c>
      <c r="N2" s="202"/>
    </row>
    <row r="3" spans="1:15" ht="14.25">
      <c r="A3" s="109"/>
      <c r="B3" s="109"/>
      <c r="C3" s="16" t="s">
        <v>179</v>
      </c>
      <c r="D3" s="17" t="s">
        <v>235</v>
      </c>
      <c r="E3" s="17" t="s">
        <v>236</v>
      </c>
      <c r="F3" s="16" t="s">
        <v>240</v>
      </c>
      <c r="G3" s="16" t="s">
        <v>242</v>
      </c>
      <c r="H3" s="16" t="s">
        <v>244</v>
      </c>
      <c r="I3" s="18" t="s">
        <v>322</v>
      </c>
      <c r="J3" s="19" t="s">
        <v>246</v>
      </c>
      <c r="K3" s="17" t="s">
        <v>247</v>
      </c>
      <c r="L3" s="20" t="s">
        <v>323</v>
      </c>
      <c r="M3" s="172"/>
      <c r="N3" s="202"/>
    </row>
    <row r="4" spans="1:15" ht="15.75">
      <c r="A4" s="111" t="s">
        <v>21</v>
      </c>
      <c r="B4" s="191" t="s">
        <v>131</v>
      </c>
      <c r="C4" s="113" t="s">
        <v>324</v>
      </c>
      <c r="D4" s="114" t="s">
        <v>324</v>
      </c>
      <c r="E4" s="114" t="s">
        <v>325</v>
      </c>
      <c r="F4" s="114" t="s">
        <v>241</v>
      </c>
      <c r="G4" s="114" t="s">
        <v>324</v>
      </c>
      <c r="H4" s="114" t="s">
        <v>2</v>
      </c>
      <c r="I4" s="115" t="s">
        <v>245</v>
      </c>
      <c r="J4" s="113" t="s">
        <v>128</v>
      </c>
      <c r="K4" s="114" t="s">
        <v>128</v>
      </c>
      <c r="L4" s="113" t="s">
        <v>324</v>
      </c>
      <c r="M4" s="115" t="s">
        <v>2</v>
      </c>
      <c r="N4" s="203" t="s">
        <v>1686</v>
      </c>
    </row>
    <row r="5" spans="1:15">
      <c r="A5" s="12" t="s">
        <v>208</v>
      </c>
      <c r="B5" s="192"/>
      <c r="C5" s="118"/>
      <c r="D5" s="117"/>
      <c r="E5" s="117"/>
      <c r="F5" s="117"/>
      <c r="G5" s="117"/>
      <c r="H5" s="117"/>
      <c r="I5" s="185"/>
      <c r="J5" s="118"/>
      <c r="K5" s="117"/>
      <c r="L5" s="186"/>
      <c r="M5" s="116"/>
      <c r="N5" s="204" t="s">
        <v>1674</v>
      </c>
      <c r="O5" s="140"/>
    </row>
    <row r="6" spans="1:15" ht="15">
      <c r="A6" s="12" t="s">
        <v>22</v>
      </c>
      <c r="B6" s="193" t="s">
        <v>3</v>
      </c>
      <c r="C6" s="2">
        <v>0.2</v>
      </c>
      <c r="D6" s="2">
        <v>0.25</v>
      </c>
      <c r="E6" s="2">
        <v>0.05</v>
      </c>
      <c r="F6" s="179"/>
      <c r="G6" s="194">
        <v>0.23684210526315788</v>
      </c>
      <c r="H6" s="179"/>
      <c r="I6" s="194">
        <v>1.4999999999999998</v>
      </c>
      <c r="J6" s="194">
        <v>8.2568807339449532E-2</v>
      </c>
      <c r="K6" s="179"/>
      <c r="L6" s="194">
        <v>0.5</v>
      </c>
      <c r="M6" s="179"/>
      <c r="N6" s="204" t="s">
        <v>1673</v>
      </c>
    </row>
    <row r="7" spans="1:15" ht="15">
      <c r="A7" s="12" t="s">
        <v>24</v>
      </c>
      <c r="B7" s="193" t="s">
        <v>23</v>
      </c>
      <c r="C7" s="2">
        <v>0.2</v>
      </c>
      <c r="D7" s="2">
        <v>0.25</v>
      </c>
      <c r="E7" s="2">
        <v>0.05</v>
      </c>
      <c r="F7" s="179"/>
      <c r="G7" s="194">
        <v>0.21951219512195122</v>
      </c>
      <c r="H7" s="179"/>
      <c r="I7" s="194">
        <v>0.78947368421052633</v>
      </c>
      <c r="J7" s="194">
        <v>6.8702290076335867E-2</v>
      </c>
      <c r="K7" s="179"/>
      <c r="L7" s="194">
        <v>0.10526315789473684</v>
      </c>
      <c r="M7" s="179"/>
      <c r="N7" s="204" t="s">
        <v>1675</v>
      </c>
    </row>
    <row r="8" spans="1:15" ht="15">
      <c r="A8" s="12" t="s">
        <v>26</v>
      </c>
      <c r="B8" s="193" t="s">
        <v>25</v>
      </c>
      <c r="C8" s="2">
        <v>0.2</v>
      </c>
      <c r="D8" s="2">
        <v>0.25</v>
      </c>
      <c r="E8" s="2">
        <v>0.05</v>
      </c>
      <c r="F8" s="179"/>
      <c r="G8" s="194">
        <v>0.23255813953488375</v>
      </c>
      <c r="H8" s="179"/>
      <c r="I8" s="194">
        <v>0.58333333333333337</v>
      </c>
      <c r="J8" s="194">
        <v>7.0512820512820512E-2</v>
      </c>
      <c r="K8" s="179"/>
      <c r="L8" s="194">
        <v>0.16666666666666666</v>
      </c>
      <c r="M8" s="179"/>
      <c r="N8" s="204" t="s">
        <v>1676</v>
      </c>
    </row>
    <row r="9" spans="1:15" ht="15">
      <c r="A9" s="12" t="s">
        <v>28</v>
      </c>
      <c r="B9" s="193" t="s">
        <v>27</v>
      </c>
      <c r="C9" s="2">
        <v>0.2</v>
      </c>
      <c r="D9" s="2">
        <v>0.25</v>
      </c>
      <c r="E9" s="2">
        <v>0.05</v>
      </c>
      <c r="F9" s="179"/>
      <c r="G9" s="194">
        <v>0.21951219512195122</v>
      </c>
      <c r="H9" s="179"/>
      <c r="I9" s="194">
        <v>0.34677419354838707</v>
      </c>
      <c r="J9" s="194">
        <v>0.11842105263157897</v>
      </c>
      <c r="K9" s="179"/>
      <c r="L9" s="194">
        <v>0.26315789473684209</v>
      </c>
      <c r="M9" s="179"/>
      <c r="N9" s="204" t="s">
        <v>1677</v>
      </c>
    </row>
    <row r="10" spans="1:15" ht="15">
      <c r="A10" s="12" t="s">
        <v>29</v>
      </c>
      <c r="B10" s="193" t="s">
        <v>14</v>
      </c>
      <c r="C10" s="2">
        <v>0.2</v>
      </c>
      <c r="D10" s="2">
        <v>0.25</v>
      </c>
      <c r="E10" s="2">
        <v>0.05</v>
      </c>
      <c r="F10" s="179"/>
      <c r="G10" s="194">
        <v>0.13953488372093023</v>
      </c>
      <c r="H10" s="179"/>
      <c r="I10" s="194">
        <v>0.19999999999999998</v>
      </c>
      <c r="J10" s="194">
        <v>0.10820895522388058</v>
      </c>
      <c r="K10" s="179"/>
      <c r="L10" s="194">
        <v>0.22222222222222224</v>
      </c>
      <c r="M10" s="179"/>
      <c r="N10" s="204" t="s">
        <v>1678</v>
      </c>
    </row>
    <row r="11" spans="1:15" ht="15">
      <c r="A11" s="12" t="s">
        <v>30</v>
      </c>
      <c r="B11" s="193" t="s">
        <v>4</v>
      </c>
      <c r="C11" s="2">
        <v>0.2</v>
      </c>
      <c r="D11" s="2">
        <v>0.25</v>
      </c>
      <c r="E11" s="2">
        <v>0.05</v>
      </c>
      <c r="F11" s="179"/>
      <c r="G11" s="194">
        <v>0.13157894736842105</v>
      </c>
      <c r="H11" s="179"/>
      <c r="I11" s="194">
        <v>0.62962962962962954</v>
      </c>
      <c r="J11" s="194">
        <v>8.1300813008130093E-2</v>
      </c>
      <c r="K11" s="179"/>
      <c r="L11" s="194">
        <v>0.12999999999999998</v>
      </c>
      <c r="M11" s="179"/>
      <c r="N11" s="204" t="s">
        <v>1679</v>
      </c>
    </row>
    <row r="12" spans="1:15" ht="15">
      <c r="A12" s="12" t="s">
        <v>32</v>
      </c>
      <c r="B12" s="193" t="s">
        <v>31</v>
      </c>
      <c r="C12" s="2">
        <v>0.2</v>
      </c>
      <c r="D12" s="2">
        <v>0.25</v>
      </c>
      <c r="E12" s="2">
        <v>0.05</v>
      </c>
      <c r="F12" s="179"/>
      <c r="G12" s="194">
        <v>0.17948717948717949</v>
      </c>
      <c r="H12" s="179"/>
      <c r="I12" s="194">
        <v>0.64406779661016944</v>
      </c>
      <c r="J12" s="194">
        <v>8.7837837837837843E-2</v>
      </c>
      <c r="K12" s="179"/>
      <c r="L12" s="194">
        <v>0.06</v>
      </c>
      <c r="M12" s="179"/>
      <c r="N12" s="204" t="s">
        <v>1680</v>
      </c>
    </row>
    <row r="13" spans="1:15" ht="15">
      <c r="A13" s="12" t="s">
        <v>42</v>
      </c>
      <c r="B13" s="193" t="s">
        <v>41</v>
      </c>
      <c r="C13" s="2">
        <v>0.2</v>
      </c>
      <c r="D13" s="2">
        <v>0.25</v>
      </c>
      <c r="E13" s="2">
        <v>0.05</v>
      </c>
      <c r="F13" s="179"/>
      <c r="G13" s="194">
        <v>0.21951219512195122</v>
      </c>
      <c r="H13" s="179"/>
      <c r="I13" s="194">
        <v>0.49333333333333335</v>
      </c>
      <c r="J13" s="194">
        <v>8.9947089947089956E-2</v>
      </c>
      <c r="K13" s="179"/>
      <c r="L13" s="194">
        <v>0.26153846153846155</v>
      </c>
      <c r="M13" s="179"/>
      <c r="N13" s="204" t="s">
        <v>1681</v>
      </c>
    </row>
    <row r="14" spans="1:15" ht="15">
      <c r="A14" s="12" t="s">
        <v>34</v>
      </c>
      <c r="B14" s="193" t="s">
        <v>33</v>
      </c>
      <c r="C14" s="2">
        <v>0.2</v>
      </c>
      <c r="D14" s="2">
        <v>0.25</v>
      </c>
      <c r="E14" s="2">
        <v>0.05</v>
      </c>
      <c r="F14" s="179"/>
      <c r="G14" s="194">
        <v>0.23913043478260868</v>
      </c>
      <c r="H14" s="179"/>
      <c r="I14" s="194">
        <v>0.43749999999999994</v>
      </c>
      <c r="J14" s="194">
        <v>3.6496350364963501E-2</v>
      </c>
      <c r="K14" s="179"/>
      <c r="L14" s="194">
        <v>0.29411764705882354</v>
      </c>
      <c r="M14" s="179"/>
      <c r="N14" s="204" t="s">
        <v>1682</v>
      </c>
    </row>
    <row r="15" spans="1:15" ht="15">
      <c r="A15" s="12" t="s">
        <v>40</v>
      </c>
      <c r="B15" s="193" t="s">
        <v>39</v>
      </c>
      <c r="C15" s="2">
        <v>0.2</v>
      </c>
      <c r="D15" s="2">
        <v>0.25</v>
      </c>
      <c r="E15" s="2">
        <v>0.05</v>
      </c>
      <c r="F15" s="179"/>
      <c r="G15" s="194">
        <v>0.17777777777777778</v>
      </c>
      <c r="H15" s="179"/>
      <c r="I15" s="194">
        <v>0.6</v>
      </c>
      <c r="J15" s="194">
        <v>8.5106382978723402E-2</v>
      </c>
      <c r="K15" s="179"/>
      <c r="L15" s="194">
        <v>0.22388059701492535</v>
      </c>
      <c r="M15" s="179"/>
      <c r="N15" s="204" t="s">
        <v>1683</v>
      </c>
    </row>
    <row r="16" spans="1:15" ht="15">
      <c r="A16" s="12" t="s">
        <v>36</v>
      </c>
      <c r="B16" s="193" t="s">
        <v>35</v>
      </c>
      <c r="C16" s="2">
        <v>0.2</v>
      </c>
      <c r="D16" s="2">
        <v>0.25</v>
      </c>
      <c r="E16" s="2">
        <v>0.05</v>
      </c>
      <c r="F16" s="179"/>
      <c r="G16" s="194">
        <v>0.19444444444444448</v>
      </c>
      <c r="H16" s="179"/>
      <c r="I16" s="194">
        <v>1</v>
      </c>
      <c r="J16" s="194">
        <v>5.5045871559633024E-2</v>
      </c>
      <c r="K16" s="179"/>
      <c r="L16" s="194">
        <v>0.32857142857142851</v>
      </c>
      <c r="M16" s="179"/>
      <c r="N16" s="204" t="s">
        <v>1684</v>
      </c>
    </row>
    <row r="17" spans="1:14" ht="15">
      <c r="A17" s="14" t="s">
        <v>38</v>
      </c>
      <c r="B17" s="195" t="s">
        <v>37</v>
      </c>
      <c r="C17" s="184">
        <v>0.2</v>
      </c>
      <c r="D17" s="2">
        <v>0.25</v>
      </c>
      <c r="E17" s="184">
        <v>0.05</v>
      </c>
      <c r="F17" s="196"/>
      <c r="G17" s="197">
        <v>0.13953488372093023</v>
      </c>
      <c r="H17" s="196"/>
      <c r="I17" s="197">
        <v>0.6</v>
      </c>
      <c r="J17" s="197">
        <v>4.878048780487805E-2</v>
      </c>
      <c r="K17" s="196"/>
      <c r="L17" s="197">
        <v>0.10112359550561797</v>
      </c>
      <c r="M17" s="196"/>
      <c r="N17" s="205" t="s">
        <v>1685</v>
      </c>
    </row>
    <row r="18" spans="1:14">
      <c r="A18" s="198" t="s">
        <v>1672</v>
      </c>
      <c r="B18" s="199"/>
      <c r="C18" s="189">
        <v>2</v>
      </c>
      <c r="D18" s="189">
        <v>3</v>
      </c>
      <c r="E18" s="189">
        <v>2</v>
      </c>
      <c r="F18" s="189"/>
      <c r="G18" s="189">
        <v>1</v>
      </c>
      <c r="H18" s="189"/>
      <c r="I18" s="189">
        <v>1</v>
      </c>
      <c r="J18" s="189">
        <v>1</v>
      </c>
      <c r="K18" s="189"/>
      <c r="L18" s="189">
        <v>1</v>
      </c>
      <c r="M18" s="189"/>
      <c r="N18" s="200"/>
    </row>
    <row r="20" spans="1:14">
      <c r="A20" s="140" t="s">
        <v>1687</v>
      </c>
    </row>
    <row r="21" spans="1:14">
      <c r="A21" s="140" t="s">
        <v>1688</v>
      </c>
    </row>
    <row r="22" spans="1:14">
      <c r="A22" t="s">
        <v>1689</v>
      </c>
    </row>
    <row r="23" spans="1:14">
      <c r="A23" s="140" t="s">
        <v>1715</v>
      </c>
    </row>
  </sheetData>
  <sheetProtection selectLockedCells="1"/>
  <pageMargins left="0.7" right="0.7" top="0.75" bottom="0.75" header="0.3" footer="0.3"/>
  <pageSetup scale="75" orientation="landscape"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0"/>
  <dimension ref="A1:T826"/>
  <sheetViews>
    <sheetView tabSelected="1" topLeftCell="A794" workbookViewId="0">
      <selection activeCell="A809" sqref="A809"/>
    </sheetView>
  </sheetViews>
  <sheetFormatPr defaultRowHeight="15" customHeight="1"/>
  <cols>
    <col min="1" max="1" width="81.7109375" style="534" bestFit="1" customWidth="1"/>
    <col min="2" max="2" width="15.7109375" style="534" customWidth="1"/>
    <col min="3" max="3" width="9.28515625" style="534" bestFit="1" customWidth="1"/>
    <col min="4" max="4" width="20.140625" style="534" bestFit="1" customWidth="1"/>
    <col min="5" max="5" width="10.7109375" style="534" bestFit="1" customWidth="1"/>
    <col min="6" max="6" width="10.140625" style="534" bestFit="1" customWidth="1"/>
    <col min="7" max="7" width="19" style="534" bestFit="1" customWidth="1"/>
    <col min="8" max="8" width="9.28515625" style="534" bestFit="1" customWidth="1"/>
    <col min="9" max="9" width="15.28515625" style="534" bestFit="1" customWidth="1"/>
    <col min="10" max="11" width="8.7109375" style="534" bestFit="1" customWidth="1"/>
    <col min="12" max="12" width="28.28515625" style="534" bestFit="1" customWidth="1"/>
    <col min="13" max="13" width="9.28515625" style="534" bestFit="1" customWidth="1"/>
    <col min="14" max="14" width="20.28515625" style="534" bestFit="1" customWidth="1"/>
    <col min="15" max="15" width="9.28515625" style="534" bestFit="1" customWidth="1"/>
    <col min="16" max="16" width="15.28515625" style="534" bestFit="1" customWidth="1"/>
    <col min="17" max="17" width="9.28515625" style="534" bestFit="1" customWidth="1"/>
    <col min="18" max="18" width="8.7109375" style="534" bestFit="1" customWidth="1"/>
    <col min="19" max="19" width="11.5703125" style="534" bestFit="1" customWidth="1"/>
    <col min="20" max="20" width="7.28515625" style="534" bestFit="1" customWidth="1"/>
    <col min="21" max="257" width="9.140625" style="534"/>
    <col min="258" max="258" width="68.42578125" style="534" bestFit="1" customWidth="1"/>
    <col min="259" max="259" width="11.42578125" style="534" bestFit="1" customWidth="1"/>
    <col min="260" max="260" width="7.5703125" style="534" bestFit="1" customWidth="1"/>
    <col min="261" max="261" width="8" style="534" bestFit="1" customWidth="1"/>
    <col min="262" max="262" width="11.5703125" style="534" bestFit="1" customWidth="1"/>
    <col min="263" max="263" width="14.5703125" style="534" bestFit="1" customWidth="1"/>
    <col min="264" max="264" width="13.85546875" style="534" bestFit="1" customWidth="1"/>
    <col min="265" max="265" width="7.7109375" style="534" bestFit="1" customWidth="1"/>
    <col min="266" max="266" width="12" style="534" bestFit="1" customWidth="1"/>
    <col min="267" max="267" width="9.5703125" style="534" bestFit="1" customWidth="1"/>
    <col min="268" max="268" width="8.28515625" style="534" bestFit="1" customWidth="1"/>
    <col min="269" max="269" width="11.5703125" style="534" bestFit="1" customWidth="1"/>
    <col min="270" max="270" width="8.28515625" style="534" bestFit="1" customWidth="1"/>
    <col min="271" max="271" width="12" style="534" bestFit="1" customWidth="1"/>
    <col min="272" max="272" width="9.7109375" style="534" bestFit="1" customWidth="1"/>
    <col min="273" max="273" width="11.5703125" style="534" bestFit="1" customWidth="1"/>
    <col min="274" max="274" width="6.85546875" style="534" bestFit="1" customWidth="1"/>
    <col min="275" max="275" width="11.5703125" style="534" bestFit="1" customWidth="1"/>
    <col min="276" max="276" width="6.7109375" style="534" bestFit="1" customWidth="1"/>
    <col min="277" max="513" width="9.140625" style="534"/>
    <col min="514" max="514" width="68.42578125" style="534" bestFit="1" customWidth="1"/>
    <col min="515" max="515" width="11.42578125" style="534" bestFit="1" customWidth="1"/>
    <col min="516" max="516" width="7.5703125" style="534" bestFit="1" customWidth="1"/>
    <col min="517" max="517" width="8" style="534" bestFit="1" customWidth="1"/>
    <col min="518" max="518" width="11.5703125" style="534" bestFit="1" customWidth="1"/>
    <col min="519" max="519" width="14.5703125" style="534" bestFit="1" customWidth="1"/>
    <col min="520" max="520" width="13.85546875" style="534" bestFit="1" customWidth="1"/>
    <col min="521" max="521" width="7.7109375" style="534" bestFit="1" customWidth="1"/>
    <col min="522" max="522" width="12" style="534" bestFit="1" customWidth="1"/>
    <col min="523" max="523" width="9.5703125" style="534" bestFit="1" customWidth="1"/>
    <col min="524" max="524" width="8.28515625" style="534" bestFit="1" customWidth="1"/>
    <col min="525" max="525" width="11.5703125" style="534" bestFit="1" customWidth="1"/>
    <col min="526" max="526" width="8.28515625" style="534" bestFit="1" customWidth="1"/>
    <col min="527" max="527" width="12" style="534" bestFit="1" customWidth="1"/>
    <col min="528" max="528" width="9.7109375" style="534" bestFit="1" customWidth="1"/>
    <col min="529" max="529" width="11.5703125" style="534" bestFit="1" customWidth="1"/>
    <col min="530" max="530" width="6.85546875" style="534" bestFit="1" customWidth="1"/>
    <col min="531" max="531" width="11.5703125" style="534" bestFit="1" customWidth="1"/>
    <col min="532" max="532" width="6.7109375" style="534" bestFit="1" customWidth="1"/>
    <col min="533" max="769" width="9.140625" style="534"/>
    <col min="770" max="770" width="68.42578125" style="534" bestFit="1" customWidth="1"/>
    <col min="771" max="771" width="11.42578125" style="534" bestFit="1" customWidth="1"/>
    <col min="772" max="772" width="7.5703125" style="534" bestFit="1" customWidth="1"/>
    <col min="773" max="773" width="8" style="534" bestFit="1" customWidth="1"/>
    <col min="774" max="774" width="11.5703125" style="534" bestFit="1" customWidth="1"/>
    <col min="775" max="775" width="14.5703125" style="534" bestFit="1" customWidth="1"/>
    <col min="776" max="776" width="13.85546875" style="534" bestFit="1" customWidth="1"/>
    <col min="777" max="777" width="7.7109375" style="534" bestFit="1" customWidth="1"/>
    <col min="778" max="778" width="12" style="534" bestFit="1" customWidth="1"/>
    <col min="779" max="779" width="9.5703125" style="534" bestFit="1" customWidth="1"/>
    <col min="780" max="780" width="8.28515625" style="534" bestFit="1" customWidth="1"/>
    <col min="781" max="781" width="11.5703125" style="534" bestFit="1" customWidth="1"/>
    <col min="782" max="782" width="8.28515625" style="534" bestFit="1" customWidth="1"/>
    <col min="783" max="783" width="12" style="534" bestFit="1" customWidth="1"/>
    <col min="784" max="784" width="9.7109375" style="534" bestFit="1" customWidth="1"/>
    <col min="785" max="785" width="11.5703125" style="534" bestFit="1" customWidth="1"/>
    <col min="786" max="786" width="6.85546875" style="534" bestFit="1" customWidth="1"/>
    <col min="787" max="787" width="11.5703125" style="534" bestFit="1" customWidth="1"/>
    <col min="788" max="788" width="6.7109375" style="534" bestFit="1" customWidth="1"/>
    <col min="789" max="1025" width="9.140625" style="534"/>
    <col min="1026" max="1026" width="68.42578125" style="534" bestFit="1" customWidth="1"/>
    <col min="1027" max="1027" width="11.42578125" style="534" bestFit="1" customWidth="1"/>
    <col min="1028" max="1028" width="7.5703125" style="534" bestFit="1" customWidth="1"/>
    <col min="1029" max="1029" width="8" style="534" bestFit="1" customWidth="1"/>
    <col min="1030" max="1030" width="11.5703125" style="534" bestFit="1" customWidth="1"/>
    <col min="1031" max="1031" width="14.5703125" style="534" bestFit="1" customWidth="1"/>
    <col min="1032" max="1032" width="13.85546875" style="534" bestFit="1" customWidth="1"/>
    <col min="1033" max="1033" width="7.7109375" style="534" bestFit="1" customWidth="1"/>
    <col min="1034" max="1034" width="12" style="534" bestFit="1" customWidth="1"/>
    <col min="1035" max="1035" width="9.5703125" style="534" bestFit="1" customWidth="1"/>
    <col min="1036" max="1036" width="8.28515625" style="534" bestFit="1" customWidth="1"/>
    <col min="1037" max="1037" width="11.5703125" style="534" bestFit="1" customWidth="1"/>
    <col min="1038" max="1038" width="8.28515625" style="534" bestFit="1" customWidth="1"/>
    <col min="1039" max="1039" width="12" style="534" bestFit="1" customWidth="1"/>
    <col min="1040" max="1040" width="9.7109375" style="534" bestFit="1" customWidth="1"/>
    <col min="1041" max="1041" width="11.5703125" style="534" bestFit="1" customWidth="1"/>
    <col min="1042" max="1042" width="6.85546875" style="534" bestFit="1" customWidth="1"/>
    <col min="1043" max="1043" width="11.5703125" style="534" bestFit="1" customWidth="1"/>
    <col min="1044" max="1044" width="6.7109375" style="534" bestFit="1" customWidth="1"/>
    <col min="1045" max="1281" width="9.140625" style="534"/>
    <col min="1282" max="1282" width="68.42578125" style="534" bestFit="1" customWidth="1"/>
    <col min="1283" max="1283" width="11.42578125" style="534" bestFit="1" customWidth="1"/>
    <col min="1284" max="1284" width="7.5703125" style="534" bestFit="1" customWidth="1"/>
    <col min="1285" max="1285" width="8" style="534" bestFit="1" customWidth="1"/>
    <col min="1286" max="1286" width="11.5703125" style="534" bestFit="1" customWidth="1"/>
    <col min="1287" max="1287" width="14.5703125" style="534" bestFit="1" customWidth="1"/>
    <col min="1288" max="1288" width="13.85546875" style="534" bestFit="1" customWidth="1"/>
    <col min="1289" max="1289" width="7.7109375" style="534" bestFit="1" customWidth="1"/>
    <col min="1290" max="1290" width="12" style="534" bestFit="1" customWidth="1"/>
    <col min="1291" max="1291" width="9.5703125" style="534" bestFit="1" customWidth="1"/>
    <col min="1292" max="1292" width="8.28515625" style="534" bestFit="1" customWidth="1"/>
    <col min="1293" max="1293" width="11.5703125" style="534" bestFit="1" customWidth="1"/>
    <col min="1294" max="1294" width="8.28515625" style="534" bestFit="1" customWidth="1"/>
    <col min="1295" max="1295" width="12" style="534" bestFit="1" customWidth="1"/>
    <col min="1296" max="1296" width="9.7109375" style="534" bestFit="1" customWidth="1"/>
    <col min="1297" max="1297" width="11.5703125" style="534" bestFit="1" customWidth="1"/>
    <col min="1298" max="1298" width="6.85546875" style="534" bestFit="1" customWidth="1"/>
    <col min="1299" max="1299" width="11.5703125" style="534" bestFit="1" customWidth="1"/>
    <col min="1300" max="1300" width="6.7109375" style="534" bestFit="1" customWidth="1"/>
    <col min="1301" max="1537" width="9.140625" style="534"/>
    <col min="1538" max="1538" width="68.42578125" style="534" bestFit="1" customWidth="1"/>
    <col min="1539" max="1539" width="11.42578125" style="534" bestFit="1" customWidth="1"/>
    <col min="1540" max="1540" width="7.5703125" style="534" bestFit="1" customWidth="1"/>
    <col min="1541" max="1541" width="8" style="534" bestFit="1" customWidth="1"/>
    <col min="1542" max="1542" width="11.5703125" style="534" bestFit="1" customWidth="1"/>
    <col min="1543" max="1543" width="14.5703125" style="534" bestFit="1" customWidth="1"/>
    <col min="1544" max="1544" width="13.85546875" style="534" bestFit="1" customWidth="1"/>
    <col min="1545" max="1545" width="7.7109375" style="534" bestFit="1" customWidth="1"/>
    <col min="1546" max="1546" width="12" style="534" bestFit="1" customWidth="1"/>
    <col min="1547" max="1547" width="9.5703125" style="534" bestFit="1" customWidth="1"/>
    <col min="1548" max="1548" width="8.28515625" style="534" bestFit="1" customWidth="1"/>
    <col min="1549" max="1549" width="11.5703125" style="534" bestFit="1" customWidth="1"/>
    <col min="1550" max="1550" width="8.28515625" style="534" bestFit="1" customWidth="1"/>
    <col min="1551" max="1551" width="12" style="534" bestFit="1" customWidth="1"/>
    <col min="1552" max="1552" width="9.7109375" style="534" bestFit="1" customWidth="1"/>
    <col min="1553" max="1553" width="11.5703125" style="534" bestFit="1" customWidth="1"/>
    <col min="1554" max="1554" width="6.85546875" style="534" bestFit="1" customWidth="1"/>
    <col min="1555" max="1555" width="11.5703125" style="534" bestFit="1" customWidth="1"/>
    <col min="1556" max="1556" width="6.7109375" style="534" bestFit="1" customWidth="1"/>
    <col min="1557" max="1793" width="9.140625" style="534"/>
    <col min="1794" max="1794" width="68.42578125" style="534" bestFit="1" customWidth="1"/>
    <col min="1795" max="1795" width="11.42578125" style="534" bestFit="1" customWidth="1"/>
    <col min="1796" max="1796" width="7.5703125" style="534" bestFit="1" customWidth="1"/>
    <col min="1797" max="1797" width="8" style="534" bestFit="1" customWidth="1"/>
    <col min="1798" max="1798" width="11.5703125" style="534" bestFit="1" customWidth="1"/>
    <col min="1799" max="1799" width="14.5703125" style="534" bestFit="1" customWidth="1"/>
    <col min="1800" max="1800" width="13.85546875" style="534" bestFit="1" customWidth="1"/>
    <col min="1801" max="1801" width="7.7109375" style="534" bestFit="1" customWidth="1"/>
    <col min="1802" max="1802" width="12" style="534" bestFit="1" customWidth="1"/>
    <col min="1803" max="1803" width="9.5703125" style="534" bestFit="1" customWidth="1"/>
    <col min="1804" max="1804" width="8.28515625" style="534" bestFit="1" customWidth="1"/>
    <col min="1805" max="1805" width="11.5703125" style="534" bestFit="1" customWidth="1"/>
    <col min="1806" max="1806" width="8.28515625" style="534" bestFit="1" customWidth="1"/>
    <col min="1807" max="1807" width="12" style="534" bestFit="1" customWidth="1"/>
    <col min="1808" max="1808" width="9.7109375" style="534" bestFit="1" customWidth="1"/>
    <col min="1809" max="1809" width="11.5703125" style="534" bestFit="1" customWidth="1"/>
    <col min="1810" max="1810" width="6.85546875" style="534" bestFit="1" customWidth="1"/>
    <col min="1811" max="1811" width="11.5703125" style="534" bestFit="1" customWidth="1"/>
    <col min="1812" max="1812" width="6.7109375" style="534" bestFit="1" customWidth="1"/>
    <col min="1813" max="2049" width="9.140625" style="534"/>
    <col min="2050" max="2050" width="68.42578125" style="534" bestFit="1" customWidth="1"/>
    <col min="2051" max="2051" width="11.42578125" style="534" bestFit="1" customWidth="1"/>
    <col min="2052" max="2052" width="7.5703125" style="534" bestFit="1" customWidth="1"/>
    <col min="2053" max="2053" width="8" style="534" bestFit="1" customWidth="1"/>
    <col min="2054" max="2054" width="11.5703125" style="534" bestFit="1" customWidth="1"/>
    <col min="2055" max="2055" width="14.5703125" style="534" bestFit="1" customWidth="1"/>
    <col min="2056" max="2056" width="13.85546875" style="534" bestFit="1" customWidth="1"/>
    <col min="2057" max="2057" width="7.7109375" style="534" bestFit="1" customWidth="1"/>
    <col min="2058" max="2058" width="12" style="534" bestFit="1" customWidth="1"/>
    <col min="2059" max="2059" width="9.5703125" style="534" bestFit="1" customWidth="1"/>
    <col min="2060" max="2060" width="8.28515625" style="534" bestFit="1" customWidth="1"/>
    <col min="2061" max="2061" width="11.5703125" style="534" bestFit="1" customWidth="1"/>
    <col min="2062" max="2062" width="8.28515625" style="534" bestFit="1" customWidth="1"/>
    <col min="2063" max="2063" width="12" style="534" bestFit="1" customWidth="1"/>
    <col min="2064" max="2064" width="9.7109375" style="534" bestFit="1" customWidth="1"/>
    <col min="2065" max="2065" width="11.5703125" style="534" bestFit="1" customWidth="1"/>
    <col min="2066" max="2066" width="6.85546875" style="534" bestFit="1" customWidth="1"/>
    <col min="2067" max="2067" width="11.5703125" style="534" bestFit="1" customWidth="1"/>
    <col min="2068" max="2068" width="6.7109375" style="534" bestFit="1" customWidth="1"/>
    <col min="2069" max="2305" width="9.140625" style="534"/>
    <col min="2306" max="2306" width="68.42578125" style="534" bestFit="1" customWidth="1"/>
    <col min="2307" max="2307" width="11.42578125" style="534" bestFit="1" customWidth="1"/>
    <col min="2308" max="2308" width="7.5703125" style="534" bestFit="1" customWidth="1"/>
    <col min="2309" max="2309" width="8" style="534" bestFit="1" customWidth="1"/>
    <col min="2310" max="2310" width="11.5703125" style="534" bestFit="1" customWidth="1"/>
    <col min="2311" max="2311" width="14.5703125" style="534" bestFit="1" customWidth="1"/>
    <col min="2312" max="2312" width="13.85546875" style="534" bestFit="1" customWidth="1"/>
    <col min="2313" max="2313" width="7.7109375" style="534" bestFit="1" customWidth="1"/>
    <col min="2314" max="2314" width="12" style="534" bestFit="1" customWidth="1"/>
    <col min="2315" max="2315" width="9.5703125" style="534" bestFit="1" customWidth="1"/>
    <col min="2316" max="2316" width="8.28515625" style="534" bestFit="1" customWidth="1"/>
    <col min="2317" max="2317" width="11.5703125" style="534" bestFit="1" customWidth="1"/>
    <col min="2318" max="2318" width="8.28515625" style="534" bestFit="1" customWidth="1"/>
    <col min="2319" max="2319" width="12" style="534" bestFit="1" customWidth="1"/>
    <col min="2320" max="2320" width="9.7109375" style="534" bestFit="1" customWidth="1"/>
    <col min="2321" max="2321" width="11.5703125" style="534" bestFit="1" customWidth="1"/>
    <col min="2322" max="2322" width="6.85546875" style="534" bestFit="1" customWidth="1"/>
    <col min="2323" max="2323" width="11.5703125" style="534" bestFit="1" customWidth="1"/>
    <col min="2324" max="2324" width="6.7109375" style="534" bestFit="1" customWidth="1"/>
    <col min="2325" max="2561" width="9.140625" style="534"/>
    <col min="2562" max="2562" width="68.42578125" style="534" bestFit="1" customWidth="1"/>
    <col min="2563" max="2563" width="11.42578125" style="534" bestFit="1" customWidth="1"/>
    <col min="2564" max="2564" width="7.5703125" style="534" bestFit="1" customWidth="1"/>
    <col min="2565" max="2565" width="8" style="534" bestFit="1" customWidth="1"/>
    <col min="2566" max="2566" width="11.5703125" style="534" bestFit="1" customWidth="1"/>
    <col min="2567" max="2567" width="14.5703125" style="534" bestFit="1" customWidth="1"/>
    <col min="2568" max="2568" width="13.85546875" style="534" bestFit="1" customWidth="1"/>
    <col min="2569" max="2569" width="7.7109375" style="534" bestFit="1" customWidth="1"/>
    <col min="2570" max="2570" width="12" style="534" bestFit="1" customWidth="1"/>
    <col min="2571" max="2571" width="9.5703125" style="534" bestFit="1" customWidth="1"/>
    <col min="2572" max="2572" width="8.28515625" style="534" bestFit="1" customWidth="1"/>
    <col min="2573" max="2573" width="11.5703125" style="534" bestFit="1" customWidth="1"/>
    <col min="2574" max="2574" width="8.28515625" style="534" bestFit="1" customWidth="1"/>
    <col min="2575" max="2575" width="12" style="534" bestFit="1" customWidth="1"/>
    <col min="2576" max="2576" width="9.7109375" style="534" bestFit="1" customWidth="1"/>
    <col min="2577" max="2577" width="11.5703125" style="534" bestFit="1" customWidth="1"/>
    <col min="2578" max="2578" width="6.85546875" style="534" bestFit="1" customWidth="1"/>
    <col min="2579" max="2579" width="11.5703125" style="534" bestFit="1" customWidth="1"/>
    <col min="2580" max="2580" width="6.7109375" style="534" bestFit="1" customWidth="1"/>
    <col min="2581" max="2817" width="9.140625" style="534"/>
    <col min="2818" max="2818" width="68.42578125" style="534" bestFit="1" customWidth="1"/>
    <col min="2819" max="2819" width="11.42578125" style="534" bestFit="1" customWidth="1"/>
    <col min="2820" max="2820" width="7.5703125" style="534" bestFit="1" customWidth="1"/>
    <col min="2821" max="2821" width="8" style="534" bestFit="1" customWidth="1"/>
    <col min="2822" max="2822" width="11.5703125" style="534" bestFit="1" customWidth="1"/>
    <col min="2823" max="2823" width="14.5703125" style="534" bestFit="1" customWidth="1"/>
    <col min="2824" max="2824" width="13.85546875" style="534" bestFit="1" customWidth="1"/>
    <col min="2825" max="2825" width="7.7109375" style="534" bestFit="1" customWidth="1"/>
    <col min="2826" max="2826" width="12" style="534" bestFit="1" customWidth="1"/>
    <col min="2827" max="2827" width="9.5703125" style="534" bestFit="1" customWidth="1"/>
    <col min="2828" max="2828" width="8.28515625" style="534" bestFit="1" customWidth="1"/>
    <col min="2829" max="2829" width="11.5703125" style="534" bestFit="1" customWidth="1"/>
    <col min="2830" max="2830" width="8.28515625" style="534" bestFit="1" customWidth="1"/>
    <col min="2831" max="2831" width="12" style="534" bestFit="1" customWidth="1"/>
    <col min="2832" max="2832" width="9.7109375" style="534" bestFit="1" customWidth="1"/>
    <col min="2833" max="2833" width="11.5703125" style="534" bestFit="1" customWidth="1"/>
    <col min="2834" max="2834" width="6.85546875" style="534" bestFit="1" customWidth="1"/>
    <col min="2835" max="2835" width="11.5703125" style="534" bestFit="1" customWidth="1"/>
    <col min="2836" max="2836" width="6.7109375" style="534" bestFit="1" customWidth="1"/>
    <col min="2837" max="3073" width="9.140625" style="534"/>
    <col min="3074" max="3074" width="68.42578125" style="534" bestFit="1" customWidth="1"/>
    <col min="3075" max="3075" width="11.42578125" style="534" bestFit="1" customWidth="1"/>
    <col min="3076" max="3076" width="7.5703125" style="534" bestFit="1" customWidth="1"/>
    <col min="3077" max="3077" width="8" style="534" bestFit="1" customWidth="1"/>
    <col min="3078" max="3078" width="11.5703125" style="534" bestFit="1" customWidth="1"/>
    <col min="3079" max="3079" width="14.5703125" style="534" bestFit="1" customWidth="1"/>
    <col min="3080" max="3080" width="13.85546875" style="534" bestFit="1" customWidth="1"/>
    <col min="3081" max="3081" width="7.7109375" style="534" bestFit="1" customWidth="1"/>
    <col min="3082" max="3082" width="12" style="534" bestFit="1" customWidth="1"/>
    <col min="3083" max="3083" width="9.5703125" style="534" bestFit="1" customWidth="1"/>
    <col min="3084" max="3084" width="8.28515625" style="534" bestFit="1" customWidth="1"/>
    <col min="3085" max="3085" width="11.5703125" style="534" bestFit="1" customWidth="1"/>
    <col min="3086" max="3086" width="8.28515625" style="534" bestFit="1" customWidth="1"/>
    <col min="3087" max="3087" width="12" style="534" bestFit="1" customWidth="1"/>
    <col min="3088" max="3088" width="9.7109375" style="534" bestFit="1" customWidth="1"/>
    <col min="3089" max="3089" width="11.5703125" style="534" bestFit="1" customWidth="1"/>
    <col min="3090" max="3090" width="6.85546875" style="534" bestFit="1" customWidth="1"/>
    <col min="3091" max="3091" width="11.5703125" style="534" bestFit="1" customWidth="1"/>
    <col min="3092" max="3092" width="6.7109375" style="534" bestFit="1" customWidth="1"/>
    <col min="3093" max="3329" width="9.140625" style="534"/>
    <col min="3330" max="3330" width="68.42578125" style="534" bestFit="1" customWidth="1"/>
    <col min="3331" max="3331" width="11.42578125" style="534" bestFit="1" customWidth="1"/>
    <col min="3332" max="3332" width="7.5703125" style="534" bestFit="1" customWidth="1"/>
    <col min="3333" max="3333" width="8" style="534" bestFit="1" customWidth="1"/>
    <col min="3334" max="3334" width="11.5703125" style="534" bestFit="1" customWidth="1"/>
    <col min="3335" max="3335" width="14.5703125" style="534" bestFit="1" customWidth="1"/>
    <col min="3336" max="3336" width="13.85546875" style="534" bestFit="1" customWidth="1"/>
    <col min="3337" max="3337" width="7.7109375" style="534" bestFit="1" customWidth="1"/>
    <col min="3338" max="3338" width="12" style="534" bestFit="1" customWidth="1"/>
    <col min="3339" max="3339" width="9.5703125" style="534" bestFit="1" customWidth="1"/>
    <col min="3340" max="3340" width="8.28515625" style="534" bestFit="1" customWidth="1"/>
    <col min="3341" max="3341" width="11.5703125" style="534" bestFit="1" customWidth="1"/>
    <col min="3342" max="3342" width="8.28515625" style="534" bestFit="1" customWidth="1"/>
    <col min="3343" max="3343" width="12" style="534" bestFit="1" customWidth="1"/>
    <col min="3344" max="3344" width="9.7109375" style="534" bestFit="1" customWidth="1"/>
    <col min="3345" max="3345" width="11.5703125" style="534" bestFit="1" customWidth="1"/>
    <col min="3346" max="3346" width="6.85546875" style="534" bestFit="1" customWidth="1"/>
    <col min="3347" max="3347" width="11.5703125" style="534" bestFit="1" customWidth="1"/>
    <col min="3348" max="3348" width="6.7109375" style="534" bestFit="1" customWidth="1"/>
    <col min="3349" max="3585" width="9.140625" style="534"/>
    <col min="3586" max="3586" width="68.42578125" style="534" bestFit="1" customWidth="1"/>
    <col min="3587" max="3587" width="11.42578125" style="534" bestFit="1" customWidth="1"/>
    <col min="3588" max="3588" width="7.5703125" style="534" bestFit="1" customWidth="1"/>
    <col min="3589" max="3589" width="8" style="534" bestFit="1" customWidth="1"/>
    <col min="3590" max="3590" width="11.5703125" style="534" bestFit="1" customWidth="1"/>
    <col min="3591" max="3591" width="14.5703125" style="534" bestFit="1" customWidth="1"/>
    <col min="3592" max="3592" width="13.85546875" style="534" bestFit="1" customWidth="1"/>
    <col min="3593" max="3593" width="7.7109375" style="534" bestFit="1" customWidth="1"/>
    <col min="3594" max="3594" width="12" style="534" bestFit="1" customWidth="1"/>
    <col min="3595" max="3595" width="9.5703125" style="534" bestFit="1" customWidth="1"/>
    <col min="3596" max="3596" width="8.28515625" style="534" bestFit="1" customWidth="1"/>
    <col min="3597" max="3597" width="11.5703125" style="534" bestFit="1" customWidth="1"/>
    <col min="3598" max="3598" width="8.28515625" style="534" bestFit="1" customWidth="1"/>
    <col min="3599" max="3599" width="12" style="534" bestFit="1" customWidth="1"/>
    <col min="3600" max="3600" width="9.7109375" style="534" bestFit="1" customWidth="1"/>
    <col min="3601" max="3601" width="11.5703125" style="534" bestFit="1" customWidth="1"/>
    <col min="3602" max="3602" width="6.85546875" style="534" bestFit="1" customWidth="1"/>
    <col min="3603" max="3603" width="11.5703125" style="534" bestFit="1" customWidth="1"/>
    <col min="3604" max="3604" width="6.7109375" style="534" bestFit="1" customWidth="1"/>
    <col min="3605" max="3841" width="9.140625" style="534"/>
    <col min="3842" max="3842" width="68.42578125" style="534" bestFit="1" customWidth="1"/>
    <col min="3843" max="3843" width="11.42578125" style="534" bestFit="1" customWidth="1"/>
    <col min="3844" max="3844" width="7.5703125" style="534" bestFit="1" customWidth="1"/>
    <col min="3845" max="3845" width="8" style="534" bestFit="1" customWidth="1"/>
    <col min="3846" max="3846" width="11.5703125" style="534" bestFit="1" customWidth="1"/>
    <col min="3847" max="3847" width="14.5703125" style="534" bestFit="1" customWidth="1"/>
    <col min="3848" max="3848" width="13.85546875" style="534" bestFit="1" customWidth="1"/>
    <col min="3849" max="3849" width="7.7109375" style="534" bestFit="1" customWidth="1"/>
    <col min="3850" max="3850" width="12" style="534" bestFit="1" customWidth="1"/>
    <col min="3851" max="3851" width="9.5703125" style="534" bestFit="1" customWidth="1"/>
    <col min="3852" max="3852" width="8.28515625" style="534" bestFit="1" customWidth="1"/>
    <col min="3853" max="3853" width="11.5703125" style="534" bestFit="1" customWidth="1"/>
    <col min="3854" max="3854" width="8.28515625" style="534" bestFit="1" customWidth="1"/>
    <col min="3855" max="3855" width="12" style="534" bestFit="1" customWidth="1"/>
    <col min="3856" max="3856" width="9.7109375" style="534" bestFit="1" customWidth="1"/>
    <col min="3857" max="3857" width="11.5703125" style="534" bestFit="1" customWidth="1"/>
    <col min="3858" max="3858" width="6.85546875" style="534" bestFit="1" customWidth="1"/>
    <col min="3859" max="3859" width="11.5703125" style="534" bestFit="1" customWidth="1"/>
    <col min="3860" max="3860" width="6.7109375" style="534" bestFit="1" customWidth="1"/>
    <col min="3861" max="4097" width="9.140625" style="534"/>
    <col min="4098" max="4098" width="68.42578125" style="534" bestFit="1" customWidth="1"/>
    <col min="4099" max="4099" width="11.42578125" style="534" bestFit="1" customWidth="1"/>
    <col min="4100" max="4100" width="7.5703125" style="534" bestFit="1" customWidth="1"/>
    <col min="4101" max="4101" width="8" style="534" bestFit="1" customWidth="1"/>
    <col min="4102" max="4102" width="11.5703125" style="534" bestFit="1" customWidth="1"/>
    <col min="4103" max="4103" width="14.5703125" style="534" bestFit="1" customWidth="1"/>
    <col min="4104" max="4104" width="13.85546875" style="534" bestFit="1" customWidth="1"/>
    <col min="4105" max="4105" width="7.7109375" style="534" bestFit="1" customWidth="1"/>
    <col min="4106" max="4106" width="12" style="534" bestFit="1" customWidth="1"/>
    <col min="4107" max="4107" width="9.5703125" style="534" bestFit="1" customWidth="1"/>
    <col min="4108" max="4108" width="8.28515625" style="534" bestFit="1" customWidth="1"/>
    <col min="4109" max="4109" width="11.5703125" style="534" bestFit="1" customWidth="1"/>
    <col min="4110" max="4110" width="8.28515625" style="534" bestFit="1" customWidth="1"/>
    <col min="4111" max="4111" width="12" style="534" bestFit="1" customWidth="1"/>
    <col min="4112" max="4112" width="9.7109375" style="534" bestFit="1" customWidth="1"/>
    <col min="4113" max="4113" width="11.5703125" style="534" bestFit="1" customWidth="1"/>
    <col min="4114" max="4114" width="6.85546875" style="534" bestFit="1" customWidth="1"/>
    <col min="4115" max="4115" width="11.5703125" style="534" bestFit="1" customWidth="1"/>
    <col min="4116" max="4116" width="6.7109375" style="534" bestFit="1" customWidth="1"/>
    <col min="4117" max="4353" width="9.140625" style="534"/>
    <col min="4354" max="4354" width="68.42578125" style="534" bestFit="1" customWidth="1"/>
    <col min="4355" max="4355" width="11.42578125" style="534" bestFit="1" customWidth="1"/>
    <col min="4356" max="4356" width="7.5703125" style="534" bestFit="1" customWidth="1"/>
    <col min="4357" max="4357" width="8" style="534" bestFit="1" customWidth="1"/>
    <col min="4358" max="4358" width="11.5703125" style="534" bestFit="1" customWidth="1"/>
    <col min="4359" max="4359" width="14.5703125" style="534" bestFit="1" customWidth="1"/>
    <col min="4360" max="4360" width="13.85546875" style="534" bestFit="1" customWidth="1"/>
    <col min="4361" max="4361" width="7.7109375" style="534" bestFit="1" customWidth="1"/>
    <col min="4362" max="4362" width="12" style="534" bestFit="1" customWidth="1"/>
    <col min="4363" max="4363" width="9.5703125" style="534" bestFit="1" customWidth="1"/>
    <col min="4364" max="4364" width="8.28515625" style="534" bestFit="1" customWidth="1"/>
    <col min="4365" max="4365" width="11.5703125" style="534" bestFit="1" customWidth="1"/>
    <col min="4366" max="4366" width="8.28515625" style="534" bestFit="1" customWidth="1"/>
    <col min="4367" max="4367" width="12" style="534" bestFit="1" customWidth="1"/>
    <col min="4368" max="4368" width="9.7109375" style="534" bestFit="1" customWidth="1"/>
    <col min="4369" max="4369" width="11.5703125" style="534" bestFit="1" customWidth="1"/>
    <col min="4370" max="4370" width="6.85546875" style="534" bestFit="1" customWidth="1"/>
    <col min="4371" max="4371" width="11.5703125" style="534" bestFit="1" customWidth="1"/>
    <col min="4372" max="4372" width="6.7109375" style="534" bestFit="1" customWidth="1"/>
    <col min="4373" max="4609" width="9.140625" style="534"/>
    <col min="4610" max="4610" width="68.42578125" style="534" bestFit="1" customWidth="1"/>
    <col min="4611" max="4611" width="11.42578125" style="534" bestFit="1" customWidth="1"/>
    <col min="4612" max="4612" width="7.5703125" style="534" bestFit="1" customWidth="1"/>
    <col min="4613" max="4613" width="8" style="534" bestFit="1" customWidth="1"/>
    <col min="4614" max="4614" width="11.5703125" style="534" bestFit="1" customWidth="1"/>
    <col min="4615" max="4615" width="14.5703125" style="534" bestFit="1" customWidth="1"/>
    <col min="4616" max="4616" width="13.85546875" style="534" bestFit="1" customWidth="1"/>
    <col min="4617" max="4617" width="7.7109375" style="534" bestFit="1" customWidth="1"/>
    <col min="4618" max="4618" width="12" style="534" bestFit="1" customWidth="1"/>
    <col min="4619" max="4619" width="9.5703125" style="534" bestFit="1" customWidth="1"/>
    <col min="4620" max="4620" width="8.28515625" style="534" bestFit="1" customWidth="1"/>
    <col min="4621" max="4621" width="11.5703125" style="534" bestFit="1" customWidth="1"/>
    <col min="4622" max="4622" width="8.28515625" style="534" bestFit="1" customWidth="1"/>
    <col min="4623" max="4623" width="12" style="534" bestFit="1" customWidth="1"/>
    <col min="4624" max="4624" width="9.7109375" style="534" bestFit="1" customWidth="1"/>
    <col min="4625" max="4625" width="11.5703125" style="534" bestFit="1" customWidth="1"/>
    <col min="4626" max="4626" width="6.85546875" style="534" bestFit="1" customWidth="1"/>
    <col min="4627" max="4627" width="11.5703125" style="534" bestFit="1" customWidth="1"/>
    <col min="4628" max="4628" width="6.7109375" style="534" bestFit="1" customWidth="1"/>
    <col min="4629" max="4865" width="9.140625" style="534"/>
    <col min="4866" max="4866" width="68.42578125" style="534" bestFit="1" customWidth="1"/>
    <col min="4867" max="4867" width="11.42578125" style="534" bestFit="1" customWidth="1"/>
    <col min="4868" max="4868" width="7.5703125" style="534" bestFit="1" customWidth="1"/>
    <col min="4869" max="4869" width="8" style="534" bestFit="1" customWidth="1"/>
    <col min="4870" max="4870" width="11.5703125" style="534" bestFit="1" customWidth="1"/>
    <col min="4871" max="4871" width="14.5703125" style="534" bestFit="1" customWidth="1"/>
    <col min="4872" max="4872" width="13.85546875" style="534" bestFit="1" customWidth="1"/>
    <col min="4873" max="4873" width="7.7109375" style="534" bestFit="1" customWidth="1"/>
    <col min="4874" max="4874" width="12" style="534" bestFit="1" customWidth="1"/>
    <col min="4875" max="4875" width="9.5703125" style="534" bestFit="1" customWidth="1"/>
    <col min="4876" max="4876" width="8.28515625" style="534" bestFit="1" customWidth="1"/>
    <col min="4877" max="4877" width="11.5703125" style="534" bestFit="1" customWidth="1"/>
    <col min="4878" max="4878" width="8.28515625" style="534" bestFit="1" customWidth="1"/>
    <col min="4879" max="4879" width="12" style="534" bestFit="1" customWidth="1"/>
    <col min="4880" max="4880" width="9.7109375" style="534" bestFit="1" customWidth="1"/>
    <col min="4881" max="4881" width="11.5703125" style="534" bestFit="1" customWidth="1"/>
    <col min="4882" max="4882" width="6.85546875" style="534" bestFit="1" customWidth="1"/>
    <col min="4883" max="4883" width="11.5703125" style="534" bestFit="1" customWidth="1"/>
    <col min="4884" max="4884" width="6.7109375" style="534" bestFit="1" customWidth="1"/>
    <col min="4885" max="5121" width="9.140625" style="534"/>
    <col min="5122" max="5122" width="68.42578125" style="534" bestFit="1" customWidth="1"/>
    <col min="5123" max="5123" width="11.42578125" style="534" bestFit="1" customWidth="1"/>
    <col min="5124" max="5124" width="7.5703125" style="534" bestFit="1" customWidth="1"/>
    <col min="5125" max="5125" width="8" style="534" bestFit="1" customWidth="1"/>
    <col min="5126" max="5126" width="11.5703125" style="534" bestFit="1" customWidth="1"/>
    <col min="5127" max="5127" width="14.5703125" style="534" bestFit="1" customWidth="1"/>
    <col min="5128" max="5128" width="13.85546875" style="534" bestFit="1" customWidth="1"/>
    <col min="5129" max="5129" width="7.7109375" style="534" bestFit="1" customWidth="1"/>
    <col min="5130" max="5130" width="12" style="534" bestFit="1" customWidth="1"/>
    <col min="5131" max="5131" width="9.5703125" style="534" bestFit="1" customWidth="1"/>
    <col min="5132" max="5132" width="8.28515625" style="534" bestFit="1" customWidth="1"/>
    <col min="5133" max="5133" width="11.5703125" style="534" bestFit="1" customWidth="1"/>
    <col min="5134" max="5134" width="8.28515625" style="534" bestFit="1" customWidth="1"/>
    <col min="5135" max="5135" width="12" style="534" bestFit="1" customWidth="1"/>
    <col min="5136" max="5136" width="9.7109375" style="534" bestFit="1" customWidth="1"/>
    <col min="5137" max="5137" width="11.5703125" style="534" bestFit="1" customWidth="1"/>
    <col min="5138" max="5138" width="6.85546875" style="534" bestFit="1" customWidth="1"/>
    <col min="5139" max="5139" width="11.5703125" style="534" bestFit="1" customWidth="1"/>
    <col min="5140" max="5140" width="6.7109375" style="534" bestFit="1" customWidth="1"/>
    <col min="5141" max="5377" width="9.140625" style="534"/>
    <col min="5378" max="5378" width="68.42578125" style="534" bestFit="1" customWidth="1"/>
    <col min="5379" max="5379" width="11.42578125" style="534" bestFit="1" customWidth="1"/>
    <col min="5380" max="5380" width="7.5703125" style="534" bestFit="1" customWidth="1"/>
    <col min="5381" max="5381" width="8" style="534" bestFit="1" customWidth="1"/>
    <col min="5382" max="5382" width="11.5703125" style="534" bestFit="1" customWidth="1"/>
    <col min="5383" max="5383" width="14.5703125" style="534" bestFit="1" customWidth="1"/>
    <col min="5384" max="5384" width="13.85546875" style="534" bestFit="1" customWidth="1"/>
    <col min="5385" max="5385" width="7.7109375" style="534" bestFit="1" customWidth="1"/>
    <col min="5386" max="5386" width="12" style="534" bestFit="1" customWidth="1"/>
    <col min="5387" max="5387" width="9.5703125" style="534" bestFit="1" customWidth="1"/>
    <col min="5388" max="5388" width="8.28515625" style="534" bestFit="1" customWidth="1"/>
    <col min="5389" max="5389" width="11.5703125" style="534" bestFit="1" customWidth="1"/>
    <col min="5390" max="5390" width="8.28515625" style="534" bestFit="1" customWidth="1"/>
    <col min="5391" max="5391" width="12" style="534" bestFit="1" customWidth="1"/>
    <col min="5392" max="5392" width="9.7109375" style="534" bestFit="1" customWidth="1"/>
    <col min="5393" max="5393" width="11.5703125" style="534" bestFit="1" customWidth="1"/>
    <col min="5394" max="5394" width="6.85546875" style="534" bestFit="1" customWidth="1"/>
    <col min="5395" max="5395" width="11.5703125" style="534" bestFit="1" customWidth="1"/>
    <col min="5396" max="5396" width="6.7109375" style="534" bestFit="1" customWidth="1"/>
    <col min="5397" max="5633" width="9.140625" style="534"/>
    <col min="5634" max="5634" width="68.42578125" style="534" bestFit="1" customWidth="1"/>
    <col min="5635" max="5635" width="11.42578125" style="534" bestFit="1" customWidth="1"/>
    <col min="5636" max="5636" width="7.5703125" style="534" bestFit="1" customWidth="1"/>
    <col min="5637" max="5637" width="8" style="534" bestFit="1" customWidth="1"/>
    <col min="5638" max="5638" width="11.5703125" style="534" bestFit="1" customWidth="1"/>
    <col min="5639" max="5639" width="14.5703125" style="534" bestFit="1" customWidth="1"/>
    <col min="5640" max="5640" width="13.85546875" style="534" bestFit="1" customWidth="1"/>
    <col min="5641" max="5641" width="7.7109375" style="534" bestFit="1" customWidth="1"/>
    <col min="5642" max="5642" width="12" style="534" bestFit="1" customWidth="1"/>
    <col min="5643" max="5643" width="9.5703125" style="534" bestFit="1" customWidth="1"/>
    <col min="5644" max="5644" width="8.28515625" style="534" bestFit="1" customWidth="1"/>
    <col min="5645" max="5645" width="11.5703125" style="534" bestFit="1" customWidth="1"/>
    <col min="5646" max="5646" width="8.28515625" style="534" bestFit="1" customWidth="1"/>
    <col min="5647" max="5647" width="12" style="534" bestFit="1" customWidth="1"/>
    <col min="5648" max="5648" width="9.7109375" style="534" bestFit="1" customWidth="1"/>
    <col min="5649" max="5649" width="11.5703125" style="534" bestFit="1" customWidth="1"/>
    <col min="5650" max="5650" width="6.85546875" style="534" bestFit="1" customWidth="1"/>
    <col min="5651" max="5651" width="11.5703125" style="534" bestFit="1" customWidth="1"/>
    <col min="5652" max="5652" width="6.7109375" style="534" bestFit="1" customWidth="1"/>
    <col min="5653" max="5889" width="9.140625" style="534"/>
    <col min="5890" max="5890" width="68.42578125" style="534" bestFit="1" customWidth="1"/>
    <col min="5891" max="5891" width="11.42578125" style="534" bestFit="1" customWidth="1"/>
    <col min="5892" max="5892" width="7.5703125" style="534" bestFit="1" customWidth="1"/>
    <col min="5893" max="5893" width="8" style="534" bestFit="1" customWidth="1"/>
    <col min="5894" max="5894" width="11.5703125" style="534" bestFit="1" customWidth="1"/>
    <col min="5895" max="5895" width="14.5703125" style="534" bestFit="1" customWidth="1"/>
    <col min="5896" max="5896" width="13.85546875" style="534" bestFit="1" customWidth="1"/>
    <col min="5897" max="5897" width="7.7109375" style="534" bestFit="1" customWidth="1"/>
    <col min="5898" max="5898" width="12" style="534" bestFit="1" customWidth="1"/>
    <col min="5899" max="5899" width="9.5703125" style="534" bestFit="1" customWidth="1"/>
    <col min="5900" max="5900" width="8.28515625" style="534" bestFit="1" customWidth="1"/>
    <col min="5901" max="5901" width="11.5703125" style="534" bestFit="1" customWidth="1"/>
    <col min="5902" max="5902" width="8.28515625" style="534" bestFit="1" customWidth="1"/>
    <col min="5903" max="5903" width="12" style="534" bestFit="1" customWidth="1"/>
    <col min="5904" max="5904" width="9.7109375" style="534" bestFit="1" customWidth="1"/>
    <col min="5905" max="5905" width="11.5703125" style="534" bestFit="1" customWidth="1"/>
    <col min="5906" max="5906" width="6.85546875" style="534" bestFit="1" customWidth="1"/>
    <col min="5907" max="5907" width="11.5703125" style="534" bestFit="1" customWidth="1"/>
    <col min="5908" max="5908" width="6.7109375" style="534" bestFit="1" customWidth="1"/>
    <col min="5909" max="6145" width="9.140625" style="534"/>
    <col min="6146" max="6146" width="68.42578125" style="534" bestFit="1" customWidth="1"/>
    <col min="6147" max="6147" width="11.42578125" style="534" bestFit="1" customWidth="1"/>
    <col min="6148" max="6148" width="7.5703125" style="534" bestFit="1" customWidth="1"/>
    <col min="6149" max="6149" width="8" style="534" bestFit="1" customWidth="1"/>
    <col min="6150" max="6150" width="11.5703125" style="534" bestFit="1" customWidth="1"/>
    <col min="6151" max="6151" width="14.5703125" style="534" bestFit="1" customWidth="1"/>
    <col min="6152" max="6152" width="13.85546875" style="534" bestFit="1" customWidth="1"/>
    <col min="6153" max="6153" width="7.7109375" style="534" bestFit="1" customWidth="1"/>
    <col min="6154" max="6154" width="12" style="534" bestFit="1" customWidth="1"/>
    <col min="6155" max="6155" width="9.5703125" style="534" bestFit="1" customWidth="1"/>
    <col min="6156" max="6156" width="8.28515625" style="534" bestFit="1" customWidth="1"/>
    <col min="6157" max="6157" width="11.5703125" style="534" bestFit="1" customWidth="1"/>
    <col min="6158" max="6158" width="8.28515625" style="534" bestFit="1" customWidth="1"/>
    <col min="6159" max="6159" width="12" style="534" bestFit="1" customWidth="1"/>
    <col min="6160" max="6160" width="9.7109375" style="534" bestFit="1" customWidth="1"/>
    <col min="6161" max="6161" width="11.5703125" style="534" bestFit="1" customWidth="1"/>
    <col min="6162" max="6162" width="6.85546875" style="534" bestFit="1" customWidth="1"/>
    <col min="6163" max="6163" width="11.5703125" style="534" bestFit="1" customWidth="1"/>
    <col min="6164" max="6164" width="6.7109375" style="534" bestFit="1" customWidth="1"/>
    <col min="6165" max="6401" width="9.140625" style="534"/>
    <col min="6402" max="6402" width="68.42578125" style="534" bestFit="1" customWidth="1"/>
    <col min="6403" max="6403" width="11.42578125" style="534" bestFit="1" customWidth="1"/>
    <col min="6404" max="6404" width="7.5703125" style="534" bestFit="1" customWidth="1"/>
    <col min="6405" max="6405" width="8" style="534" bestFit="1" customWidth="1"/>
    <col min="6406" max="6406" width="11.5703125" style="534" bestFit="1" customWidth="1"/>
    <col min="6407" max="6407" width="14.5703125" style="534" bestFit="1" customWidth="1"/>
    <col min="6408" max="6408" width="13.85546875" style="534" bestFit="1" customWidth="1"/>
    <col min="6409" max="6409" width="7.7109375" style="534" bestFit="1" customWidth="1"/>
    <col min="6410" max="6410" width="12" style="534" bestFit="1" customWidth="1"/>
    <col min="6411" max="6411" width="9.5703125" style="534" bestFit="1" customWidth="1"/>
    <col min="6412" max="6412" width="8.28515625" style="534" bestFit="1" customWidth="1"/>
    <col min="6413" max="6413" width="11.5703125" style="534" bestFit="1" customWidth="1"/>
    <col min="6414" max="6414" width="8.28515625" style="534" bestFit="1" customWidth="1"/>
    <col min="6415" max="6415" width="12" style="534" bestFit="1" customWidth="1"/>
    <col min="6416" max="6416" width="9.7109375" style="534" bestFit="1" customWidth="1"/>
    <col min="6417" max="6417" width="11.5703125" style="534" bestFit="1" customWidth="1"/>
    <col min="6418" max="6418" width="6.85546875" style="534" bestFit="1" customWidth="1"/>
    <col min="6419" max="6419" width="11.5703125" style="534" bestFit="1" customWidth="1"/>
    <col min="6420" max="6420" width="6.7109375" style="534" bestFit="1" customWidth="1"/>
    <col min="6421" max="6657" width="9.140625" style="534"/>
    <col min="6658" max="6658" width="68.42578125" style="534" bestFit="1" customWidth="1"/>
    <col min="6659" max="6659" width="11.42578125" style="534" bestFit="1" customWidth="1"/>
    <col min="6660" max="6660" width="7.5703125" style="534" bestFit="1" customWidth="1"/>
    <col min="6661" max="6661" width="8" style="534" bestFit="1" customWidth="1"/>
    <col min="6662" max="6662" width="11.5703125" style="534" bestFit="1" customWidth="1"/>
    <col min="6663" max="6663" width="14.5703125" style="534" bestFit="1" customWidth="1"/>
    <col min="6664" max="6664" width="13.85546875" style="534" bestFit="1" customWidth="1"/>
    <col min="6665" max="6665" width="7.7109375" style="534" bestFit="1" customWidth="1"/>
    <col min="6666" max="6666" width="12" style="534" bestFit="1" customWidth="1"/>
    <col min="6667" max="6667" width="9.5703125" style="534" bestFit="1" customWidth="1"/>
    <col min="6668" max="6668" width="8.28515625" style="534" bestFit="1" customWidth="1"/>
    <col min="6669" max="6669" width="11.5703125" style="534" bestFit="1" customWidth="1"/>
    <col min="6670" max="6670" width="8.28515625" style="534" bestFit="1" customWidth="1"/>
    <col min="6671" max="6671" width="12" style="534" bestFit="1" customWidth="1"/>
    <col min="6672" max="6672" width="9.7109375" style="534" bestFit="1" customWidth="1"/>
    <col min="6673" max="6673" width="11.5703125" style="534" bestFit="1" customWidth="1"/>
    <col min="6674" max="6674" width="6.85546875" style="534" bestFit="1" customWidth="1"/>
    <col min="6675" max="6675" width="11.5703125" style="534" bestFit="1" customWidth="1"/>
    <col min="6676" max="6676" width="6.7109375" style="534" bestFit="1" customWidth="1"/>
    <col min="6677" max="6913" width="9.140625" style="534"/>
    <col min="6914" max="6914" width="68.42578125" style="534" bestFit="1" customWidth="1"/>
    <col min="6915" max="6915" width="11.42578125" style="534" bestFit="1" customWidth="1"/>
    <col min="6916" max="6916" width="7.5703125" style="534" bestFit="1" customWidth="1"/>
    <col min="6917" max="6917" width="8" style="534" bestFit="1" customWidth="1"/>
    <col min="6918" max="6918" width="11.5703125" style="534" bestFit="1" customWidth="1"/>
    <col min="6919" max="6919" width="14.5703125" style="534" bestFit="1" customWidth="1"/>
    <col min="6920" max="6920" width="13.85546875" style="534" bestFit="1" customWidth="1"/>
    <col min="6921" max="6921" width="7.7109375" style="534" bestFit="1" customWidth="1"/>
    <col min="6922" max="6922" width="12" style="534" bestFit="1" customWidth="1"/>
    <col min="6923" max="6923" width="9.5703125" style="534" bestFit="1" customWidth="1"/>
    <col min="6924" max="6924" width="8.28515625" style="534" bestFit="1" customWidth="1"/>
    <col min="6925" max="6925" width="11.5703125" style="534" bestFit="1" customWidth="1"/>
    <col min="6926" max="6926" width="8.28515625" style="534" bestFit="1" customWidth="1"/>
    <col min="6927" max="6927" width="12" style="534" bestFit="1" customWidth="1"/>
    <col min="6928" max="6928" width="9.7109375" style="534" bestFit="1" customWidth="1"/>
    <col min="6929" max="6929" width="11.5703125" style="534" bestFit="1" customWidth="1"/>
    <col min="6930" max="6930" width="6.85546875" style="534" bestFit="1" customWidth="1"/>
    <col min="6931" max="6931" width="11.5703125" style="534" bestFit="1" customWidth="1"/>
    <col min="6932" max="6932" width="6.7109375" style="534" bestFit="1" customWidth="1"/>
    <col min="6933" max="7169" width="9.140625" style="534"/>
    <col min="7170" max="7170" width="68.42578125" style="534" bestFit="1" customWidth="1"/>
    <col min="7171" max="7171" width="11.42578125" style="534" bestFit="1" customWidth="1"/>
    <col min="7172" max="7172" width="7.5703125" style="534" bestFit="1" customWidth="1"/>
    <col min="7173" max="7173" width="8" style="534" bestFit="1" customWidth="1"/>
    <col min="7174" max="7174" width="11.5703125" style="534" bestFit="1" customWidth="1"/>
    <col min="7175" max="7175" width="14.5703125" style="534" bestFit="1" customWidth="1"/>
    <col min="7176" max="7176" width="13.85546875" style="534" bestFit="1" customWidth="1"/>
    <col min="7177" max="7177" width="7.7109375" style="534" bestFit="1" customWidth="1"/>
    <col min="7178" max="7178" width="12" style="534" bestFit="1" customWidth="1"/>
    <col min="7179" max="7179" width="9.5703125" style="534" bestFit="1" customWidth="1"/>
    <col min="7180" max="7180" width="8.28515625" style="534" bestFit="1" customWidth="1"/>
    <col min="7181" max="7181" width="11.5703125" style="534" bestFit="1" customWidth="1"/>
    <col min="7182" max="7182" width="8.28515625" style="534" bestFit="1" customWidth="1"/>
    <col min="7183" max="7183" width="12" style="534" bestFit="1" customWidth="1"/>
    <col min="7184" max="7184" width="9.7109375" style="534" bestFit="1" customWidth="1"/>
    <col min="7185" max="7185" width="11.5703125" style="534" bestFit="1" customWidth="1"/>
    <col min="7186" max="7186" width="6.85546875" style="534" bestFit="1" customWidth="1"/>
    <col min="7187" max="7187" width="11.5703125" style="534" bestFit="1" customWidth="1"/>
    <col min="7188" max="7188" width="6.7109375" style="534" bestFit="1" customWidth="1"/>
    <col min="7189" max="7425" width="9.140625" style="534"/>
    <col min="7426" max="7426" width="68.42578125" style="534" bestFit="1" customWidth="1"/>
    <col min="7427" max="7427" width="11.42578125" style="534" bestFit="1" customWidth="1"/>
    <col min="7428" max="7428" width="7.5703125" style="534" bestFit="1" customWidth="1"/>
    <col min="7429" max="7429" width="8" style="534" bestFit="1" customWidth="1"/>
    <col min="7430" max="7430" width="11.5703125" style="534" bestFit="1" customWidth="1"/>
    <col min="7431" max="7431" width="14.5703125" style="534" bestFit="1" customWidth="1"/>
    <col min="7432" max="7432" width="13.85546875" style="534" bestFit="1" customWidth="1"/>
    <col min="7433" max="7433" width="7.7109375" style="534" bestFit="1" customWidth="1"/>
    <col min="7434" max="7434" width="12" style="534" bestFit="1" customWidth="1"/>
    <col min="7435" max="7435" width="9.5703125" style="534" bestFit="1" customWidth="1"/>
    <col min="7436" max="7436" width="8.28515625" style="534" bestFit="1" customWidth="1"/>
    <col min="7437" max="7437" width="11.5703125" style="534" bestFit="1" customWidth="1"/>
    <col min="7438" max="7438" width="8.28515625" style="534" bestFit="1" customWidth="1"/>
    <col min="7439" max="7439" width="12" style="534" bestFit="1" customWidth="1"/>
    <col min="7440" max="7440" width="9.7109375" style="534" bestFit="1" customWidth="1"/>
    <col min="7441" max="7441" width="11.5703125" style="534" bestFit="1" customWidth="1"/>
    <col min="7442" max="7442" width="6.85546875" style="534" bestFit="1" customWidth="1"/>
    <col min="7443" max="7443" width="11.5703125" style="534" bestFit="1" customWidth="1"/>
    <col min="7444" max="7444" width="6.7109375" style="534" bestFit="1" customWidth="1"/>
    <col min="7445" max="7681" width="9.140625" style="534"/>
    <col min="7682" max="7682" width="68.42578125" style="534" bestFit="1" customWidth="1"/>
    <col min="7683" max="7683" width="11.42578125" style="534" bestFit="1" customWidth="1"/>
    <col min="7684" max="7684" width="7.5703125" style="534" bestFit="1" customWidth="1"/>
    <col min="7685" max="7685" width="8" style="534" bestFit="1" customWidth="1"/>
    <col min="7686" max="7686" width="11.5703125" style="534" bestFit="1" customWidth="1"/>
    <col min="7687" max="7687" width="14.5703125" style="534" bestFit="1" customWidth="1"/>
    <col min="7688" max="7688" width="13.85546875" style="534" bestFit="1" customWidth="1"/>
    <col min="7689" max="7689" width="7.7109375" style="534" bestFit="1" customWidth="1"/>
    <col min="7690" max="7690" width="12" style="534" bestFit="1" customWidth="1"/>
    <col min="7691" max="7691" width="9.5703125" style="534" bestFit="1" customWidth="1"/>
    <col min="7692" max="7692" width="8.28515625" style="534" bestFit="1" customWidth="1"/>
    <col min="7693" max="7693" width="11.5703125" style="534" bestFit="1" customWidth="1"/>
    <col min="7694" max="7694" width="8.28515625" style="534" bestFit="1" customWidth="1"/>
    <col min="7695" max="7695" width="12" style="534" bestFit="1" customWidth="1"/>
    <col min="7696" max="7696" width="9.7109375" style="534" bestFit="1" customWidth="1"/>
    <col min="7697" max="7697" width="11.5703125" style="534" bestFit="1" customWidth="1"/>
    <col min="7698" max="7698" width="6.85546875" style="534" bestFit="1" customWidth="1"/>
    <col min="7699" max="7699" width="11.5703125" style="534" bestFit="1" customWidth="1"/>
    <col min="7700" max="7700" width="6.7109375" style="534" bestFit="1" customWidth="1"/>
    <col min="7701" max="7937" width="9.140625" style="534"/>
    <col min="7938" max="7938" width="68.42578125" style="534" bestFit="1" customWidth="1"/>
    <col min="7939" max="7939" width="11.42578125" style="534" bestFit="1" customWidth="1"/>
    <col min="7940" max="7940" width="7.5703125" style="534" bestFit="1" customWidth="1"/>
    <col min="7941" max="7941" width="8" style="534" bestFit="1" customWidth="1"/>
    <col min="7942" max="7942" width="11.5703125" style="534" bestFit="1" customWidth="1"/>
    <col min="7943" max="7943" width="14.5703125" style="534" bestFit="1" customWidth="1"/>
    <col min="7944" max="7944" width="13.85546875" style="534" bestFit="1" customWidth="1"/>
    <col min="7945" max="7945" width="7.7109375" style="534" bestFit="1" customWidth="1"/>
    <col min="7946" max="7946" width="12" style="534" bestFit="1" customWidth="1"/>
    <col min="7947" max="7947" width="9.5703125" style="534" bestFit="1" customWidth="1"/>
    <col min="7948" max="7948" width="8.28515625" style="534" bestFit="1" customWidth="1"/>
    <col min="7949" max="7949" width="11.5703125" style="534" bestFit="1" customWidth="1"/>
    <col min="7950" max="7950" width="8.28515625" style="534" bestFit="1" customWidth="1"/>
    <col min="7951" max="7951" width="12" style="534" bestFit="1" customWidth="1"/>
    <col min="7952" max="7952" width="9.7109375" style="534" bestFit="1" customWidth="1"/>
    <col min="7953" max="7953" width="11.5703125" style="534" bestFit="1" customWidth="1"/>
    <col min="7954" max="7954" width="6.85546875" style="534" bestFit="1" customWidth="1"/>
    <col min="7955" max="7955" width="11.5703125" style="534" bestFit="1" customWidth="1"/>
    <col min="7956" max="7956" width="6.7109375" style="534" bestFit="1" customWidth="1"/>
    <col min="7957" max="8193" width="9.140625" style="534"/>
    <col min="8194" max="8194" width="68.42578125" style="534" bestFit="1" customWidth="1"/>
    <col min="8195" max="8195" width="11.42578125" style="534" bestFit="1" customWidth="1"/>
    <col min="8196" max="8196" width="7.5703125" style="534" bestFit="1" customWidth="1"/>
    <col min="8197" max="8197" width="8" style="534" bestFit="1" customWidth="1"/>
    <col min="8198" max="8198" width="11.5703125" style="534" bestFit="1" customWidth="1"/>
    <col min="8199" max="8199" width="14.5703125" style="534" bestFit="1" customWidth="1"/>
    <col min="8200" max="8200" width="13.85546875" style="534" bestFit="1" customWidth="1"/>
    <col min="8201" max="8201" width="7.7109375" style="534" bestFit="1" customWidth="1"/>
    <col min="8202" max="8202" width="12" style="534" bestFit="1" customWidth="1"/>
    <col min="8203" max="8203" width="9.5703125" style="534" bestFit="1" customWidth="1"/>
    <col min="8204" max="8204" width="8.28515625" style="534" bestFit="1" customWidth="1"/>
    <col min="8205" max="8205" width="11.5703125" style="534" bestFit="1" customWidth="1"/>
    <col min="8206" max="8206" width="8.28515625" style="534" bestFit="1" customWidth="1"/>
    <col min="8207" max="8207" width="12" style="534" bestFit="1" customWidth="1"/>
    <col min="8208" max="8208" width="9.7109375" style="534" bestFit="1" customWidth="1"/>
    <col min="8209" max="8209" width="11.5703125" style="534" bestFit="1" customWidth="1"/>
    <col min="8210" max="8210" width="6.85546875" style="534" bestFit="1" customWidth="1"/>
    <col min="8211" max="8211" width="11.5703125" style="534" bestFit="1" customWidth="1"/>
    <col min="8212" max="8212" width="6.7109375" style="534" bestFit="1" customWidth="1"/>
    <col min="8213" max="8449" width="9.140625" style="534"/>
    <col min="8450" max="8450" width="68.42578125" style="534" bestFit="1" customWidth="1"/>
    <col min="8451" max="8451" width="11.42578125" style="534" bestFit="1" customWidth="1"/>
    <col min="8452" max="8452" width="7.5703125" style="534" bestFit="1" customWidth="1"/>
    <col min="8453" max="8453" width="8" style="534" bestFit="1" customWidth="1"/>
    <col min="8454" max="8454" width="11.5703125" style="534" bestFit="1" customWidth="1"/>
    <col min="8455" max="8455" width="14.5703125" style="534" bestFit="1" customWidth="1"/>
    <col min="8456" max="8456" width="13.85546875" style="534" bestFit="1" customWidth="1"/>
    <col min="8457" max="8457" width="7.7109375" style="534" bestFit="1" customWidth="1"/>
    <col min="8458" max="8458" width="12" style="534" bestFit="1" customWidth="1"/>
    <col min="8459" max="8459" width="9.5703125" style="534" bestFit="1" customWidth="1"/>
    <col min="8460" max="8460" width="8.28515625" style="534" bestFit="1" customWidth="1"/>
    <col min="8461" max="8461" width="11.5703125" style="534" bestFit="1" customWidth="1"/>
    <col min="8462" max="8462" width="8.28515625" style="534" bestFit="1" customWidth="1"/>
    <col min="8463" max="8463" width="12" style="534" bestFit="1" customWidth="1"/>
    <col min="8464" max="8464" width="9.7109375" style="534" bestFit="1" customWidth="1"/>
    <col min="8465" max="8465" width="11.5703125" style="534" bestFit="1" customWidth="1"/>
    <col min="8466" max="8466" width="6.85546875" style="534" bestFit="1" customWidth="1"/>
    <col min="8467" max="8467" width="11.5703125" style="534" bestFit="1" customWidth="1"/>
    <col min="8468" max="8468" width="6.7109375" style="534" bestFit="1" customWidth="1"/>
    <col min="8469" max="8705" width="9.140625" style="534"/>
    <col min="8706" max="8706" width="68.42578125" style="534" bestFit="1" customWidth="1"/>
    <col min="8707" max="8707" width="11.42578125" style="534" bestFit="1" customWidth="1"/>
    <col min="8708" max="8708" width="7.5703125" style="534" bestFit="1" customWidth="1"/>
    <col min="8709" max="8709" width="8" style="534" bestFit="1" customWidth="1"/>
    <col min="8710" max="8710" width="11.5703125" style="534" bestFit="1" customWidth="1"/>
    <col min="8711" max="8711" width="14.5703125" style="534" bestFit="1" customWidth="1"/>
    <col min="8712" max="8712" width="13.85546875" style="534" bestFit="1" customWidth="1"/>
    <col min="8713" max="8713" width="7.7109375" style="534" bestFit="1" customWidth="1"/>
    <col min="8714" max="8714" width="12" style="534" bestFit="1" customWidth="1"/>
    <col min="8715" max="8715" width="9.5703125" style="534" bestFit="1" customWidth="1"/>
    <col min="8716" max="8716" width="8.28515625" style="534" bestFit="1" customWidth="1"/>
    <col min="8717" max="8717" width="11.5703125" style="534" bestFit="1" customWidth="1"/>
    <col min="8718" max="8718" width="8.28515625" style="534" bestFit="1" customWidth="1"/>
    <col min="8719" max="8719" width="12" style="534" bestFit="1" customWidth="1"/>
    <col min="8720" max="8720" width="9.7109375" style="534" bestFit="1" customWidth="1"/>
    <col min="8721" max="8721" width="11.5703125" style="534" bestFit="1" customWidth="1"/>
    <col min="8722" max="8722" width="6.85546875" style="534" bestFit="1" customWidth="1"/>
    <col min="8723" max="8723" width="11.5703125" style="534" bestFit="1" customWidth="1"/>
    <col min="8724" max="8724" width="6.7109375" style="534" bestFit="1" customWidth="1"/>
    <col min="8725" max="8961" width="9.140625" style="534"/>
    <col min="8962" max="8962" width="68.42578125" style="534" bestFit="1" customWidth="1"/>
    <col min="8963" max="8963" width="11.42578125" style="534" bestFit="1" customWidth="1"/>
    <col min="8964" max="8964" width="7.5703125" style="534" bestFit="1" customWidth="1"/>
    <col min="8965" max="8965" width="8" style="534" bestFit="1" customWidth="1"/>
    <col min="8966" max="8966" width="11.5703125" style="534" bestFit="1" customWidth="1"/>
    <col min="8967" max="8967" width="14.5703125" style="534" bestFit="1" customWidth="1"/>
    <col min="8968" max="8968" width="13.85546875" style="534" bestFit="1" customWidth="1"/>
    <col min="8969" max="8969" width="7.7109375" style="534" bestFit="1" customWidth="1"/>
    <col min="8970" max="8970" width="12" style="534" bestFit="1" customWidth="1"/>
    <col min="8971" max="8971" width="9.5703125" style="534" bestFit="1" customWidth="1"/>
    <col min="8972" max="8972" width="8.28515625" style="534" bestFit="1" customWidth="1"/>
    <col min="8973" max="8973" width="11.5703125" style="534" bestFit="1" customWidth="1"/>
    <col min="8974" max="8974" width="8.28515625" style="534" bestFit="1" customWidth="1"/>
    <col min="8975" max="8975" width="12" style="534" bestFit="1" customWidth="1"/>
    <col min="8976" max="8976" width="9.7109375" style="534" bestFit="1" customWidth="1"/>
    <col min="8977" max="8977" width="11.5703125" style="534" bestFit="1" customWidth="1"/>
    <col min="8978" max="8978" width="6.85546875" style="534" bestFit="1" customWidth="1"/>
    <col min="8979" max="8979" width="11.5703125" style="534" bestFit="1" customWidth="1"/>
    <col min="8980" max="8980" width="6.7109375" style="534" bestFit="1" customWidth="1"/>
    <col min="8981" max="9217" width="9.140625" style="534"/>
    <col min="9218" max="9218" width="68.42578125" style="534" bestFit="1" customWidth="1"/>
    <col min="9219" max="9219" width="11.42578125" style="534" bestFit="1" customWidth="1"/>
    <col min="9220" max="9220" width="7.5703125" style="534" bestFit="1" customWidth="1"/>
    <col min="9221" max="9221" width="8" style="534" bestFit="1" customWidth="1"/>
    <col min="9222" max="9222" width="11.5703125" style="534" bestFit="1" customWidth="1"/>
    <col min="9223" max="9223" width="14.5703125" style="534" bestFit="1" customWidth="1"/>
    <col min="9224" max="9224" width="13.85546875" style="534" bestFit="1" customWidth="1"/>
    <col min="9225" max="9225" width="7.7109375" style="534" bestFit="1" customWidth="1"/>
    <col min="9226" max="9226" width="12" style="534" bestFit="1" customWidth="1"/>
    <col min="9227" max="9227" width="9.5703125" style="534" bestFit="1" customWidth="1"/>
    <col min="9228" max="9228" width="8.28515625" style="534" bestFit="1" customWidth="1"/>
    <col min="9229" max="9229" width="11.5703125" style="534" bestFit="1" customWidth="1"/>
    <col min="9230" max="9230" width="8.28515625" style="534" bestFit="1" customWidth="1"/>
    <col min="9231" max="9231" width="12" style="534" bestFit="1" customWidth="1"/>
    <col min="9232" max="9232" width="9.7109375" style="534" bestFit="1" customWidth="1"/>
    <col min="9233" max="9233" width="11.5703125" style="534" bestFit="1" customWidth="1"/>
    <col min="9234" max="9234" width="6.85546875" style="534" bestFit="1" customWidth="1"/>
    <col min="9235" max="9235" width="11.5703125" style="534" bestFit="1" customWidth="1"/>
    <col min="9236" max="9236" width="6.7109375" style="534" bestFit="1" customWidth="1"/>
    <col min="9237" max="9473" width="9.140625" style="534"/>
    <col min="9474" max="9474" width="68.42578125" style="534" bestFit="1" customWidth="1"/>
    <col min="9475" max="9475" width="11.42578125" style="534" bestFit="1" customWidth="1"/>
    <col min="9476" max="9476" width="7.5703125" style="534" bestFit="1" customWidth="1"/>
    <col min="9477" max="9477" width="8" style="534" bestFit="1" customWidth="1"/>
    <col min="9478" max="9478" width="11.5703125" style="534" bestFit="1" customWidth="1"/>
    <col min="9479" max="9479" width="14.5703125" style="534" bestFit="1" customWidth="1"/>
    <col min="9480" max="9480" width="13.85546875" style="534" bestFit="1" customWidth="1"/>
    <col min="9481" max="9481" width="7.7109375" style="534" bestFit="1" customWidth="1"/>
    <col min="9482" max="9482" width="12" style="534" bestFit="1" customWidth="1"/>
    <col min="9483" max="9483" width="9.5703125" style="534" bestFit="1" customWidth="1"/>
    <col min="9484" max="9484" width="8.28515625" style="534" bestFit="1" customWidth="1"/>
    <col min="9485" max="9485" width="11.5703125" style="534" bestFit="1" customWidth="1"/>
    <col min="9486" max="9486" width="8.28515625" style="534" bestFit="1" customWidth="1"/>
    <col min="9487" max="9487" width="12" style="534" bestFit="1" customWidth="1"/>
    <col min="9488" max="9488" width="9.7109375" style="534" bestFit="1" customWidth="1"/>
    <col min="9489" max="9489" width="11.5703125" style="534" bestFit="1" customWidth="1"/>
    <col min="9490" max="9490" width="6.85546875" style="534" bestFit="1" customWidth="1"/>
    <col min="9491" max="9491" width="11.5703125" style="534" bestFit="1" customWidth="1"/>
    <col min="9492" max="9492" width="6.7109375" style="534" bestFit="1" customWidth="1"/>
    <col min="9493" max="9729" width="9.140625" style="534"/>
    <col min="9730" max="9730" width="68.42578125" style="534" bestFit="1" customWidth="1"/>
    <col min="9731" max="9731" width="11.42578125" style="534" bestFit="1" customWidth="1"/>
    <col min="9732" max="9732" width="7.5703125" style="534" bestFit="1" customWidth="1"/>
    <col min="9733" max="9733" width="8" style="534" bestFit="1" customWidth="1"/>
    <col min="9734" max="9734" width="11.5703125" style="534" bestFit="1" customWidth="1"/>
    <col min="9735" max="9735" width="14.5703125" style="534" bestFit="1" customWidth="1"/>
    <col min="9736" max="9736" width="13.85546875" style="534" bestFit="1" customWidth="1"/>
    <col min="9737" max="9737" width="7.7109375" style="534" bestFit="1" customWidth="1"/>
    <col min="9738" max="9738" width="12" style="534" bestFit="1" customWidth="1"/>
    <col min="9739" max="9739" width="9.5703125" style="534" bestFit="1" customWidth="1"/>
    <col min="9740" max="9740" width="8.28515625" style="534" bestFit="1" customWidth="1"/>
    <col min="9741" max="9741" width="11.5703125" style="534" bestFit="1" customWidth="1"/>
    <col min="9742" max="9742" width="8.28515625" style="534" bestFit="1" customWidth="1"/>
    <col min="9743" max="9743" width="12" style="534" bestFit="1" customWidth="1"/>
    <col min="9744" max="9744" width="9.7109375" style="534" bestFit="1" customWidth="1"/>
    <col min="9745" max="9745" width="11.5703125" style="534" bestFit="1" customWidth="1"/>
    <col min="9746" max="9746" width="6.85546875" style="534" bestFit="1" customWidth="1"/>
    <col min="9747" max="9747" width="11.5703125" style="534" bestFit="1" customWidth="1"/>
    <col min="9748" max="9748" width="6.7109375" style="534" bestFit="1" customWidth="1"/>
    <col min="9749" max="9985" width="9.140625" style="534"/>
    <col min="9986" max="9986" width="68.42578125" style="534" bestFit="1" customWidth="1"/>
    <col min="9987" max="9987" width="11.42578125" style="534" bestFit="1" customWidth="1"/>
    <col min="9988" max="9988" width="7.5703125" style="534" bestFit="1" customWidth="1"/>
    <col min="9989" max="9989" width="8" style="534" bestFit="1" customWidth="1"/>
    <col min="9990" max="9990" width="11.5703125" style="534" bestFit="1" customWidth="1"/>
    <col min="9991" max="9991" width="14.5703125" style="534" bestFit="1" customWidth="1"/>
    <col min="9992" max="9992" width="13.85546875" style="534" bestFit="1" customWidth="1"/>
    <col min="9993" max="9993" width="7.7109375" style="534" bestFit="1" customWidth="1"/>
    <col min="9994" max="9994" width="12" style="534" bestFit="1" customWidth="1"/>
    <col min="9995" max="9995" width="9.5703125" style="534" bestFit="1" customWidth="1"/>
    <col min="9996" max="9996" width="8.28515625" style="534" bestFit="1" customWidth="1"/>
    <col min="9997" max="9997" width="11.5703125" style="534" bestFit="1" customWidth="1"/>
    <col min="9998" max="9998" width="8.28515625" style="534" bestFit="1" customWidth="1"/>
    <col min="9999" max="9999" width="12" style="534" bestFit="1" customWidth="1"/>
    <col min="10000" max="10000" width="9.7109375" style="534" bestFit="1" customWidth="1"/>
    <col min="10001" max="10001" width="11.5703125" style="534" bestFit="1" customWidth="1"/>
    <col min="10002" max="10002" width="6.85546875" style="534" bestFit="1" customWidth="1"/>
    <col min="10003" max="10003" width="11.5703125" style="534" bestFit="1" customWidth="1"/>
    <col min="10004" max="10004" width="6.7109375" style="534" bestFit="1" customWidth="1"/>
    <col min="10005" max="10241" width="9.140625" style="534"/>
    <col min="10242" max="10242" width="68.42578125" style="534" bestFit="1" customWidth="1"/>
    <col min="10243" max="10243" width="11.42578125" style="534" bestFit="1" customWidth="1"/>
    <col min="10244" max="10244" width="7.5703125" style="534" bestFit="1" customWidth="1"/>
    <col min="10245" max="10245" width="8" style="534" bestFit="1" customWidth="1"/>
    <col min="10246" max="10246" width="11.5703125" style="534" bestFit="1" customWidth="1"/>
    <col min="10247" max="10247" width="14.5703125" style="534" bestFit="1" customWidth="1"/>
    <col min="10248" max="10248" width="13.85546875" style="534" bestFit="1" customWidth="1"/>
    <col min="10249" max="10249" width="7.7109375" style="534" bestFit="1" customWidth="1"/>
    <col min="10250" max="10250" width="12" style="534" bestFit="1" customWidth="1"/>
    <col min="10251" max="10251" width="9.5703125" style="534" bestFit="1" customWidth="1"/>
    <col min="10252" max="10252" width="8.28515625" style="534" bestFit="1" customWidth="1"/>
    <col min="10253" max="10253" width="11.5703125" style="534" bestFit="1" customWidth="1"/>
    <col min="10254" max="10254" width="8.28515625" style="534" bestFit="1" customWidth="1"/>
    <col min="10255" max="10255" width="12" style="534" bestFit="1" customWidth="1"/>
    <col min="10256" max="10256" width="9.7109375" style="534" bestFit="1" customWidth="1"/>
    <col min="10257" max="10257" width="11.5703125" style="534" bestFit="1" customWidth="1"/>
    <col min="10258" max="10258" width="6.85546875" style="534" bestFit="1" customWidth="1"/>
    <col min="10259" max="10259" width="11.5703125" style="534" bestFit="1" customWidth="1"/>
    <col min="10260" max="10260" width="6.7109375" style="534" bestFit="1" customWidth="1"/>
    <col min="10261" max="10497" width="9.140625" style="534"/>
    <col min="10498" max="10498" width="68.42578125" style="534" bestFit="1" customWidth="1"/>
    <col min="10499" max="10499" width="11.42578125" style="534" bestFit="1" customWidth="1"/>
    <col min="10500" max="10500" width="7.5703125" style="534" bestFit="1" customWidth="1"/>
    <col min="10501" max="10501" width="8" style="534" bestFit="1" customWidth="1"/>
    <col min="10502" max="10502" width="11.5703125" style="534" bestFit="1" customWidth="1"/>
    <col min="10503" max="10503" width="14.5703125" style="534" bestFit="1" customWidth="1"/>
    <col min="10504" max="10504" width="13.85546875" style="534" bestFit="1" customWidth="1"/>
    <col min="10505" max="10505" width="7.7109375" style="534" bestFit="1" customWidth="1"/>
    <col min="10506" max="10506" width="12" style="534" bestFit="1" customWidth="1"/>
    <col min="10507" max="10507" width="9.5703125" style="534" bestFit="1" customWidth="1"/>
    <col min="10508" max="10508" width="8.28515625" style="534" bestFit="1" customWidth="1"/>
    <col min="10509" max="10509" width="11.5703125" style="534" bestFit="1" customWidth="1"/>
    <col min="10510" max="10510" width="8.28515625" style="534" bestFit="1" customWidth="1"/>
    <col min="10511" max="10511" width="12" style="534" bestFit="1" customWidth="1"/>
    <col min="10512" max="10512" width="9.7109375" style="534" bestFit="1" customWidth="1"/>
    <col min="10513" max="10513" width="11.5703125" style="534" bestFit="1" customWidth="1"/>
    <col min="10514" max="10514" width="6.85546875" style="534" bestFit="1" customWidth="1"/>
    <col min="10515" max="10515" width="11.5703125" style="534" bestFit="1" customWidth="1"/>
    <col min="10516" max="10516" width="6.7109375" style="534" bestFit="1" customWidth="1"/>
    <col min="10517" max="10753" width="9.140625" style="534"/>
    <col min="10754" max="10754" width="68.42578125" style="534" bestFit="1" customWidth="1"/>
    <col min="10755" max="10755" width="11.42578125" style="534" bestFit="1" customWidth="1"/>
    <col min="10756" max="10756" width="7.5703125" style="534" bestFit="1" customWidth="1"/>
    <col min="10757" max="10757" width="8" style="534" bestFit="1" customWidth="1"/>
    <col min="10758" max="10758" width="11.5703125" style="534" bestFit="1" customWidth="1"/>
    <col min="10759" max="10759" width="14.5703125" style="534" bestFit="1" customWidth="1"/>
    <col min="10760" max="10760" width="13.85546875" style="534" bestFit="1" customWidth="1"/>
    <col min="10761" max="10761" width="7.7109375" style="534" bestFit="1" customWidth="1"/>
    <col min="10762" max="10762" width="12" style="534" bestFit="1" customWidth="1"/>
    <col min="10763" max="10763" width="9.5703125" style="534" bestFit="1" customWidth="1"/>
    <col min="10764" max="10764" width="8.28515625" style="534" bestFit="1" customWidth="1"/>
    <col min="10765" max="10765" width="11.5703125" style="534" bestFit="1" customWidth="1"/>
    <col min="10766" max="10766" width="8.28515625" style="534" bestFit="1" customWidth="1"/>
    <col min="10767" max="10767" width="12" style="534" bestFit="1" customWidth="1"/>
    <col min="10768" max="10768" width="9.7109375" style="534" bestFit="1" customWidth="1"/>
    <col min="10769" max="10769" width="11.5703125" style="534" bestFit="1" customWidth="1"/>
    <col min="10770" max="10770" width="6.85546875" style="534" bestFit="1" customWidth="1"/>
    <col min="10771" max="10771" width="11.5703125" style="534" bestFit="1" customWidth="1"/>
    <col min="10772" max="10772" width="6.7109375" style="534" bestFit="1" customWidth="1"/>
    <col min="10773" max="11009" width="9.140625" style="534"/>
    <col min="11010" max="11010" width="68.42578125" style="534" bestFit="1" customWidth="1"/>
    <col min="11011" max="11011" width="11.42578125" style="534" bestFit="1" customWidth="1"/>
    <col min="11012" max="11012" width="7.5703125" style="534" bestFit="1" customWidth="1"/>
    <col min="11013" max="11013" width="8" style="534" bestFit="1" customWidth="1"/>
    <col min="11014" max="11014" width="11.5703125" style="534" bestFit="1" customWidth="1"/>
    <col min="11015" max="11015" width="14.5703125" style="534" bestFit="1" customWidth="1"/>
    <col min="11016" max="11016" width="13.85546875" style="534" bestFit="1" customWidth="1"/>
    <col min="11017" max="11017" width="7.7109375" style="534" bestFit="1" customWidth="1"/>
    <col min="11018" max="11018" width="12" style="534" bestFit="1" customWidth="1"/>
    <col min="11019" max="11019" width="9.5703125" style="534" bestFit="1" customWidth="1"/>
    <col min="11020" max="11020" width="8.28515625" style="534" bestFit="1" customWidth="1"/>
    <col min="11021" max="11021" width="11.5703125" style="534" bestFit="1" customWidth="1"/>
    <col min="11022" max="11022" width="8.28515625" style="534" bestFit="1" customWidth="1"/>
    <col min="11023" max="11023" width="12" style="534" bestFit="1" customWidth="1"/>
    <col min="11024" max="11024" width="9.7109375" style="534" bestFit="1" customWidth="1"/>
    <col min="11025" max="11025" width="11.5703125" style="534" bestFit="1" customWidth="1"/>
    <col min="11026" max="11026" width="6.85546875" style="534" bestFit="1" customWidth="1"/>
    <col min="11027" max="11027" width="11.5703125" style="534" bestFit="1" customWidth="1"/>
    <col min="11028" max="11028" width="6.7109375" style="534" bestFit="1" customWidth="1"/>
    <col min="11029" max="11265" width="9.140625" style="534"/>
    <col min="11266" max="11266" width="68.42578125" style="534" bestFit="1" customWidth="1"/>
    <col min="11267" max="11267" width="11.42578125" style="534" bestFit="1" customWidth="1"/>
    <col min="11268" max="11268" width="7.5703125" style="534" bestFit="1" customWidth="1"/>
    <col min="11269" max="11269" width="8" style="534" bestFit="1" customWidth="1"/>
    <col min="11270" max="11270" width="11.5703125" style="534" bestFit="1" customWidth="1"/>
    <col min="11271" max="11271" width="14.5703125" style="534" bestFit="1" customWidth="1"/>
    <col min="11272" max="11272" width="13.85546875" style="534" bestFit="1" customWidth="1"/>
    <col min="11273" max="11273" width="7.7109375" style="534" bestFit="1" customWidth="1"/>
    <col min="11274" max="11274" width="12" style="534" bestFit="1" customWidth="1"/>
    <col min="11275" max="11275" width="9.5703125" style="534" bestFit="1" customWidth="1"/>
    <col min="11276" max="11276" width="8.28515625" style="534" bestFit="1" customWidth="1"/>
    <col min="11277" max="11277" width="11.5703125" style="534" bestFit="1" customWidth="1"/>
    <col min="11278" max="11278" width="8.28515625" style="534" bestFit="1" customWidth="1"/>
    <col min="11279" max="11279" width="12" style="534" bestFit="1" customWidth="1"/>
    <col min="11280" max="11280" width="9.7109375" style="534" bestFit="1" customWidth="1"/>
    <col min="11281" max="11281" width="11.5703125" style="534" bestFit="1" customWidth="1"/>
    <col min="11282" max="11282" width="6.85546875" style="534" bestFit="1" customWidth="1"/>
    <col min="11283" max="11283" width="11.5703125" style="534" bestFit="1" customWidth="1"/>
    <col min="11284" max="11284" width="6.7109375" style="534" bestFit="1" customWidth="1"/>
    <col min="11285" max="11521" width="9.140625" style="534"/>
    <col min="11522" max="11522" width="68.42578125" style="534" bestFit="1" customWidth="1"/>
    <col min="11523" max="11523" width="11.42578125" style="534" bestFit="1" customWidth="1"/>
    <col min="11524" max="11524" width="7.5703125" style="534" bestFit="1" customWidth="1"/>
    <col min="11525" max="11525" width="8" style="534" bestFit="1" customWidth="1"/>
    <col min="11526" max="11526" width="11.5703125" style="534" bestFit="1" customWidth="1"/>
    <col min="11527" max="11527" width="14.5703125" style="534" bestFit="1" customWidth="1"/>
    <col min="11528" max="11528" width="13.85546875" style="534" bestFit="1" customWidth="1"/>
    <col min="11529" max="11529" width="7.7109375" style="534" bestFit="1" customWidth="1"/>
    <col min="11530" max="11530" width="12" style="534" bestFit="1" customWidth="1"/>
    <col min="11531" max="11531" width="9.5703125" style="534" bestFit="1" customWidth="1"/>
    <col min="11532" max="11532" width="8.28515625" style="534" bestFit="1" customWidth="1"/>
    <col min="11533" max="11533" width="11.5703125" style="534" bestFit="1" customWidth="1"/>
    <col min="11534" max="11534" width="8.28515625" style="534" bestFit="1" customWidth="1"/>
    <col min="11535" max="11535" width="12" style="534" bestFit="1" customWidth="1"/>
    <col min="11536" max="11536" width="9.7109375" style="534" bestFit="1" customWidth="1"/>
    <col min="11537" max="11537" width="11.5703125" style="534" bestFit="1" customWidth="1"/>
    <col min="11538" max="11538" width="6.85546875" style="534" bestFit="1" customWidth="1"/>
    <col min="11539" max="11539" width="11.5703125" style="534" bestFit="1" customWidth="1"/>
    <col min="11540" max="11540" width="6.7109375" style="534" bestFit="1" customWidth="1"/>
    <col min="11541" max="11777" width="9.140625" style="534"/>
    <col min="11778" max="11778" width="68.42578125" style="534" bestFit="1" customWidth="1"/>
    <col min="11779" max="11779" width="11.42578125" style="534" bestFit="1" customWidth="1"/>
    <col min="11780" max="11780" width="7.5703125" style="534" bestFit="1" customWidth="1"/>
    <col min="11781" max="11781" width="8" style="534" bestFit="1" customWidth="1"/>
    <col min="11782" max="11782" width="11.5703125" style="534" bestFit="1" customWidth="1"/>
    <col min="11783" max="11783" width="14.5703125" style="534" bestFit="1" customWidth="1"/>
    <col min="11784" max="11784" width="13.85546875" style="534" bestFit="1" customWidth="1"/>
    <col min="11785" max="11785" width="7.7109375" style="534" bestFit="1" customWidth="1"/>
    <col min="11786" max="11786" width="12" style="534" bestFit="1" customWidth="1"/>
    <col min="11787" max="11787" width="9.5703125" style="534" bestFit="1" customWidth="1"/>
    <col min="11788" max="11788" width="8.28515625" style="534" bestFit="1" customWidth="1"/>
    <col min="11789" max="11789" width="11.5703125" style="534" bestFit="1" customWidth="1"/>
    <col min="11790" max="11790" width="8.28515625" style="534" bestFit="1" customWidth="1"/>
    <col min="11791" max="11791" width="12" style="534" bestFit="1" customWidth="1"/>
    <col min="11792" max="11792" width="9.7109375" style="534" bestFit="1" customWidth="1"/>
    <col min="11793" max="11793" width="11.5703125" style="534" bestFit="1" customWidth="1"/>
    <col min="11794" max="11794" width="6.85546875" style="534" bestFit="1" customWidth="1"/>
    <col min="11795" max="11795" width="11.5703125" style="534" bestFit="1" customWidth="1"/>
    <col min="11796" max="11796" width="6.7109375" style="534" bestFit="1" customWidth="1"/>
    <col min="11797" max="12033" width="9.140625" style="534"/>
    <col min="12034" max="12034" width="68.42578125" style="534" bestFit="1" customWidth="1"/>
    <col min="12035" max="12035" width="11.42578125" style="534" bestFit="1" customWidth="1"/>
    <col min="12036" max="12036" width="7.5703125" style="534" bestFit="1" customWidth="1"/>
    <col min="12037" max="12037" width="8" style="534" bestFit="1" customWidth="1"/>
    <col min="12038" max="12038" width="11.5703125" style="534" bestFit="1" customWidth="1"/>
    <col min="12039" max="12039" width="14.5703125" style="534" bestFit="1" customWidth="1"/>
    <col min="12040" max="12040" width="13.85546875" style="534" bestFit="1" customWidth="1"/>
    <col min="12041" max="12041" width="7.7109375" style="534" bestFit="1" customWidth="1"/>
    <col min="12042" max="12042" width="12" style="534" bestFit="1" customWidth="1"/>
    <col min="12043" max="12043" width="9.5703125" style="534" bestFit="1" customWidth="1"/>
    <col min="12044" max="12044" width="8.28515625" style="534" bestFit="1" customWidth="1"/>
    <col min="12045" max="12045" width="11.5703125" style="534" bestFit="1" customWidth="1"/>
    <col min="12046" max="12046" width="8.28515625" style="534" bestFit="1" customWidth="1"/>
    <col min="12047" max="12047" width="12" style="534" bestFit="1" customWidth="1"/>
    <col min="12048" max="12048" width="9.7109375" style="534" bestFit="1" customWidth="1"/>
    <col min="12049" max="12049" width="11.5703125" style="534" bestFit="1" customWidth="1"/>
    <col min="12050" max="12050" width="6.85546875" style="534" bestFit="1" customWidth="1"/>
    <col min="12051" max="12051" width="11.5703125" style="534" bestFit="1" customWidth="1"/>
    <col min="12052" max="12052" width="6.7109375" style="534" bestFit="1" customWidth="1"/>
    <col min="12053" max="12289" width="9.140625" style="534"/>
    <col min="12290" max="12290" width="68.42578125" style="534" bestFit="1" customWidth="1"/>
    <col min="12291" max="12291" width="11.42578125" style="534" bestFit="1" customWidth="1"/>
    <col min="12292" max="12292" width="7.5703125" style="534" bestFit="1" customWidth="1"/>
    <col min="12293" max="12293" width="8" style="534" bestFit="1" customWidth="1"/>
    <col min="12294" max="12294" width="11.5703125" style="534" bestFit="1" customWidth="1"/>
    <col min="12295" max="12295" width="14.5703125" style="534" bestFit="1" customWidth="1"/>
    <col min="12296" max="12296" width="13.85546875" style="534" bestFit="1" customWidth="1"/>
    <col min="12297" max="12297" width="7.7109375" style="534" bestFit="1" customWidth="1"/>
    <col min="12298" max="12298" width="12" style="534" bestFit="1" customWidth="1"/>
    <col min="12299" max="12299" width="9.5703125" style="534" bestFit="1" customWidth="1"/>
    <col min="12300" max="12300" width="8.28515625" style="534" bestFit="1" customWidth="1"/>
    <col min="12301" max="12301" width="11.5703125" style="534" bestFit="1" customWidth="1"/>
    <col min="12302" max="12302" width="8.28515625" style="534" bestFit="1" customWidth="1"/>
    <col min="12303" max="12303" width="12" style="534" bestFit="1" customWidth="1"/>
    <col min="12304" max="12304" width="9.7109375" style="534" bestFit="1" customWidth="1"/>
    <col min="12305" max="12305" width="11.5703125" style="534" bestFit="1" customWidth="1"/>
    <col min="12306" max="12306" width="6.85546875" style="534" bestFit="1" customWidth="1"/>
    <col min="12307" max="12307" width="11.5703125" style="534" bestFit="1" customWidth="1"/>
    <col min="12308" max="12308" width="6.7109375" style="534" bestFit="1" customWidth="1"/>
    <col min="12309" max="12545" width="9.140625" style="534"/>
    <col min="12546" max="12546" width="68.42578125" style="534" bestFit="1" customWidth="1"/>
    <col min="12547" max="12547" width="11.42578125" style="534" bestFit="1" customWidth="1"/>
    <col min="12548" max="12548" width="7.5703125" style="534" bestFit="1" customWidth="1"/>
    <col min="12549" max="12549" width="8" style="534" bestFit="1" customWidth="1"/>
    <col min="12550" max="12550" width="11.5703125" style="534" bestFit="1" customWidth="1"/>
    <col min="12551" max="12551" width="14.5703125" style="534" bestFit="1" customWidth="1"/>
    <col min="12552" max="12552" width="13.85546875" style="534" bestFit="1" customWidth="1"/>
    <col min="12553" max="12553" width="7.7109375" style="534" bestFit="1" customWidth="1"/>
    <col min="12554" max="12554" width="12" style="534" bestFit="1" customWidth="1"/>
    <col min="12555" max="12555" width="9.5703125" style="534" bestFit="1" customWidth="1"/>
    <col min="12556" max="12556" width="8.28515625" style="534" bestFit="1" customWidth="1"/>
    <col min="12557" max="12557" width="11.5703125" style="534" bestFit="1" customWidth="1"/>
    <col min="12558" max="12558" width="8.28515625" style="534" bestFit="1" customWidth="1"/>
    <col min="12559" max="12559" width="12" style="534" bestFit="1" customWidth="1"/>
    <col min="12560" max="12560" width="9.7109375" style="534" bestFit="1" customWidth="1"/>
    <col min="12561" max="12561" width="11.5703125" style="534" bestFit="1" customWidth="1"/>
    <col min="12562" max="12562" width="6.85546875" style="534" bestFit="1" customWidth="1"/>
    <col min="12563" max="12563" width="11.5703125" style="534" bestFit="1" customWidth="1"/>
    <col min="12564" max="12564" width="6.7109375" style="534" bestFit="1" customWidth="1"/>
    <col min="12565" max="12801" width="9.140625" style="534"/>
    <col min="12802" max="12802" width="68.42578125" style="534" bestFit="1" customWidth="1"/>
    <col min="12803" max="12803" width="11.42578125" style="534" bestFit="1" customWidth="1"/>
    <col min="12804" max="12804" width="7.5703125" style="534" bestFit="1" customWidth="1"/>
    <col min="12805" max="12805" width="8" style="534" bestFit="1" customWidth="1"/>
    <col min="12806" max="12806" width="11.5703125" style="534" bestFit="1" customWidth="1"/>
    <col min="12807" max="12807" width="14.5703125" style="534" bestFit="1" customWidth="1"/>
    <col min="12808" max="12808" width="13.85546875" style="534" bestFit="1" customWidth="1"/>
    <col min="12809" max="12809" width="7.7109375" style="534" bestFit="1" customWidth="1"/>
    <col min="12810" max="12810" width="12" style="534" bestFit="1" customWidth="1"/>
    <col min="12811" max="12811" width="9.5703125" style="534" bestFit="1" customWidth="1"/>
    <col min="12812" max="12812" width="8.28515625" style="534" bestFit="1" customWidth="1"/>
    <col min="12813" max="12813" width="11.5703125" style="534" bestFit="1" customWidth="1"/>
    <col min="12814" max="12814" width="8.28515625" style="534" bestFit="1" customWidth="1"/>
    <col min="12815" max="12815" width="12" style="534" bestFit="1" customWidth="1"/>
    <col min="12816" max="12816" width="9.7109375" style="534" bestFit="1" customWidth="1"/>
    <col min="12817" max="12817" width="11.5703125" style="534" bestFit="1" customWidth="1"/>
    <col min="12818" max="12818" width="6.85546875" style="534" bestFit="1" customWidth="1"/>
    <col min="12819" max="12819" width="11.5703125" style="534" bestFit="1" customWidth="1"/>
    <col min="12820" max="12820" width="6.7109375" style="534" bestFit="1" customWidth="1"/>
    <col min="12821" max="13057" width="9.140625" style="534"/>
    <col min="13058" max="13058" width="68.42578125" style="534" bestFit="1" customWidth="1"/>
    <col min="13059" max="13059" width="11.42578125" style="534" bestFit="1" customWidth="1"/>
    <col min="13060" max="13060" width="7.5703125" style="534" bestFit="1" customWidth="1"/>
    <col min="13061" max="13061" width="8" style="534" bestFit="1" customWidth="1"/>
    <col min="13062" max="13062" width="11.5703125" style="534" bestFit="1" customWidth="1"/>
    <col min="13063" max="13063" width="14.5703125" style="534" bestFit="1" customWidth="1"/>
    <col min="13064" max="13064" width="13.85546875" style="534" bestFit="1" customWidth="1"/>
    <col min="13065" max="13065" width="7.7109375" style="534" bestFit="1" customWidth="1"/>
    <col min="13066" max="13066" width="12" style="534" bestFit="1" customWidth="1"/>
    <col min="13067" max="13067" width="9.5703125" style="534" bestFit="1" customWidth="1"/>
    <col min="13068" max="13068" width="8.28515625" style="534" bestFit="1" customWidth="1"/>
    <col min="13069" max="13069" width="11.5703125" style="534" bestFit="1" customWidth="1"/>
    <col min="13070" max="13070" width="8.28515625" style="534" bestFit="1" customWidth="1"/>
    <col min="13071" max="13071" width="12" style="534" bestFit="1" customWidth="1"/>
    <col min="13072" max="13072" width="9.7109375" style="534" bestFit="1" customWidth="1"/>
    <col min="13073" max="13073" width="11.5703125" style="534" bestFit="1" customWidth="1"/>
    <col min="13074" max="13074" width="6.85546875" style="534" bestFit="1" customWidth="1"/>
    <col min="13075" max="13075" width="11.5703125" style="534" bestFit="1" customWidth="1"/>
    <col min="13076" max="13076" width="6.7109375" style="534" bestFit="1" customWidth="1"/>
    <col min="13077" max="13313" width="9.140625" style="534"/>
    <col min="13314" max="13314" width="68.42578125" style="534" bestFit="1" customWidth="1"/>
    <col min="13315" max="13315" width="11.42578125" style="534" bestFit="1" customWidth="1"/>
    <col min="13316" max="13316" width="7.5703125" style="534" bestFit="1" customWidth="1"/>
    <col min="13317" max="13317" width="8" style="534" bestFit="1" customWidth="1"/>
    <col min="13318" max="13318" width="11.5703125" style="534" bestFit="1" customWidth="1"/>
    <col min="13319" max="13319" width="14.5703125" style="534" bestFit="1" customWidth="1"/>
    <col min="13320" max="13320" width="13.85546875" style="534" bestFit="1" customWidth="1"/>
    <col min="13321" max="13321" width="7.7109375" style="534" bestFit="1" customWidth="1"/>
    <col min="13322" max="13322" width="12" style="534" bestFit="1" customWidth="1"/>
    <col min="13323" max="13323" width="9.5703125" style="534" bestFit="1" customWidth="1"/>
    <col min="13324" max="13324" width="8.28515625" style="534" bestFit="1" customWidth="1"/>
    <col min="13325" max="13325" width="11.5703125" style="534" bestFit="1" customWidth="1"/>
    <col min="13326" max="13326" width="8.28515625" style="534" bestFit="1" customWidth="1"/>
    <col min="13327" max="13327" width="12" style="534" bestFit="1" customWidth="1"/>
    <col min="13328" max="13328" width="9.7109375" style="534" bestFit="1" customWidth="1"/>
    <col min="13329" max="13329" width="11.5703125" style="534" bestFit="1" customWidth="1"/>
    <col min="13330" max="13330" width="6.85546875" style="534" bestFit="1" customWidth="1"/>
    <col min="13331" max="13331" width="11.5703125" style="534" bestFit="1" customWidth="1"/>
    <col min="13332" max="13332" width="6.7109375" style="534" bestFit="1" customWidth="1"/>
    <col min="13333" max="13569" width="9.140625" style="534"/>
    <col min="13570" max="13570" width="68.42578125" style="534" bestFit="1" customWidth="1"/>
    <col min="13571" max="13571" width="11.42578125" style="534" bestFit="1" customWidth="1"/>
    <col min="13572" max="13572" width="7.5703125" style="534" bestFit="1" customWidth="1"/>
    <col min="13573" max="13573" width="8" style="534" bestFit="1" customWidth="1"/>
    <col min="13574" max="13574" width="11.5703125" style="534" bestFit="1" customWidth="1"/>
    <col min="13575" max="13575" width="14.5703125" style="534" bestFit="1" customWidth="1"/>
    <col min="13576" max="13576" width="13.85546875" style="534" bestFit="1" customWidth="1"/>
    <col min="13577" max="13577" width="7.7109375" style="534" bestFit="1" customWidth="1"/>
    <col min="13578" max="13578" width="12" style="534" bestFit="1" customWidth="1"/>
    <col min="13579" max="13579" width="9.5703125" style="534" bestFit="1" customWidth="1"/>
    <col min="13580" max="13580" width="8.28515625" style="534" bestFit="1" customWidth="1"/>
    <col min="13581" max="13581" width="11.5703125" style="534" bestFit="1" customWidth="1"/>
    <col min="13582" max="13582" width="8.28515625" style="534" bestFit="1" customWidth="1"/>
    <col min="13583" max="13583" width="12" style="534" bestFit="1" customWidth="1"/>
    <col min="13584" max="13584" width="9.7109375" style="534" bestFit="1" customWidth="1"/>
    <col min="13585" max="13585" width="11.5703125" style="534" bestFit="1" customWidth="1"/>
    <col min="13586" max="13586" width="6.85546875" style="534" bestFit="1" customWidth="1"/>
    <col min="13587" max="13587" width="11.5703125" style="534" bestFit="1" customWidth="1"/>
    <col min="13588" max="13588" width="6.7109375" style="534" bestFit="1" customWidth="1"/>
    <col min="13589" max="13825" width="9.140625" style="534"/>
    <col min="13826" max="13826" width="68.42578125" style="534" bestFit="1" customWidth="1"/>
    <col min="13827" max="13827" width="11.42578125" style="534" bestFit="1" customWidth="1"/>
    <col min="13828" max="13828" width="7.5703125" style="534" bestFit="1" customWidth="1"/>
    <col min="13829" max="13829" width="8" style="534" bestFit="1" customWidth="1"/>
    <col min="13830" max="13830" width="11.5703125" style="534" bestFit="1" customWidth="1"/>
    <col min="13831" max="13831" width="14.5703125" style="534" bestFit="1" customWidth="1"/>
    <col min="13832" max="13832" width="13.85546875" style="534" bestFit="1" customWidth="1"/>
    <col min="13833" max="13833" width="7.7109375" style="534" bestFit="1" customWidth="1"/>
    <col min="13834" max="13834" width="12" style="534" bestFit="1" customWidth="1"/>
    <col min="13835" max="13835" width="9.5703125" style="534" bestFit="1" customWidth="1"/>
    <col min="13836" max="13836" width="8.28515625" style="534" bestFit="1" customWidth="1"/>
    <col min="13837" max="13837" width="11.5703125" style="534" bestFit="1" customWidth="1"/>
    <col min="13838" max="13838" width="8.28515625" style="534" bestFit="1" customWidth="1"/>
    <col min="13839" max="13839" width="12" style="534" bestFit="1" customWidth="1"/>
    <col min="13840" max="13840" width="9.7109375" style="534" bestFit="1" customWidth="1"/>
    <col min="13841" max="13841" width="11.5703125" style="534" bestFit="1" customWidth="1"/>
    <col min="13842" max="13842" width="6.85546875" style="534" bestFit="1" customWidth="1"/>
    <col min="13843" max="13843" width="11.5703125" style="534" bestFit="1" customWidth="1"/>
    <col min="13844" max="13844" width="6.7109375" style="534" bestFit="1" customWidth="1"/>
    <col min="13845" max="14081" width="9.140625" style="534"/>
    <col min="14082" max="14082" width="68.42578125" style="534" bestFit="1" customWidth="1"/>
    <col min="14083" max="14083" width="11.42578125" style="534" bestFit="1" customWidth="1"/>
    <col min="14084" max="14084" width="7.5703125" style="534" bestFit="1" customWidth="1"/>
    <col min="14085" max="14085" width="8" style="534" bestFit="1" customWidth="1"/>
    <col min="14086" max="14086" width="11.5703125" style="534" bestFit="1" customWidth="1"/>
    <col min="14087" max="14087" width="14.5703125" style="534" bestFit="1" customWidth="1"/>
    <col min="14088" max="14088" width="13.85546875" style="534" bestFit="1" customWidth="1"/>
    <col min="14089" max="14089" width="7.7109375" style="534" bestFit="1" customWidth="1"/>
    <col min="14090" max="14090" width="12" style="534" bestFit="1" customWidth="1"/>
    <col min="14091" max="14091" width="9.5703125" style="534" bestFit="1" customWidth="1"/>
    <col min="14092" max="14092" width="8.28515625" style="534" bestFit="1" customWidth="1"/>
    <col min="14093" max="14093" width="11.5703125" style="534" bestFit="1" customWidth="1"/>
    <col min="14094" max="14094" width="8.28515625" style="534" bestFit="1" customWidth="1"/>
    <col min="14095" max="14095" width="12" style="534" bestFit="1" customWidth="1"/>
    <col min="14096" max="14096" width="9.7109375" style="534" bestFit="1" customWidth="1"/>
    <col min="14097" max="14097" width="11.5703125" style="534" bestFit="1" customWidth="1"/>
    <col min="14098" max="14098" width="6.85546875" style="534" bestFit="1" customWidth="1"/>
    <col min="14099" max="14099" width="11.5703125" style="534" bestFit="1" customWidth="1"/>
    <col min="14100" max="14100" width="6.7109375" style="534" bestFit="1" customWidth="1"/>
    <col min="14101" max="14337" width="9.140625" style="534"/>
    <col min="14338" max="14338" width="68.42578125" style="534" bestFit="1" customWidth="1"/>
    <col min="14339" max="14339" width="11.42578125" style="534" bestFit="1" customWidth="1"/>
    <col min="14340" max="14340" width="7.5703125" style="534" bestFit="1" customWidth="1"/>
    <col min="14341" max="14341" width="8" style="534" bestFit="1" customWidth="1"/>
    <col min="14342" max="14342" width="11.5703125" style="534" bestFit="1" customWidth="1"/>
    <col min="14343" max="14343" width="14.5703125" style="534" bestFit="1" customWidth="1"/>
    <col min="14344" max="14344" width="13.85546875" style="534" bestFit="1" customWidth="1"/>
    <col min="14345" max="14345" width="7.7109375" style="534" bestFit="1" customWidth="1"/>
    <col min="14346" max="14346" width="12" style="534" bestFit="1" customWidth="1"/>
    <col min="14347" max="14347" width="9.5703125" style="534" bestFit="1" customWidth="1"/>
    <col min="14348" max="14348" width="8.28515625" style="534" bestFit="1" customWidth="1"/>
    <col min="14349" max="14349" width="11.5703125" style="534" bestFit="1" customWidth="1"/>
    <col min="14350" max="14350" width="8.28515625" style="534" bestFit="1" customWidth="1"/>
    <col min="14351" max="14351" width="12" style="534" bestFit="1" customWidth="1"/>
    <col min="14352" max="14352" width="9.7109375" style="534" bestFit="1" customWidth="1"/>
    <col min="14353" max="14353" width="11.5703125" style="534" bestFit="1" customWidth="1"/>
    <col min="14354" max="14354" width="6.85546875" style="534" bestFit="1" customWidth="1"/>
    <col min="14355" max="14355" width="11.5703125" style="534" bestFit="1" customWidth="1"/>
    <col min="14356" max="14356" width="6.7109375" style="534" bestFit="1" customWidth="1"/>
    <col min="14357" max="14593" width="9.140625" style="534"/>
    <col min="14594" max="14594" width="68.42578125" style="534" bestFit="1" customWidth="1"/>
    <col min="14595" max="14595" width="11.42578125" style="534" bestFit="1" customWidth="1"/>
    <col min="14596" max="14596" width="7.5703125" style="534" bestFit="1" customWidth="1"/>
    <col min="14597" max="14597" width="8" style="534" bestFit="1" customWidth="1"/>
    <col min="14598" max="14598" width="11.5703125" style="534" bestFit="1" customWidth="1"/>
    <col min="14599" max="14599" width="14.5703125" style="534" bestFit="1" customWidth="1"/>
    <col min="14600" max="14600" width="13.85546875" style="534" bestFit="1" customWidth="1"/>
    <col min="14601" max="14601" width="7.7109375" style="534" bestFit="1" customWidth="1"/>
    <col min="14602" max="14602" width="12" style="534" bestFit="1" customWidth="1"/>
    <col min="14603" max="14603" width="9.5703125" style="534" bestFit="1" customWidth="1"/>
    <col min="14604" max="14604" width="8.28515625" style="534" bestFit="1" customWidth="1"/>
    <col min="14605" max="14605" width="11.5703125" style="534" bestFit="1" customWidth="1"/>
    <col min="14606" max="14606" width="8.28515625" style="534" bestFit="1" customWidth="1"/>
    <col min="14607" max="14607" width="12" style="534" bestFit="1" customWidth="1"/>
    <col min="14608" max="14608" width="9.7109375" style="534" bestFit="1" customWidth="1"/>
    <col min="14609" max="14609" width="11.5703125" style="534" bestFit="1" customWidth="1"/>
    <col min="14610" max="14610" width="6.85546875" style="534" bestFit="1" customWidth="1"/>
    <col min="14611" max="14611" width="11.5703125" style="534" bestFit="1" customWidth="1"/>
    <col min="14612" max="14612" width="6.7109375" style="534" bestFit="1" customWidth="1"/>
    <col min="14613" max="14849" width="9.140625" style="534"/>
    <col min="14850" max="14850" width="68.42578125" style="534" bestFit="1" customWidth="1"/>
    <col min="14851" max="14851" width="11.42578125" style="534" bestFit="1" customWidth="1"/>
    <col min="14852" max="14852" width="7.5703125" style="534" bestFit="1" customWidth="1"/>
    <col min="14853" max="14853" width="8" style="534" bestFit="1" customWidth="1"/>
    <col min="14854" max="14854" width="11.5703125" style="534" bestFit="1" customWidth="1"/>
    <col min="14855" max="14855" width="14.5703125" style="534" bestFit="1" customWidth="1"/>
    <col min="14856" max="14856" width="13.85546875" style="534" bestFit="1" customWidth="1"/>
    <col min="14857" max="14857" width="7.7109375" style="534" bestFit="1" customWidth="1"/>
    <col min="14858" max="14858" width="12" style="534" bestFit="1" customWidth="1"/>
    <col min="14859" max="14859" width="9.5703125" style="534" bestFit="1" customWidth="1"/>
    <col min="14860" max="14860" width="8.28515625" style="534" bestFit="1" customWidth="1"/>
    <col min="14861" max="14861" width="11.5703125" style="534" bestFit="1" customWidth="1"/>
    <col min="14862" max="14862" width="8.28515625" style="534" bestFit="1" customWidth="1"/>
    <col min="14863" max="14863" width="12" style="534" bestFit="1" customWidth="1"/>
    <col min="14864" max="14864" width="9.7109375" style="534" bestFit="1" customWidth="1"/>
    <col min="14865" max="14865" width="11.5703125" style="534" bestFit="1" customWidth="1"/>
    <col min="14866" max="14866" width="6.85546875" style="534" bestFit="1" customWidth="1"/>
    <col min="14867" max="14867" width="11.5703125" style="534" bestFit="1" customWidth="1"/>
    <col min="14868" max="14868" width="6.7109375" style="534" bestFit="1" customWidth="1"/>
    <col min="14869" max="15105" width="9.140625" style="534"/>
    <col min="15106" max="15106" width="68.42578125" style="534" bestFit="1" customWidth="1"/>
    <col min="15107" max="15107" width="11.42578125" style="534" bestFit="1" customWidth="1"/>
    <col min="15108" max="15108" width="7.5703125" style="534" bestFit="1" customWidth="1"/>
    <col min="15109" max="15109" width="8" style="534" bestFit="1" customWidth="1"/>
    <col min="15110" max="15110" width="11.5703125" style="534" bestFit="1" customWidth="1"/>
    <col min="15111" max="15111" width="14.5703125" style="534" bestFit="1" customWidth="1"/>
    <col min="15112" max="15112" width="13.85546875" style="534" bestFit="1" customWidth="1"/>
    <col min="15113" max="15113" width="7.7109375" style="534" bestFit="1" customWidth="1"/>
    <col min="15114" max="15114" width="12" style="534" bestFit="1" customWidth="1"/>
    <col min="15115" max="15115" width="9.5703125" style="534" bestFit="1" customWidth="1"/>
    <col min="15116" max="15116" width="8.28515625" style="534" bestFit="1" customWidth="1"/>
    <col min="15117" max="15117" width="11.5703125" style="534" bestFit="1" customWidth="1"/>
    <col min="15118" max="15118" width="8.28515625" style="534" bestFit="1" customWidth="1"/>
    <col min="15119" max="15119" width="12" style="534" bestFit="1" customWidth="1"/>
    <col min="15120" max="15120" width="9.7109375" style="534" bestFit="1" customWidth="1"/>
    <col min="15121" max="15121" width="11.5703125" style="534" bestFit="1" customWidth="1"/>
    <col min="15122" max="15122" width="6.85546875" style="534" bestFit="1" customWidth="1"/>
    <col min="15123" max="15123" width="11.5703125" style="534" bestFit="1" customWidth="1"/>
    <col min="15124" max="15124" width="6.7109375" style="534" bestFit="1" customWidth="1"/>
    <col min="15125" max="15361" width="9.140625" style="534"/>
    <col min="15362" max="15362" width="68.42578125" style="534" bestFit="1" customWidth="1"/>
    <col min="15363" max="15363" width="11.42578125" style="534" bestFit="1" customWidth="1"/>
    <col min="15364" max="15364" width="7.5703125" style="534" bestFit="1" customWidth="1"/>
    <col min="15365" max="15365" width="8" style="534" bestFit="1" customWidth="1"/>
    <col min="15366" max="15366" width="11.5703125" style="534" bestFit="1" customWidth="1"/>
    <col min="15367" max="15367" width="14.5703125" style="534" bestFit="1" customWidth="1"/>
    <col min="15368" max="15368" width="13.85546875" style="534" bestFit="1" customWidth="1"/>
    <col min="15369" max="15369" width="7.7109375" style="534" bestFit="1" customWidth="1"/>
    <col min="15370" max="15370" width="12" style="534" bestFit="1" customWidth="1"/>
    <col min="15371" max="15371" width="9.5703125" style="534" bestFit="1" customWidth="1"/>
    <col min="15372" max="15372" width="8.28515625" style="534" bestFit="1" customWidth="1"/>
    <col min="15373" max="15373" width="11.5703125" style="534" bestFit="1" customWidth="1"/>
    <col min="15374" max="15374" width="8.28515625" style="534" bestFit="1" customWidth="1"/>
    <col min="15375" max="15375" width="12" style="534" bestFit="1" customWidth="1"/>
    <col min="15376" max="15376" width="9.7109375" style="534" bestFit="1" customWidth="1"/>
    <col min="15377" max="15377" width="11.5703125" style="534" bestFit="1" customWidth="1"/>
    <col min="15378" max="15378" width="6.85546875" style="534" bestFit="1" customWidth="1"/>
    <col min="15379" max="15379" width="11.5703125" style="534" bestFit="1" customWidth="1"/>
    <col min="15380" max="15380" width="6.7109375" style="534" bestFit="1" customWidth="1"/>
    <col min="15381" max="15617" width="9.140625" style="534"/>
    <col min="15618" max="15618" width="68.42578125" style="534" bestFit="1" customWidth="1"/>
    <col min="15619" max="15619" width="11.42578125" style="534" bestFit="1" customWidth="1"/>
    <col min="15620" max="15620" width="7.5703125" style="534" bestFit="1" customWidth="1"/>
    <col min="15621" max="15621" width="8" style="534" bestFit="1" customWidth="1"/>
    <col min="15622" max="15622" width="11.5703125" style="534" bestFit="1" customWidth="1"/>
    <col min="15623" max="15623" width="14.5703125" style="534" bestFit="1" customWidth="1"/>
    <col min="15624" max="15624" width="13.85546875" style="534" bestFit="1" customWidth="1"/>
    <col min="15625" max="15625" width="7.7109375" style="534" bestFit="1" customWidth="1"/>
    <col min="15626" max="15626" width="12" style="534" bestFit="1" customWidth="1"/>
    <col min="15627" max="15627" width="9.5703125" style="534" bestFit="1" customWidth="1"/>
    <col min="15628" max="15628" width="8.28515625" style="534" bestFit="1" customWidth="1"/>
    <col min="15629" max="15629" width="11.5703125" style="534" bestFit="1" customWidth="1"/>
    <col min="15630" max="15630" width="8.28515625" style="534" bestFit="1" customWidth="1"/>
    <col min="15631" max="15631" width="12" style="534" bestFit="1" customWidth="1"/>
    <col min="15632" max="15632" width="9.7109375" style="534" bestFit="1" customWidth="1"/>
    <col min="15633" max="15633" width="11.5703125" style="534" bestFit="1" customWidth="1"/>
    <col min="15634" max="15634" width="6.85546875" style="534" bestFit="1" customWidth="1"/>
    <col min="15635" max="15635" width="11.5703125" style="534" bestFit="1" customWidth="1"/>
    <col min="15636" max="15636" width="6.7109375" style="534" bestFit="1" customWidth="1"/>
    <col min="15637" max="15873" width="9.140625" style="534"/>
    <col min="15874" max="15874" width="68.42578125" style="534" bestFit="1" customWidth="1"/>
    <col min="15875" max="15875" width="11.42578125" style="534" bestFit="1" customWidth="1"/>
    <col min="15876" max="15876" width="7.5703125" style="534" bestFit="1" customWidth="1"/>
    <col min="15877" max="15877" width="8" style="534" bestFit="1" customWidth="1"/>
    <col min="15878" max="15878" width="11.5703125" style="534" bestFit="1" customWidth="1"/>
    <col min="15879" max="15879" width="14.5703125" style="534" bestFit="1" customWidth="1"/>
    <col min="15880" max="15880" width="13.85546875" style="534" bestFit="1" customWidth="1"/>
    <col min="15881" max="15881" width="7.7109375" style="534" bestFit="1" customWidth="1"/>
    <col min="15882" max="15882" width="12" style="534" bestFit="1" customWidth="1"/>
    <col min="15883" max="15883" width="9.5703125" style="534" bestFit="1" customWidth="1"/>
    <col min="15884" max="15884" width="8.28515625" style="534" bestFit="1" customWidth="1"/>
    <col min="15885" max="15885" width="11.5703125" style="534" bestFit="1" customWidth="1"/>
    <col min="15886" max="15886" width="8.28515625" style="534" bestFit="1" customWidth="1"/>
    <col min="15887" max="15887" width="12" style="534" bestFit="1" customWidth="1"/>
    <col min="15888" max="15888" width="9.7109375" style="534" bestFit="1" customWidth="1"/>
    <col min="15889" max="15889" width="11.5703125" style="534" bestFit="1" customWidth="1"/>
    <col min="15890" max="15890" width="6.85546875" style="534" bestFit="1" customWidth="1"/>
    <col min="15891" max="15891" width="11.5703125" style="534" bestFit="1" customWidth="1"/>
    <col min="15892" max="15892" width="6.7109375" style="534" bestFit="1" customWidth="1"/>
    <col min="15893" max="16129" width="9.140625" style="534"/>
    <col min="16130" max="16130" width="68.42578125" style="534" bestFit="1" customWidth="1"/>
    <col min="16131" max="16131" width="11.42578125" style="534" bestFit="1" customWidth="1"/>
    <col min="16132" max="16132" width="7.5703125" style="534" bestFit="1" customWidth="1"/>
    <col min="16133" max="16133" width="8" style="534" bestFit="1" customWidth="1"/>
    <col min="16134" max="16134" width="11.5703125" style="534" bestFit="1" customWidth="1"/>
    <col min="16135" max="16135" width="14.5703125" style="534" bestFit="1" customWidth="1"/>
    <col min="16136" max="16136" width="13.85546875" style="534" bestFit="1" customWidth="1"/>
    <col min="16137" max="16137" width="7.7109375" style="534" bestFit="1" customWidth="1"/>
    <col min="16138" max="16138" width="12" style="534" bestFit="1" customWidth="1"/>
    <col min="16139" max="16139" width="9.5703125" style="534" bestFit="1" customWidth="1"/>
    <col min="16140" max="16140" width="8.28515625" style="534" bestFit="1" customWidth="1"/>
    <col min="16141" max="16141" width="11.5703125" style="534" bestFit="1" customWidth="1"/>
    <col min="16142" max="16142" width="8.28515625" style="534" bestFit="1" customWidth="1"/>
    <col min="16143" max="16143" width="12" style="534" bestFit="1" customWidth="1"/>
    <col min="16144" max="16144" width="9.7109375" style="534" bestFit="1" customWidth="1"/>
    <col min="16145" max="16145" width="11.5703125" style="534" bestFit="1" customWidth="1"/>
    <col min="16146" max="16146" width="6.85546875" style="534" bestFit="1" customWidth="1"/>
    <col min="16147" max="16147" width="11.5703125" style="534" bestFit="1" customWidth="1"/>
    <col min="16148" max="16148" width="6.7109375" style="534" bestFit="1" customWidth="1"/>
    <col min="16149" max="16384" width="9.140625" style="534"/>
  </cols>
  <sheetData>
    <row r="1" spans="1:20" ht="15" customHeight="1" thickBot="1">
      <c r="A1" s="969" t="s">
        <v>339</v>
      </c>
      <c r="B1" s="970"/>
      <c r="C1" s="969" t="s">
        <v>340</v>
      </c>
      <c r="D1" s="970"/>
      <c r="E1" s="969" t="s">
        <v>341</v>
      </c>
      <c r="F1" s="971"/>
      <c r="G1" s="970"/>
      <c r="H1" s="969" t="s">
        <v>342</v>
      </c>
      <c r="I1" s="970"/>
      <c r="J1" s="969" t="s">
        <v>343</v>
      </c>
      <c r="K1" s="970"/>
      <c r="L1" s="969" t="s">
        <v>344</v>
      </c>
      <c r="M1" s="971"/>
      <c r="N1" s="970"/>
      <c r="O1" s="969" t="s">
        <v>345</v>
      </c>
      <c r="P1" s="970"/>
      <c r="Q1" s="969" t="s">
        <v>346</v>
      </c>
      <c r="R1" s="970"/>
      <c r="S1" s="969" t="s">
        <v>1792</v>
      </c>
      <c r="T1" s="970"/>
    </row>
    <row r="2" spans="1:20" ht="15" customHeight="1" thickBot="1">
      <c r="A2" s="782" t="s">
        <v>347</v>
      </c>
      <c r="B2" s="783" t="s">
        <v>1</v>
      </c>
      <c r="C2" s="784" t="s">
        <v>348</v>
      </c>
      <c r="D2" s="784" t="s">
        <v>349</v>
      </c>
      <c r="E2" s="785" t="s">
        <v>350</v>
      </c>
      <c r="F2" s="785" t="s">
        <v>2388</v>
      </c>
      <c r="G2" s="785" t="s">
        <v>351</v>
      </c>
      <c r="H2" s="786" t="s">
        <v>2389</v>
      </c>
      <c r="I2" s="786" t="s">
        <v>352</v>
      </c>
      <c r="J2" s="787" t="s">
        <v>2390</v>
      </c>
      <c r="K2" s="787" t="s">
        <v>2391</v>
      </c>
      <c r="L2" s="787" t="s">
        <v>2392</v>
      </c>
      <c r="M2" s="788" t="s">
        <v>2393</v>
      </c>
      <c r="N2" s="788" t="s">
        <v>2394</v>
      </c>
      <c r="O2" s="789" t="s">
        <v>353</v>
      </c>
      <c r="P2" s="789" t="s">
        <v>354</v>
      </c>
      <c r="Q2" s="790" t="s">
        <v>2395</v>
      </c>
      <c r="R2" s="790" t="s">
        <v>2396</v>
      </c>
      <c r="S2" s="523" t="s">
        <v>1793</v>
      </c>
      <c r="T2" s="524" t="s">
        <v>1794</v>
      </c>
    </row>
    <row r="3" spans="1:20" ht="15" customHeight="1">
      <c r="A3" s="791" t="s">
        <v>356</v>
      </c>
      <c r="B3" s="792" t="s">
        <v>357</v>
      </c>
      <c r="C3" s="793">
        <v>183.17</v>
      </c>
      <c r="D3" s="794" t="s">
        <v>1801</v>
      </c>
      <c r="E3" s="795">
        <v>2.048E-11</v>
      </c>
      <c r="F3" s="795">
        <v>5.0099999999999999E-13</v>
      </c>
      <c r="G3" s="796" t="s">
        <v>414</v>
      </c>
      <c r="H3" s="797">
        <v>1.35</v>
      </c>
      <c r="I3" s="798" t="s">
        <v>1796</v>
      </c>
      <c r="J3" s="799">
        <v>3.7348300000000001E-2</v>
      </c>
      <c r="K3" s="799">
        <v>7.9755000000000001E-6</v>
      </c>
      <c r="L3" s="800" t="s">
        <v>2367</v>
      </c>
      <c r="M3" s="801">
        <v>10</v>
      </c>
      <c r="N3" s="801" t="s">
        <v>414</v>
      </c>
      <c r="O3" s="802">
        <v>818000</v>
      </c>
      <c r="P3" s="803" t="s">
        <v>1801</v>
      </c>
      <c r="Q3" s="804">
        <v>4.0000000000000003E-5</v>
      </c>
      <c r="R3" s="805" t="s">
        <v>414</v>
      </c>
      <c r="S3" s="527">
        <v>1.9899999999999999E-5</v>
      </c>
      <c r="T3" s="528" t="s">
        <v>414</v>
      </c>
    </row>
    <row r="4" spans="1:20" ht="15" customHeight="1">
      <c r="A4" s="791" t="s">
        <v>55</v>
      </c>
      <c r="B4" s="792" t="s">
        <v>358</v>
      </c>
      <c r="C4" s="793">
        <v>44.054000000000002</v>
      </c>
      <c r="D4" s="794" t="s">
        <v>1801</v>
      </c>
      <c r="E4" s="795">
        <v>2.7269E-3</v>
      </c>
      <c r="F4" s="795">
        <v>6.6699999999999995E-5</v>
      </c>
      <c r="G4" s="796" t="s">
        <v>1801</v>
      </c>
      <c r="H4" s="797">
        <v>0.78339999999999999</v>
      </c>
      <c r="I4" s="798" t="s">
        <v>1796</v>
      </c>
      <c r="J4" s="799">
        <v>0.1277026</v>
      </c>
      <c r="K4" s="799">
        <v>1.3499999999999999E-5</v>
      </c>
      <c r="L4" s="800" t="s">
        <v>2367</v>
      </c>
      <c r="M4" s="801">
        <v>1</v>
      </c>
      <c r="N4" s="801" t="s">
        <v>414</v>
      </c>
      <c r="O4" s="802">
        <v>1000000</v>
      </c>
      <c r="P4" s="803" t="s">
        <v>1801</v>
      </c>
      <c r="Q4" s="804">
        <v>5.2700000000000002E-4</v>
      </c>
      <c r="R4" s="805" t="s">
        <v>414</v>
      </c>
      <c r="S4" s="527">
        <v>4.0000000000000003E-5</v>
      </c>
      <c r="T4" s="528" t="s">
        <v>414</v>
      </c>
    </row>
    <row r="5" spans="1:20" ht="15" customHeight="1" thickBot="1">
      <c r="A5" s="806" t="s">
        <v>359</v>
      </c>
      <c r="B5" s="807" t="s">
        <v>360</v>
      </c>
      <c r="C5" s="808">
        <v>269.77</v>
      </c>
      <c r="D5" s="809" t="s">
        <v>1801</v>
      </c>
      <c r="E5" s="810">
        <v>9.1169000000000003E-7</v>
      </c>
      <c r="F5" s="810">
        <v>2.2300000000000001E-8</v>
      </c>
      <c r="G5" s="811" t="s">
        <v>1801</v>
      </c>
      <c r="H5" s="812">
        <v>1.107</v>
      </c>
      <c r="I5" s="813" t="s">
        <v>2168</v>
      </c>
      <c r="J5" s="814">
        <v>2.2390799999999999E-2</v>
      </c>
      <c r="K5" s="814">
        <v>5.6126000000000003E-6</v>
      </c>
      <c r="L5" s="815" t="s">
        <v>2367</v>
      </c>
      <c r="M5" s="816">
        <v>298.39999999999998</v>
      </c>
      <c r="N5" s="816" t="s">
        <v>414</v>
      </c>
      <c r="O5" s="817">
        <v>223</v>
      </c>
      <c r="P5" s="818" t="s">
        <v>1801</v>
      </c>
      <c r="Q5" s="819">
        <v>4.9500000000000004E-3</v>
      </c>
      <c r="R5" s="820" t="s">
        <v>414</v>
      </c>
      <c r="S5" s="521">
        <v>5.2700000000000002E-4</v>
      </c>
      <c r="T5" s="522" t="s">
        <v>414</v>
      </c>
    </row>
    <row r="6" spans="1:20" ht="15" customHeight="1">
      <c r="A6" s="791" t="s">
        <v>46</v>
      </c>
      <c r="B6" s="792" t="s">
        <v>361</v>
      </c>
      <c r="C6" s="793">
        <v>58.081000000000003</v>
      </c>
      <c r="D6" s="794" t="s">
        <v>1801</v>
      </c>
      <c r="E6" s="795">
        <v>1.4308999999999999E-3</v>
      </c>
      <c r="F6" s="795">
        <v>3.4999999999999997E-5</v>
      </c>
      <c r="G6" s="796" t="s">
        <v>1801</v>
      </c>
      <c r="H6" s="797">
        <v>0.78449999999999998</v>
      </c>
      <c r="I6" s="798" t="s">
        <v>1796</v>
      </c>
      <c r="J6" s="799">
        <v>0.1059215</v>
      </c>
      <c r="K6" s="799">
        <v>1.15E-5</v>
      </c>
      <c r="L6" s="800" t="s">
        <v>2367</v>
      </c>
      <c r="M6" s="801">
        <v>2.3639999999999999</v>
      </c>
      <c r="N6" s="801" t="s">
        <v>414</v>
      </c>
      <c r="O6" s="802">
        <v>1000000</v>
      </c>
      <c r="P6" s="803" t="s">
        <v>1801</v>
      </c>
      <c r="Q6" s="804">
        <v>5.1199999999999998E-4</v>
      </c>
      <c r="R6" s="805" t="s">
        <v>414</v>
      </c>
      <c r="S6" s="527">
        <v>4.9500000000000004E-3</v>
      </c>
      <c r="T6" s="528" t="s">
        <v>414</v>
      </c>
    </row>
    <row r="7" spans="1:20" ht="15" customHeight="1">
      <c r="A7" s="791" t="s">
        <v>362</v>
      </c>
      <c r="B7" s="792" t="s">
        <v>363</v>
      </c>
      <c r="C7" s="793">
        <v>85.105999999999995</v>
      </c>
      <c r="D7" s="794" t="s">
        <v>1801</v>
      </c>
      <c r="E7" s="795">
        <v>8.0540000000000005E-8</v>
      </c>
      <c r="F7" s="795">
        <v>1.97E-9</v>
      </c>
      <c r="G7" s="796" t="s">
        <v>1801</v>
      </c>
      <c r="H7" s="797">
        <v>0.93200000000000005</v>
      </c>
      <c r="I7" s="798" t="s">
        <v>1796</v>
      </c>
      <c r="J7" s="799">
        <v>8.59491E-2</v>
      </c>
      <c r="K7" s="799">
        <v>1.01E-5</v>
      </c>
      <c r="L7" s="800" t="s">
        <v>2367</v>
      </c>
      <c r="M7" s="801">
        <v>1</v>
      </c>
      <c r="N7" s="801" t="s">
        <v>414</v>
      </c>
      <c r="O7" s="802">
        <v>1000000</v>
      </c>
      <c r="P7" s="803" t="s">
        <v>1801</v>
      </c>
      <c r="Q7" s="804">
        <v>4.95E-4</v>
      </c>
      <c r="R7" s="805" t="s">
        <v>414</v>
      </c>
      <c r="S7" s="527">
        <v>5.1199999999999998E-4</v>
      </c>
      <c r="T7" s="528" t="s">
        <v>414</v>
      </c>
    </row>
    <row r="8" spans="1:20" ht="15" customHeight="1" thickBot="1">
      <c r="A8" s="806" t="s">
        <v>54</v>
      </c>
      <c r="B8" s="807" t="s">
        <v>364</v>
      </c>
      <c r="C8" s="808">
        <v>41.052999999999997</v>
      </c>
      <c r="D8" s="809" t="s">
        <v>1801</v>
      </c>
      <c r="E8" s="810">
        <v>1.4105000000000001E-3</v>
      </c>
      <c r="F8" s="810">
        <v>3.4499999999999998E-5</v>
      </c>
      <c r="G8" s="811" t="s">
        <v>1801</v>
      </c>
      <c r="H8" s="812">
        <v>0.78569999999999995</v>
      </c>
      <c r="I8" s="813" t="s">
        <v>1796</v>
      </c>
      <c r="J8" s="814">
        <v>0.1339939</v>
      </c>
      <c r="K8" s="814">
        <v>1.4100000000000001E-5</v>
      </c>
      <c r="L8" s="815" t="s">
        <v>2367</v>
      </c>
      <c r="M8" s="816">
        <v>4.67</v>
      </c>
      <c r="N8" s="816" t="s">
        <v>414</v>
      </c>
      <c r="O8" s="817">
        <v>1000000</v>
      </c>
      <c r="P8" s="818" t="s">
        <v>1801</v>
      </c>
      <c r="Q8" s="819">
        <v>5.4799999999999998E-4</v>
      </c>
      <c r="R8" s="820" t="s">
        <v>414</v>
      </c>
      <c r="S8" s="521">
        <v>4.95E-4</v>
      </c>
      <c r="T8" s="522" t="s">
        <v>414</v>
      </c>
    </row>
    <row r="9" spans="1:20" ht="15" customHeight="1">
      <c r="A9" s="791" t="s">
        <v>82</v>
      </c>
      <c r="B9" s="792" t="s">
        <v>365</v>
      </c>
      <c r="C9" s="793">
        <v>120.15</v>
      </c>
      <c r="D9" s="794" t="s">
        <v>1801</v>
      </c>
      <c r="E9" s="795">
        <v>4.2519999999999998E-4</v>
      </c>
      <c r="F9" s="795">
        <v>1.04E-5</v>
      </c>
      <c r="G9" s="796" t="s">
        <v>1801</v>
      </c>
      <c r="H9" s="797">
        <v>1.0281</v>
      </c>
      <c r="I9" s="798" t="s">
        <v>1796</v>
      </c>
      <c r="J9" s="799">
        <v>6.5222100000000005E-2</v>
      </c>
      <c r="K9" s="799">
        <v>8.7229000000000008E-6</v>
      </c>
      <c r="L9" s="800" t="s">
        <v>2367</v>
      </c>
      <c r="M9" s="801">
        <v>51.85</v>
      </c>
      <c r="N9" s="801" t="s">
        <v>414</v>
      </c>
      <c r="O9" s="802">
        <v>6130</v>
      </c>
      <c r="P9" s="803" t="s">
        <v>1801</v>
      </c>
      <c r="Q9" s="804">
        <v>3.7200000000000002E-3</v>
      </c>
      <c r="R9" s="805" t="s">
        <v>414</v>
      </c>
      <c r="S9" s="527">
        <v>5.4799999999999998E-4</v>
      </c>
      <c r="T9" s="528" t="s">
        <v>414</v>
      </c>
    </row>
    <row r="10" spans="1:20" ht="15" customHeight="1">
      <c r="A10" s="791" t="s">
        <v>366</v>
      </c>
      <c r="B10" s="792" t="s">
        <v>367</v>
      </c>
      <c r="C10" s="793">
        <v>223.28</v>
      </c>
      <c r="D10" s="794" t="s">
        <v>1801</v>
      </c>
      <c r="E10" s="795">
        <v>7.8496000000000007E-9</v>
      </c>
      <c r="F10" s="795">
        <v>1.9200000000000001E-10</v>
      </c>
      <c r="G10" s="796" t="s">
        <v>1801</v>
      </c>
      <c r="H10" s="821" t="s">
        <v>1750</v>
      </c>
      <c r="I10" s="822" t="s">
        <v>43</v>
      </c>
      <c r="J10" s="799">
        <v>5.1624200000000002E-2</v>
      </c>
      <c r="K10" s="799">
        <v>6.0318999999999998E-6</v>
      </c>
      <c r="L10" s="800" t="s">
        <v>2367</v>
      </c>
      <c r="M10" s="801">
        <v>2206</v>
      </c>
      <c r="N10" s="801" t="s">
        <v>414</v>
      </c>
      <c r="O10" s="802">
        <v>5.5339999999999998</v>
      </c>
      <c r="P10" s="803" t="s">
        <v>1801</v>
      </c>
      <c r="Q10" s="804">
        <v>1.2495900000000001E-2</v>
      </c>
      <c r="R10" s="805" t="s">
        <v>1797</v>
      </c>
      <c r="S10" s="527">
        <v>3.7200000000000002E-3</v>
      </c>
      <c r="T10" s="528" t="s">
        <v>414</v>
      </c>
    </row>
    <row r="11" spans="1:20" ht="15" customHeight="1" thickBot="1">
      <c r="A11" s="806" t="s">
        <v>91</v>
      </c>
      <c r="B11" s="807" t="s">
        <v>368</v>
      </c>
      <c r="C11" s="808">
        <v>56.064999999999998</v>
      </c>
      <c r="D11" s="809" t="s">
        <v>1801</v>
      </c>
      <c r="E11" s="810">
        <v>4.9877000000000003E-3</v>
      </c>
      <c r="F11" s="810">
        <v>1.22E-4</v>
      </c>
      <c r="G11" s="811" t="s">
        <v>1801</v>
      </c>
      <c r="H11" s="812">
        <v>0.84</v>
      </c>
      <c r="I11" s="813" t="s">
        <v>1796</v>
      </c>
      <c r="J11" s="814">
        <v>0.1116862</v>
      </c>
      <c r="K11" s="814">
        <v>1.22E-5</v>
      </c>
      <c r="L11" s="815" t="s">
        <v>2367</v>
      </c>
      <c r="M11" s="816">
        <v>1</v>
      </c>
      <c r="N11" s="816" t="s">
        <v>414</v>
      </c>
      <c r="O11" s="817">
        <v>212000</v>
      </c>
      <c r="P11" s="818" t="s">
        <v>1801</v>
      </c>
      <c r="Q11" s="819">
        <v>7.4799999999999997E-4</v>
      </c>
      <c r="R11" s="820" t="s">
        <v>414</v>
      </c>
      <c r="S11" s="521">
        <v>1.2495900000000001E-2</v>
      </c>
      <c r="T11" s="522" t="s">
        <v>1797</v>
      </c>
    </row>
    <row r="12" spans="1:20" ht="15" customHeight="1">
      <c r="A12" s="791" t="s">
        <v>369</v>
      </c>
      <c r="B12" s="792" t="s">
        <v>370</v>
      </c>
      <c r="C12" s="793">
        <v>71.078999999999994</v>
      </c>
      <c r="D12" s="794" t="s">
        <v>1801</v>
      </c>
      <c r="E12" s="795">
        <v>6.9500999999999995E-8</v>
      </c>
      <c r="F12" s="795">
        <v>1.6999999999999999E-9</v>
      </c>
      <c r="G12" s="796" t="s">
        <v>414</v>
      </c>
      <c r="H12" s="797">
        <v>1.222</v>
      </c>
      <c r="I12" s="798" t="s">
        <v>1798</v>
      </c>
      <c r="J12" s="799">
        <v>0.1104004</v>
      </c>
      <c r="K12" s="799">
        <v>1.33E-5</v>
      </c>
      <c r="L12" s="800" t="s">
        <v>2367</v>
      </c>
      <c r="M12" s="801">
        <v>5.694</v>
      </c>
      <c r="N12" s="801" t="s">
        <v>414</v>
      </c>
      <c r="O12" s="802">
        <v>390000</v>
      </c>
      <c r="P12" s="803" t="s">
        <v>1801</v>
      </c>
      <c r="Q12" s="804">
        <v>2.24E-4</v>
      </c>
      <c r="R12" s="805" t="s">
        <v>414</v>
      </c>
      <c r="S12" s="527">
        <v>7.4799999999999997E-4</v>
      </c>
      <c r="T12" s="528" t="s">
        <v>414</v>
      </c>
    </row>
    <row r="13" spans="1:20" ht="15" customHeight="1">
      <c r="A13" s="791" t="s">
        <v>371</v>
      </c>
      <c r="B13" s="792" t="s">
        <v>372</v>
      </c>
      <c r="C13" s="793">
        <v>72.063999999999993</v>
      </c>
      <c r="D13" s="794" t="s">
        <v>1801</v>
      </c>
      <c r="E13" s="795">
        <v>1.5099999999999999E-5</v>
      </c>
      <c r="F13" s="795">
        <v>3.7E-7</v>
      </c>
      <c r="G13" s="796" t="s">
        <v>414</v>
      </c>
      <c r="H13" s="797">
        <v>1.0510999999999999</v>
      </c>
      <c r="I13" s="798" t="s">
        <v>1796</v>
      </c>
      <c r="J13" s="799">
        <v>0.1027173</v>
      </c>
      <c r="K13" s="799">
        <v>1.2E-5</v>
      </c>
      <c r="L13" s="800" t="s">
        <v>2367</v>
      </c>
      <c r="M13" s="801">
        <v>1.44</v>
      </c>
      <c r="N13" s="801" t="s">
        <v>414</v>
      </c>
      <c r="O13" s="802">
        <v>1000000</v>
      </c>
      <c r="P13" s="803" t="s">
        <v>1801</v>
      </c>
      <c r="Q13" s="804">
        <v>1.0499999999999999E-3</v>
      </c>
      <c r="R13" s="805" t="s">
        <v>414</v>
      </c>
      <c r="S13" s="527">
        <v>2.24E-4</v>
      </c>
      <c r="T13" s="528" t="s">
        <v>414</v>
      </c>
    </row>
    <row r="14" spans="1:20" ht="15" customHeight="1" thickBot="1">
      <c r="A14" s="806" t="s">
        <v>93</v>
      </c>
      <c r="B14" s="807" t="s">
        <v>373</v>
      </c>
      <c r="C14" s="808">
        <v>53.064</v>
      </c>
      <c r="D14" s="809" t="s">
        <v>1801</v>
      </c>
      <c r="E14" s="810">
        <v>5.6419E-3</v>
      </c>
      <c r="F14" s="810">
        <v>1.3799999999999999E-4</v>
      </c>
      <c r="G14" s="811" t="s">
        <v>1801</v>
      </c>
      <c r="H14" s="812">
        <v>0.80069999999999997</v>
      </c>
      <c r="I14" s="813" t="s">
        <v>1796</v>
      </c>
      <c r="J14" s="814">
        <v>0.1136836</v>
      </c>
      <c r="K14" s="814">
        <v>1.2300000000000001E-5</v>
      </c>
      <c r="L14" s="815" t="s">
        <v>2367</v>
      </c>
      <c r="M14" s="816">
        <v>8.5109999999999992</v>
      </c>
      <c r="N14" s="816" t="s">
        <v>414</v>
      </c>
      <c r="O14" s="817">
        <v>74500</v>
      </c>
      <c r="P14" s="818" t="s">
        <v>1801</v>
      </c>
      <c r="Q14" s="819">
        <v>1.16E-3</v>
      </c>
      <c r="R14" s="820" t="s">
        <v>414</v>
      </c>
      <c r="S14" s="521">
        <v>1.0499999999999999E-3</v>
      </c>
      <c r="T14" s="522" t="s">
        <v>414</v>
      </c>
    </row>
    <row r="15" spans="1:20" ht="15" customHeight="1">
      <c r="A15" s="791" t="s">
        <v>374</v>
      </c>
      <c r="B15" s="792" t="s">
        <v>375</v>
      </c>
      <c r="C15" s="793">
        <v>108.14</v>
      </c>
      <c r="D15" s="794" t="s">
        <v>1801</v>
      </c>
      <c r="E15" s="795">
        <v>4.9468999999999998E-8</v>
      </c>
      <c r="F15" s="795">
        <v>1.21E-9</v>
      </c>
      <c r="G15" s="796" t="s">
        <v>414</v>
      </c>
      <c r="H15" s="797">
        <v>0.96760000000000002</v>
      </c>
      <c r="I15" s="798" t="s">
        <v>1796</v>
      </c>
      <c r="J15" s="799">
        <v>7.0777499999999993E-2</v>
      </c>
      <c r="K15" s="799">
        <v>8.9598000000000002E-6</v>
      </c>
      <c r="L15" s="800" t="s">
        <v>2367</v>
      </c>
      <c r="M15" s="801">
        <v>20.18</v>
      </c>
      <c r="N15" s="801" t="s">
        <v>414</v>
      </c>
      <c r="O15" s="802">
        <v>80000</v>
      </c>
      <c r="P15" s="803" t="s">
        <v>1801</v>
      </c>
      <c r="Q15" s="804">
        <v>2.3699999999999999E-4</v>
      </c>
      <c r="R15" s="805" t="s">
        <v>414</v>
      </c>
      <c r="S15" s="527">
        <v>1.16E-3</v>
      </c>
      <c r="T15" s="528" t="s">
        <v>414</v>
      </c>
    </row>
    <row r="16" spans="1:20" ht="15" customHeight="1">
      <c r="A16" s="791" t="s">
        <v>376</v>
      </c>
      <c r="B16" s="792" t="s">
        <v>377</v>
      </c>
      <c r="C16" s="793">
        <v>269.77</v>
      </c>
      <c r="D16" s="794" t="s">
        <v>1801</v>
      </c>
      <c r="E16" s="795">
        <v>3.4014999999999999E-7</v>
      </c>
      <c r="F16" s="795">
        <v>8.3199999999999994E-9</v>
      </c>
      <c r="G16" s="796" t="s">
        <v>1801</v>
      </c>
      <c r="H16" s="797">
        <v>1.133</v>
      </c>
      <c r="I16" s="798" t="s">
        <v>1796</v>
      </c>
      <c r="J16" s="799">
        <v>2.26407E-2</v>
      </c>
      <c r="K16" s="799">
        <v>5.6913E-6</v>
      </c>
      <c r="L16" s="800" t="s">
        <v>2367</v>
      </c>
      <c r="M16" s="801">
        <v>312.3</v>
      </c>
      <c r="N16" s="801" t="s">
        <v>414</v>
      </c>
      <c r="O16" s="802">
        <v>240</v>
      </c>
      <c r="P16" s="803" t="s">
        <v>1801</v>
      </c>
      <c r="Q16" s="804">
        <v>1.0500000000000001E-2</v>
      </c>
      <c r="R16" s="805" t="s">
        <v>414</v>
      </c>
      <c r="S16" s="527">
        <v>2.3699999999999999E-4</v>
      </c>
      <c r="T16" s="528" t="s">
        <v>414</v>
      </c>
    </row>
    <row r="17" spans="1:20" ht="15" customHeight="1" thickBot="1">
      <c r="A17" s="806" t="s">
        <v>378</v>
      </c>
      <c r="B17" s="807" t="s">
        <v>379</v>
      </c>
      <c r="C17" s="808">
        <v>190.27</v>
      </c>
      <c r="D17" s="809" t="s">
        <v>1801</v>
      </c>
      <c r="E17" s="810">
        <v>5.8871999999999999E-8</v>
      </c>
      <c r="F17" s="810">
        <v>1.44E-9</v>
      </c>
      <c r="G17" s="811" t="s">
        <v>414</v>
      </c>
      <c r="H17" s="812">
        <v>1.1950000000000001</v>
      </c>
      <c r="I17" s="813" t="s">
        <v>1796</v>
      </c>
      <c r="J17" s="814">
        <v>3.18629E-2</v>
      </c>
      <c r="K17" s="814">
        <v>7.2455000000000003E-6</v>
      </c>
      <c r="L17" s="815" t="s">
        <v>2367</v>
      </c>
      <c r="M17" s="816">
        <v>24.64</v>
      </c>
      <c r="N17" s="816" t="s">
        <v>414</v>
      </c>
      <c r="O17" s="817">
        <v>6030</v>
      </c>
      <c r="P17" s="818" t="s">
        <v>1801</v>
      </c>
      <c r="Q17" s="819">
        <v>7.5500000000000003E-4</v>
      </c>
      <c r="R17" s="820" t="s">
        <v>414</v>
      </c>
      <c r="S17" s="521">
        <v>1.0500000000000001E-2</v>
      </c>
      <c r="T17" s="522" t="s">
        <v>414</v>
      </c>
    </row>
    <row r="18" spans="1:20" ht="15" customHeight="1">
      <c r="A18" s="791" t="s">
        <v>380</v>
      </c>
      <c r="B18" s="792" t="s">
        <v>381</v>
      </c>
      <c r="C18" s="793">
        <v>222.26</v>
      </c>
      <c r="D18" s="794" t="s">
        <v>1801</v>
      </c>
      <c r="E18" s="795">
        <v>1.3778000000000001E-7</v>
      </c>
      <c r="F18" s="795">
        <v>3.3700000000000001E-9</v>
      </c>
      <c r="G18" s="796" t="s">
        <v>414</v>
      </c>
      <c r="H18" s="821" t="s">
        <v>1750</v>
      </c>
      <c r="I18" s="822" t="s">
        <v>43</v>
      </c>
      <c r="J18" s="799">
        <v>5.1782099999999998E-2</v>
      </c>
      <c r="K18" s="799">
        <v>6.0503000000000003E-6</v>
      </c>
      <c r="L18" s="800" t="s">
        <v>2367</v>
      </c>
      <c r="M18" s="801">
        <v>10</v>
      </c>
      <c r="N18" s="801" t="s">
        <v>414</v>
      </c>
      <c r="O18" s="802">
        <v>10000</v>
      </c>
      <c r="P18" s="803" t="s">
        <v>1801</v>
      </c>
      <c r="Q18" s="804">
        <v>3.7100000000000001E-5</v>
      </c>
      <c r="R18" s="805" t="s">
        <v>414</v>
      </c>
      <c r="S18" s="527">
        <v>7.5500000000000003E-4</v>
      </c>
      <c r="T18" s="528" t="s">
        <v>414</v>
      </c>
    </row>
    <row r="19" spans="1:20" ht="15" customHeight="1">
      <c r="A19" s="791" t="s">
        <v>1799</v>
      </c>
      <c r="B19" s="792" t="s">
        <v>1800</v>
      </c>
      <c r="C19" s="793">
        <v>206.27</v>
      </c>
      <c r="D19" s="794" t="s">
        <v>1801</v>
      </c>
      <c r="E19" s="795">
        <v>3.9616000000000002E-8</v>
      </c>
      <c r="F19" s="795">
        <v>9.6900000000000007E-10</v>
      </c>
      <c r="G19" s="796" t="s">
        <v>414</v>
      </c>
      <c r="H19" s="821" t="s">
        <v>1750</v>
      </c>
      <c r="I19" s="822" t="s">
        <v>43</v>
      </c>
      <c r="J19" s="799">
        <v>5.4424699999999999E-2</v>
      </c>
      <c r="K19" s="799">
        <v>6.3590999999999998E-6</v>
      </c>
      <c r="L19" s="800" t="s">
        <v>2367</v>
      </c>
      <c r="M19" s="801">
        <v>10</v>
      </c>
      <c r="N19" s="801" t="s">
        <v>414</v>
      </c>
      <c r="O19" s="802">
        <v>28000</v>
      </c>
      <c r="P19" s="803" t="s">
        <v>1801</v>
      </c>
      <c r="Q19" s="804">
        <v>3.29E-5</v>
      </c>
      <c r="R19" s="805" t="s">
        <v>414</v>
      </c>
      <c r="S19" s="527">
        <v>3.7100000000000001E-5</v>
      </c>
      <c r="T19" s="528" t="s">
        <v>414</v>
      </c>
    </row>
    <row r="20" spans="1:20" ht="15" customHeight="1" thickBot="1">
      <c r="A20" s="806" t="s">
        <v>109</v>
      </c>
      <c r="B20" s="807" t="s">
        <v>382</v>
      </c>
      <c r="C20" s="808">
        <v>364.92</v>
      </c>
      <c r="D20" s="809" t="s">
        <v>1801</v>
      </c>
      <c r="E20" s="810">
        <v>1.7989E-3</v>
      </c>
      <c r="F20" s="810">
        <v>4.3999999999999999E-5</v>
      </c>
      <c r="G20" s="811" t="s">
        <v>1801</v>
      </c>
      <c r="H20" s="812">
        <v>1.6</v>
      </c>
      <c r="I20" s="813" t="s">
        <v>2168</v>
      </c>
      <c r="J20" s="814">
        <v>2.2811600000000001E-2</v>
      </c>
      <c r="K20" s="814">
        <v>5.8401999999999996E-6</v>
      </c>
      <c r="L20" s="815" t="s">
        <v>2367</v>
      </c>
      <c r="M20" s="816">
        <v>82020</v>
      </c>
      <c r="N20" s="816" t="s">
        <v>414</v>
      </c>
      <c r="O20" s="817">
        <v>1.7000000000000001E-2</v>
      </c>
      <c r="P20" s="818" t="s">
        <v>1801</v>
      </c>
      <c r="Q20" s="819">
        <v>0.29299999999999998</v>
      </c>
      <c r="R20" s="820" t="s">
        <v>414</v>
      </c>
      <c r="S20" s="521">
        <v>3.29E-5</v>
      </c>
      <c r="T20" s="522" t="s">
        <v>414</v>
      </c>
    </row>
    <row r="21" spans="1:20" ht="15" customHeight="1">
      <c r="A21" s="791" t="s">
        <v>384</v>
      </c>
      <c r="B21" s="792" t="s">
        <v>385</v>
      </c>
      <c r="C21" s="793">
        <v>58.081000000000003</v>
      </c>
      <c r="D21" s="794" t="s">
        <v>1801</v>
      </c>
      <c r="E21" s="795">
        <v>2.04E-4</v>
      </c>
      <c r="F21" s="795">
        <v>4.9899999999999997E-6</v>
      </c>
      <c r="G21" s="796" t="s">
        <v>1801</v>
      </c>
      <c r="H21" s="797">
        <v>0.85399999999999998</v>
      </c>
      <c r="I21" s="798" t="s">
        <v>1796</v>
      </c>
      <c r="J21" s="799">
        <v>0.1097535</v>
      </c>
      <c r="K21" s="799">
        <v>1.2099999999999999E-5</v>
      </c>
      <c r="L21" s="800" t="s">
        <v>2367</v>
      </c>
      <c r="M21" s="801">
        <v>1.9039999999999999</v>
      </c>
      <c r="N21" s="801" t="s">
        <v>414</v>
      </c>
      <c r="O21" s="802">
        <v>1000000</v>
      </c>
      <c r="P21" s="803" t="s">
        <v>1801</v>
      </c>
      <c r="Q21" s="804">
        <v>9.59E-4</v>
      </c>
      <c r="R21" s="805" t="s">
        <v>414</v>
      </c>
      <c r="S21" s="527">
        <v>0.29299999999999998</v>
      </c>
      <c r="T21" s="528" t="s">
        <v>414</v>
      </c>
    </row>
    <row r="22" spans="1:20" ht="15" customHeight="1">
      <c r="A22" s="791" t="s">
        <v>386</v>
      </c>
      <c r="B22" s="792" t="s">
        <v>387</v>
      </c>
      <c r="C22" s="793">
        <v>76.525999999999996</v>
      </c>
      <c r="D22" s="794" t="s">
        <v>1801</v>
      </c>
      <c r="E22" s="795">
        <v>0.4497138</v>
      </c>
      <c r="F22" s="795">
        <v>1.0999999999999999E-2</v>
      </c>
      <c r="G22" s="796" t="s">
        <v>414</v>
      </c>
      <c r="H22" s="797">
        <v>0.93759999999999999</v>
      </c>
      <c r="I22" s="798" t="s">
        <v>1796</v>
      </c>
      <c r="J22" s="799">
        <v>9.3611E-2</v>
      </c>
      <c r="K22" s="799">
        <v>1.08E-5</v>
      </c>
      <c r="L22" s="800" t="s">
        <v>2367</v>
      </c>
      <c r="M22" s="801">
        <v>39.6</v>
      </c>
      <c r="N22" s="801" t="s">
        <v>414</v>
      </c>
      <c r="O22" s="802">
        <v>3370</v>
      </c>
      <c r="P22" s="803" t="s">
        <v>1801</v>
      </c>
      <c r="Q22" s="804">
        <v>1.12E-2</v>
      </c>
      <c r="R22" s="805" t="s">
        <v>414</v>
      </c>
      <c r="S22" s="527">
        <v>3.2899999999999997E-4</v>
      </c>
      <c r="T22" s="528" t="s">
        <v>414</v>
      </c>
    </row>
    <row r="23" spans="1:20" ht="15" customHeight="1" thickBot="1">
      <c r="A23" s="806" t="s">
        <v>388</v>
      </c>
      <c r="B23" s="807" t="s">
        <v>389</v>
      </c>
      <c r="C23" s="808">
        <v>26.981999999999999</v>
      </c>
      <c r="D23" s="809" t="s">
        <v>1796</v>
      </c>
      <c r="E23" s="823" t="s">
        <v>1750</v>
      </c>
      <c r="F23" s="823" t="s">
        <v>1750</v>
      </c>
      <c r="G23" s="824" t="s">
        <v>43</v>
      </c>
      <c r="H23" s="812">
        <v>2.7</v>
      </c>
      <c r="I23" s="813" t="s">
        <v>1796</v>
      </c>
      <c r="J23" s="825" t="s">
        <v>1750</v>
      </c>
      <c r="K23" s="825" t="s">
        <v>1750</v>
      </c>
      <c r="L23" s="826" t="s">
        <v>43</v>
      </c>
      <c r="M23" s="827" t="s">
        <v>1750</v>
      </c>
      <c r="N23" s="828" t="s">
        <v>43</v>
      </c>
      <c r="O23" s="829" t="s">
        <v>1750</v>
      </c>
      <c r="P23" s="830" t="s">
        <v>43</v>
      </c>
      <c r="Q23" s="819">
        <v>1E-3</v>
      </c>
      <c r="R23" s="820" t="s">
        <v>1797</v>
      </c>
      <c r="S23" s="521">
        <v>9.59E-4</v>
      </c>
      <c r="T23" s="522" t="s">
        <v>414</v>
      </c>
    </row>
    <row r="24" spans="1:20" ht="15" customHeight="1">
      <c r="A24" s="791" t="s">
        <v>390</v>
      </c>
      <c r="B24" s="792" t="s">
        <v>391</v>
      </c>
      <c r="C24" s="793">
        <v>57.954999999999998</v>
      </c>
      <c r="D24" s="794" t="s">
        <v>1801</v>
      </c>
      <c r="E24" s="831" t="s">
        <v>1750</v>
      </c>
      <c r="F24" s="831" t="s">
        <v>1750</v>
      </c>
      <c r="G24" s="832" t="s">
        <v>43</v>
      </c>
      <c r="H24" s="797">
        <v>2.4</v>
      </c>
      <c r="I24" s="798" t="s">
        <v>1796</v>
      </c>
      <c r="J24" s="833" t="s">
        <v>1750</v>
      </c>
      <c r="K24" s="833" t="s">
        <v>1750</v>
      </c>
      <c r="L24" s="834" t="s">
        <v>43</v>
      </c>
      <c r="M24" s="835" t="s">
        <v>1750</v>
      </c>
      <c r="N24" s="836" t="s">
        <v>43</v>
      </c>
      <c r="O24" s="837" t="s">
        <v>1750</v>
      </c>
      <c r="P24" s="838" t="s">
        <v>43</v>
      </c>
      <c r="Q24" s="804">
        <v>1E-3</v>
      </c>
      <c r="R24" s="805" t="s">
        <v>1797</v>
      </c>
      <c r="S24" s="527">
        <v>1.12E-2</v>
      </c>
      <c r="T24" s="528" t="s">
        <v>414</v>
      </c>
    </row>
    <row r="25" spans="1:20" ht="15" customHeight="1">
      <c r="A25" s="791" t="s">
        <v>393</v>
      </c>
      <c r="B25" s="792" t="s">
        <v>394</v>
      </c>
      <c r="C25" s="793">
        <v>227.33</v>
      </c>
      <c r="D25" s="794" t="s">
        <v>1801</v>
      </c>
      <c r="E25" s="795">
        <v>9.9345999999999995E-8</v>
      </c>
      <c r="F25" s="795">
        <v>2.4300000000000001E-9</v>
      </c>
      <c r="G25" s="796" t="s">
        <v>414</v>
      </c>
      <c r="H25" s="821" t="s">
        <v>1750</v>
      </c>
      <c r="I25" s="822" t="s">
        <v>43</v>
      </c>
      <c r="J25" s="799">
        <v>5.10093E-2</v>
      </c>
      <c r="K25" s="799">
        <v>5.9599999999999997E-6</v>
      </c>
      <c r="L25" s="800" t="s">
        <v>2367</v>
      </c>
      <c r="M25" s="801">
        <v>428.2</v>
      </c>
      <c r="N25" s="801" t="s">
        <v>414</v>
      </c>
      <c r="O25" s="802">
        <v>209</v>
      </c>
      <c r="P25" s="803" t="s">
        <v>1801</v>
      </c>
      <c r="Q25" s="804">
        <v>7.9399999999999991E-3</v>
      </c>
      <c r="R25" s="805" t="s">
        <v>414</v>
      </c>
      <c r="S25" s="527">
        <v>1E-3</v>
      </c>
      <c r="T25" s="528" t="s">
        <v>1797</v>
      </c>
    </row>
    <row r="26" spans="1:20" ht="15" customHeight="1" thickBot="1">
      <c r="A26" s="806" t="s">
        <v>395</v>
      </c>
      <c r="B26" s="807" t="s">
        <v>396</v>
      </c>
      <c r="C26" s="808">
        <v>169.23</v>
      </c>
      <c r="D26" s="809" t="s">
        <v>1801</v>
      </c>
      <c r="E26" s="810">
        <v>5.9688999999999997E-6</v>
      </c>
      <c r="F26" s="810">
        <v>1.4600000000000001E-7</v>
      </c>
      <c r="G26" s="811" t="s">
        <v>1801</v>
      </c>
      <c r="H26" s="839" t="s">
        <v>1750</v>
      </c>
      <c r="I26" s="840" t="s">
        <v>43</v>
      </c>
      <c r="J26" s="814">
        <v>6.2101499999999997E-2</v>
      </c>
      <c r="K26" s="814">
        <v>7.2560999999999999E-6</v>
      </c>
      <c r="L26" s="815" t="s">
        <v>2367</v>
      </c>
      <c r="M26" s="816">
        <v>2471</v>
      </c>
      <c r="N26" s="816" t="s">
        <v>414</v>
      </c>
      <c r="O26" s="817">
        <v>223.9</v>
      </c>
      <c r="P26" s="818" t="s">
        <v>1801</v>
      </c>
      <c r="Q26" s="819">
        <v>1.4E-2</v>
      </c>
      <c r="R26" s="820" t="s">
        <v>414</v>
      </c>
      <c r="S26" s="521">
        <v>1E-3</v>
      </c>
      <c r="T26" s="522" t="s">
        <v>1797</v>
      </c>
    </row>
    <row r="27" spans="1:20" ht="15" customHeight="1">
      <c r="A27" s="791" t="s">
        <v>397</v>
      </c>
      <c r="B27" s="792" t="s">
        <v>398</v>
      </c>
      <c r="C27" s="793">
        <v>109.13</v>
      </c>
      <c r="D27" s="794" t="s">
        <v>1801</v>
      </c>
      <c r="E27" s="795">
        <v>8.0947999999999998E-9</v>
      </c>
      <c r="F27" s="795">
        <v>1.9799999999999999E-10</v>
      </c>
      <c r="G27" s="796" t="s">
        <v>1801</v>
      </c>
      <c r="H27" s="821" t="s">
        <v>1750</v>
      </c>
      <c r="I27" s="822" t="s">
        <v>43</v>
      </c>
      <c r="J27" s="799">
        <v>8.3200200000000002E-2</v>
      </c>
      <c r="K27" s="799">
        <v>9.7212999999999996E-6</v>
      </c>
      <c r="L27" s="800" t="s">
        <v>2367</v>
      </c>
      <c r="M27" s="801">
        <v>90.2</v>
      </c>
      <c r="N27" s="801" t="s">
        <v>414</v>
      </c>
      <c r="O27" s="802">
        <v>27000</v>
      </c>
      <c r="P27" s="803" t="s">
        <v>1801</v>
      </c>
      <c r="Q27" s="804">
        <v>5.2700000000000002E-4</v>
      </c>
      <c r="R27" s="805" t="s">
        <v>414</v>
      </c>
      <c r="S27" s="527">
        <v>9.0199999999999997E-5</v>
      </c>
      <c r="T27" s="528" t="s">
        <v>414</v>
      </c>
    </row>
    <row r="28" spans="1:20" ht="15" customHeight="1">
      <c r="A28" s="791" t="s">
        <v>2397</v>
      </c>
      <c r="B28" s="792" t="s">
        <v>2398</v>
      </c>
      <c r="C28" s="793">
        <v>109.13</v>
      </c>
      <c r="D28" s="794" t="s">
        <v>1801</v>
      </c>
      <c r="E28" s="795">
        <v>8.0947999999999998E-9</v>
      </c>
      <c r="F28" s="795">
        <v>1.9799999999999999E-10</v>
      </c>
      <c r="G28" s="796" t="s">
        <v>1801</v>
      </c>
      <c r="H28" s="797">
        <v>1.3280000000000001</v>
      </c>
      <c r="I28" s="798" t="s">
        <v>1796</v>
      </c>
      <c r="J28" s="799">
        <v>8.0487600000000006E-2</v>
      </c>
      <c r="K28" s="799">
        <v>1.08E-5</v>
      </c>
      <c r="L28" s="800" t="s">
        <v>2367</v>
      </c>
      <c r="M28" s="801">
        <v>92.04</v>
      </c>
      <c r="N28" s="801" t="s">
        <v>414</v>
      </c>
      <c r="O28" s="802">
        <v>20000</v>
      </c>
      <c r="P28" s="803" t="s">
        <v>1801</v>
      </c>
      <c r="Q28" s="804">
        <v>9.8799999999999995E-4</v>
      </c>
      <c r="R28" s="805" t="s">
        <v>414</v>
      </c>
      <c r="S28" s="527">
        <v>7.9399999999999991E-3</v>
      </c>
      <c r="T28" s="528" t="s">
        <v>414</v>
      </c>
    </row>
    <row r="29" spans="1:20" ht="15" customHeight="1" thickBot="1">
      <c r="A29" s="806" t="s">
        <v>399</v>
      </c>
      <c r="B29" s="807" t="s">
        <v>400</v>
      </c>
      <c r="C29" s="808">
        <v>109.13</v>
      </c>
      <c r="D29" s="809" t="s">
        <v>1801</v>
      </c>
      <c r="E29" s="810">
        <v>1.4677E-8</v>
      </c>
      <c r="F29" s="810">
        <v>3.59E-10</v>
      </c>
      <c r="G29" s="811" t="s">
        <v>414</v>
      </c>
      <c r="H29" s="839" t="s">
        <v>1750</v>
      </c>
      <c r="I29" s="840" t="s">
        <v>43</v>
      </c>
      <c r="J29" s="814">
        <v>8.3200200000000002E-2</v>
      </c>
      <c r="K29" s="814">
        <v>9.7212999999999996E-6</v>
      </c>
      <c r="L29" s="815" t="s">
        <v>2367</v>
      </c>
      <c r="M29" s="816">
        <v>90.2</v>
      </c>
      <c r="N29" s="816" t="s">
        <v>414</v>
      </c>
      <c r="O29" s="817">
        <v>16000</v>
      </c>
      <c r="P29" s="818" t="s">
        <v>1801</v>
      </c>
      <c r="Q29" s="819">
        <v>4.0700000000000003E-4</v>
      </c>
      <c r="R29" s="820" t="s">
        <v>414</v>
      </c>
      <c r="S29" s="521">
        <v>1.4E-2</v>
      </c>
      <c r="T29" s="522" t="s">
        <v>414</v>
      </c>
    </row>
    <row r="30" spans="1:20" ht="15" customHeight="1">
      <c r="A30" s="791" t="s">
        <v>401</v>
      </c>
      <c r="B30" s="792" t="s">
        <v>402</v>
      </c>
      <c r="C30" s="793">
        <v>293.42</v>
      </c>
      <c r="D30" s="794" t="s">
        <v>1801</v>
      </c>
      <c r="E30" s="795">
        <v>4.035E-4</v>
      </c>
      <c r="F30" s="795">
        <v>9.8700000000000004E-6</v>
      </c>
      <c r="G30" s="796" t="s">
        <v>1801</v>
      </c>
      <c r="H30" s="797">
        <v>1.1279999999999999</v>
      </c>
      <c r="I30" s="798" t="s">
        <v>1796</v>
      </c>
      <c r="J30" s="799">
        <v>2.1614299999999999E-2</v>
      </c>
      <c r="K30" s="799">
        <v>5.3971000000000004E-6</v>
      </c>
      <c r="L30" s="800" t="s">
        <v>2367</v>
      </c>
      <c r="M30" s="801">
        <v>257300</v>
      </c>
      <c r="N30" s="801" t="s">
        <v>414</v>
      </c>
      <c r="O30" s="802">
        <v>1</v>
      </c>
      <c r="P30" s="803" t="s">
        <v>1801</v>
      </c>
      <c r="Q30" s="804">
        <v>0.16</v>
      </c>
      <c r="R30" s="805" t="s">
        <v>414</v>
      </c>
      <c r="S30" s="527">
        <v>5.2700000000000002E-4</v>
      </c>
      <c r="T30" s="528" t="s">
        <v>414</v>
      </c>
    </row>
    <row r="31" spans="1:20" ht="15" customHeight="1">
      <c r="A31" s="791" t="s">
        <v>403</v>
      </c>
      <c r="B31" s="792" t="s">
        <v>404</v>
      </c>
      <c r="C31" s="793">
        <v>17.030999999999999</v>
      </c>
      <c r="D31" s="794" t="s">
        <v>1801</v>
      </c>
      <c r="E31" s="795">
        <v>6.5819999999999995E-4</v>
      </c>
      <c r="F31" s="795">
        <v>1.6099999999999998E-5</v>
      </c>
      <c r="G31" s="796" t="s">
        <v>1801</v>
      </c>
      <c r="H31" s="797">
        <v>0.69599999999999995</v>
      </c>
      <c r="I31" s="798" t="s">
        <v>1796</v>
      </c>
      <c r="J31" s="799">
        <v>0.2305471</v>
      </c>
      <c r="K31" s="799">
        <v>2.23E-5</v>
      </c>
      <c r="L31" s="800" t="s">
        <v>2367</v>
      </c>
      <c r="M31" s="835" t="s">
        <v>1750</v>
      </c>
      <c r="N31" s="836" t="s">
        <v>43</v>
      </c>
      <c r="O31" s="802">
        <v>482000</v>
      </c>
      <c r="P31" s="803" t="s">
        <v>1801</v>
      </c>
      <c r="Q31" s="804">
        <v>1E-3</v>
      </c>
      <c r="R31" s="805" t="s">
        <v>1797</v>
      </c>
      <c r="S31" s="527">
        <v>4.0700000000000003E-4</v>
      </c>
      <c r="T31" s="528" t="s">
        <v>414</v>
      </c>
    </row>
    <row r="32" spans="1:20" ht="15" customHeight="1" thickBot="1">
      <c r="A32" s="806" t="s">
        <v>406</v>
      </c>
      <c r="B32" s="807" t="s">
        <v>407</v>
      </c>
      <c r="C32" s="808">
        <v>114.124</v>
      </c>
      <c r="D32" s="809" t="s">
        <v>1796</v>
      </c>
      <c r="E32" s="823" t="s">
        <v>1750</v>
      </c>
      <c r="F32" s="823" t="s">
        <v>1750</v>
      </c>
      <c r="G32" s="824" t="s">
        <v>43</v>
      </c>
      <c r="H32" s="812">
        <v>1.77</v>
      </c>
      <c r="I32" s="813" t="s">
        <v>2168</v>
      </c>
      <c r="J32" s="825" t="s">
        <v>1750</v>
      </c>
      <c r="K32" s="825" t="s">
        <v>1750</v>
      </c>
      <c r="L32" s="826" t="s">
        <v>43</v>
      </c>
      <c r="M32" s="827" t="s">
        <v>1750</v>
      </c>
      <c r="N32" s="828" t="s">
        <v>43</v>
      </c>
      <c r="O32" s="817">
        <v>1340000</v>
      </c>
      <c r="P32" s="818" t="s">
        <v>1802</v>
      </c>
      <c r="Q32" s="819">
        <v>1E-3</v>
      </c>
      <c r="R32" s="820" t="s">
        <v>1797</v>
      </c>
      <c r="S32" s="521">
        <v>0.16</v>
      </c>
      <c r="T32" s="522" t="s">
        <v>414</v>
      </c>
    </row>
    <row r="33" spans="1:20" ht="15" customHeight="1">
      <c r="A33" s="791" t="s">
        <v>2105</v>
      </c>
      <c r="B33" s="792" t="s">
        <v>2104</v>
      </c>
      <c r="C33" s="793">
        <v>88.150999999999996</v>
      </c>
      <c r="D33" s="794" t="s">
        <v>1801</v>
      </c>
      <c r="E33" s="795">
        <v>5.6420000000000005E-4</v>
      </c>
      <c r="F33" s="795">
        <v>1.38E-5</v>
      </c>
      <c r="G33" s="796" t="s">
        <v>1801</v>
      </c>
      <c r="H33" s="797">
        <v>0.80959999999999999</v>
      </c>
      <c r="I33" s="798" t="s">
        <v>1796</v>
      </c>
      <c r="J33" s="799">
        <v>7.8544699999999995E-2</v>
      </c>
      <c r="K33" s="799">
        <v>9.1012000000000002E-6</v>
      </c>
      <c r="L33" s="800" t="s">
        <v>2367</v>
      </c>
      <c r="M33" s="801">
        <v>4.1379999999999999</v>
      </c>
      <c r="N33" s="801" t="s">
        <v>414</v>
      </c>
      <c r="O33" s="802">
        <v>110000</v>
      </c>
      <c r="P33" s="803" t="s">
        <v>1801</v>
      </c>
      <c r="Q33" s="804">
        <v>1.9599999999999999E-3</v>
      </c>
      <c r="R33" s="805" t="s">
        <v>414</v>
      </c>
      <c r="S33" s="527">
        <v>1E-3</v>
      </c>
      <c r="T33" s="528" t="s">
        <v>1797</v>
      </c>
    </row>
    <row r="34" spans="1:20" ht="15" customHeight="1">
      <c r="A34" s="791" t="s">
        <v>408</v>
      </c>
      <c r="B34" s="792" t="s">
        <v>409</v>
      </c>
      <c r="C34" s="793">
        <v>93.129000000000005</v>
      </c>
      <c r="D34" s="794" t="s">
        <v>1801</v>
      </c>
      <c r="E34" s="795">
        <v>8.2600000000000002E-5</v>
      </c>
      <c r="F34" s="795">
        <v>2.0200000000000001E-6</v>
      </c>
      <c r="G34" s="796" t="s">
        <v>1801</v>
      </c>
      <c r="H34" s="797">
        <v>1.0217000000000001</v>
      </c>
      <c r="I34" s="798" t="s">
        <v>1796</v>
      </c>
      <c r="J34" s="799">
        <v>8.3012199999999994E-2</v>
      </c>
      <c r="K34" s="799">
        <v>1.01E-5</v>
      </c>
      <c r="L34" s="800" t="s">
        <v>2367</v>
      </c>
      <c r="M34" s="801">
        <v>70.23</v>
      </c>
      <c r="N34" s="801" t="s">
        <v>414</v>
      </c>
      <c r="O34" s="802">
        <v>36000</v>
      </c>
      <c r="P34" s="803" t="s">
        <v>1801</v>
      </c>
      <c r="Q34" s="804">
        <v>1.8600000000000001E-3</v>
      </c>
      <c r="R34" s="805" t="s">
        <v>414</v>
      </c>
      <c r="S34" s="527">
        <v>1E-3</v>
      </c>
      <c r="T34" s="528" t="s">
        <v>1797</v>
      </c>
    </row>
    <row r="35" spans="1:20" ht="15" customHeight="1" thickBot="1">
      <c r="A35" s="806" t="s">
        <v>1803</v>
      </c>
      <c r="B35" s="807" t="s">
        <v>1804</v>
      </c>
      <c r="C35" s="808">
        <v>208.22</v>
      </c>
      <c r="D35" s="809" t="s">
        <v>1801</v>
      </c>
      <c r="E35" s="810">
        <v>9.6099999999999999E-7</v>
      </c>
      <c r="F35" s="810">
        <v>2.3499999999999999E-8</v>
      </c>
      <c r="G35" s="811" t="s">
        <v>414</v>
      </c>
      <c r="H35" s="839" t="s">
        <v>1750</v>
      </c>
      <c r="I35" s="840" t="s">
        <v>43</v>
      </c>
      <c r="J35" s="814">
        <v>5.4084399999999998E-2</v>
      </c>
      <c r="K35" s="814">
        <v>6.3192999999999998E-6</v>
      </c>
      <c r="L35" s="815" t="s">
        <v>2367</v>
      </c>
      <c r="M35" s="816">
        <v>5012</v>
      </c>
      <c r="N35" s="816" t="s">
        <v>414</v>
      </c>
      <c r="O35" s="817">
        <v>1.35</v>
      </c>
      <c r="P35" s="818" t="s">
        <v>1801</v>
      </c>
      <c r="Q35" s="819">
        <v>1.9E-2</v>
      </c>
      <c r="R35" s="820" t="s">
        <v>414</v>
      </c>
      <c r="S35" s="521">
        <v>1.9599999999999999E-3</v>
      </c>
      <c r="T35" s="522" t="s">
        <v>414</v>
      </c>
    </row>
    <row r="36" spans="1:20" ht="15" customHeight="1">
      <c r="A36" s="791" t="s">
        <v>410</v>
      </c>
      <c r="B36" s="792" t="s">
        <v>411</v>
      </c>
      <c r="C36" s="793">
        <v>121.76</v>
      </c>
      <c r="D36" s="794" t="s">
        <v>1796</v>
      </c>
      <c r="E36" s="831" t="s">
        <v>1750</v>
      </c>
      <c r="F36" s="831" t="s">
        <v>1750</v>
      </c>
      <c r="G36" s="832" t="s">
        <v>43</v>
      </c>
      <c r="H36" s="797">
        <v>6.68</v>
      </c>
      <c r="I36" s="798" t="s">
        <v>1796</v>
      </c>
      <c r="J36" s="833" t="s">
        <v>1750</v>
      </c>
      <c r="K36" s="833" t="s">
        <v>1750</v>
      </c>
      <c r="L36" s="834" t="s">
        <v>43</v>
      </c>
      <c r="M36" s="835" t="s">
        <v>1750</v>
      </c>
      <c r="N36" s="836" t="s">
        <v>43</v>
      </c>
      <c r="O36" s="837" t="s">
        <v>1750</v>
      </c>
      <c r="P36" s="838" t="s">
        <v>43</v>
      </c>
      <c r="Q36" s="804">
        <v>1E-3</v>
      </c>
      <c r="R36" s="805" t="s">
        <v>1797</v>
      </c>
      <c r="S36" s="527">
        <v>1.8600000000000001E-3</v>
      </c>
      <c r="T36" s="528" t="s">
        <v>414</v>
      </c>
    </row>
    <row r="37" spans="1:20" ht="15" customHeight="1">
      <c r="A37" s="791" t="s">
        <v>412</v>
      </c>
      <c r="B37" s="792" t="s">
        <v>413</v>
      </c>
      <c r="C37" s="793">
        <v>323.517</v>
      </c>
      <c r="D37" s="794" t="s">
        <v>1796</v>
      </c>
      <c r="E37" s="831" t="s">
        <v>1750</v>
      </c>
      <c r="F37" s="831" t="s">
        <v>1750</v>
      </c>
      <c r="G37" s="832" t="s">
        <v>43</v>
      </c>
      <c r="H37" s="797">
        <v>3.78</v>
      </c>
      <c r="I37" s="798" t="s">
        <v>1796</v>
      </c>
      <c r="J37" s="833" t="s">
        <v>1750</v>
      </c>
      <c r="K37" s="833" t="s">
        <v>1750</v>
      </c>
      <c r="L37" s="834" t="s">
        <v>43</v>
      </c>
      <c r="M37" s="835" t="s">
        <v>1750</v>
      </c>
      <c r="N37" s="836" t="s">
        <v>43</v>
      </c>
      <c r="O37" s="802">
        <v>3000</v>
      </c>
      <c r="P37" s="803" t="s">
        <v>1796</v>
      </c>
      <c r="Q37" s="804">
        <v>1E-3</v>
      </c>
      <c r="R37" s="805" t="s">
        <v>1797</v>
      </c>
      <c r="S37" s="527">
        <v>1.9E-2</v>
      </c>
      <c r="T37" s="528" t="s">
        <v>414</v>
      </c>
    </row>
    <row r="38" spans="1:20" ht="15" customHeight="1" thickBot="1">
      <c r="A38" s="806" t="s">
        <v>415</v>
      </c>
      <c r="B38" s="807" t="s">
        <v>416</v>
      </c>
      <c r="C38" s="808">
        <v>307.52</v>
      </c>
      <c r="D38" s="809" t="s">
        <v>414</v>
      </c>
      <c r="E38" s="823" t="s">
        <v>1750</v>
      </c>
      <c r="F38" s="823" t="s">
        <v>1750</v>
      </c>
      <c r="G38" s="824" t="s">
        <v>43</v>
      </c>
      <c r="H38" s="812">
        <v>6.64</v>
      </c>
      <c r="I38" s="813" t="s">
        <v>1796</v>
      </c>
      <c r="J38" s="825" t="s">
        <v>1750</v>
      </c>
      <c r="K38" s="825" t="s">
        <v>1750</v>
      </c>
      <c r="L38" s="826" t="s">
        <v>43</v>
      </c>
      <c r="M38" s="827" t="s">
        <v>1750</v>
      </c>
      <c r="N38" s="828" t="s">
        <v>43</v>
      </c>
      <c r="O38" s="829" t="s">
        <v>1750</v>
      </c>
      <c r="P38" s="830" t="s">
        <v>43</v>
      </c>
      <c r="Q38" s="819">
        <v>1E-3</v>
      </c>
      <c r="R38" s="820" t="s">
        <v>1797</v>
      </c>
      <c r="S38" s="521">
        <v>1E-3</v>
      </c>
      <c r="T38" s="522" t="s">
        <v>1797</v>
      </c>
    </row>
    <row r="39" spans="1:20" ht="15" customHeight="1">
      <c r="A39" s="791" t="s">
        <v>417</v>
      </c>
      <c r="B39" s="792" t="s">
        <v>418</v>
      </c>
      <c r="C39" s="793">
        <v>291.52</v>
      </c>
      <c r="D39" s="794" t="s">
        <v>414</v>
      </c>
      <c r="E39" s="831" t="s">
        <v>1750</v>
      </c>
      <c r="F39" s="831" t="s">
        <v>1750</v>
      </c>
      <c r="G39" s="832" t="s">
        <v>43</v>
      </c>
      <c r="H39" s="797">
        <v>5.58</v>
      </c>
      <c r="I39" s="798" t="s">
        <v>1796</v>
      </c>
      <c r="J39" s="833" t="s">
        <v>1750</v>
      </c>
      <c r="K39" s="833" t="s">
        <v>1750</v>
      </c>
      <c r="L39" s="834" t="s">
        <v>43</v>
      </c>
      <c r="M39" s="835" t="s">
        <v>1750</v>
      </c>
      <c r="N39" s="836" t="s">
        <v>43</v>
      </c>
      <c r="O39" s="837" t="s">
        <v>1750</v>
      </c>
      <c r="P39" s="838" t="s">
        <v>43</v>
      </c>
      <c r="Q39" s="804">
        <v>1E-3</v>
      </c>
      <c r="R39" s="805" t="s">
        <v>1797</v>
      </c>
      <c r="S39" s="527">
        <v>1E-3</v>
      </c>
      <c r="T39" s="528" t="s">
        <v>1797</v>
      </c>
    </row>
    <row r="40" spans="1:20" ht="15" customHeight="1">
      <c r="A40" s="791" t="s">
        <v>421</v>
      </c>
      <c r="B40" s="792" t="s">
        <v>422</v>
      </c>
      <c r="C40" s="793">
        <v>74.921999999999997</v>
      </c>
      <c r="D40" s="794" t="s">
        <v>1796</v>
      </c>
      <c r="E40" s="831" t="s">
        <v>1750</v>
      </c>
      <c r="F40" s="831" t="s">
        <v>1750</v>
      </c>
      <c r="G40" s="832" t="s">
        <v>43</v>
      </c>
      <c r="H40" s="797">
        <v>4.9000000000000004</v>
      </c>
      <c r="I40" s="798" t="s">
        <v>1796</v>
      </c>
      <c r="J40" s="833" t="s">
        <v>1750</v>
      </c>
      <c r="K40" s="833" t="s">
        <v>1750</v>
      </c>
      <c r="L40" s="834" t="s">
        <v>43</v>
      </c>
      <c r="M40" s="835" t="s">
        <v>1750</v>
      </c>
      <c r="N40" s="836" t="s">
        <v>43</v>
      </c>
      <c r="O40" s="837" t="s">
        <v>1750</v>
      </c>
      <c r="P40" s="838" t="s">
        <v>43</v>
      </c>
      <c r="Q40" s="804">
        <v>1E-3</v>
      </c>
      <c r="R40" s="805" t="s">
        <v>1797</v>
      </c>
      <c r="S40" s="527">
        <v>1E-3</v>
      </c>
      <c r="T40" s="528" t="s">
        <v>1797</v>
      </c>
    </row>
    <row r="41" spans="1:20" ht="15" customHeight="1" thickBot="1">
      <c r="A41" s="806" t="s">
        <v>423</v>
      </c>
      <c r="B41" s="807" t="s">
        <v>424</v>
      </c>
      <c r="C41" s="808">
        <v>77.945999999999998</v>
      </c>
      <c r="D41" s="809" t="s">
        <v>1801</v>
      </c>
      <c r="E41" s="823" t="s">
        <v>1750</v>
      </c>
      <c r="F41" s="823" t="s">
        <v>1750</v>
      </c>
      <c r="G41" s="824" t="s">
        <v>43</v>
      </c>
      <c r="H41" s="812">
        <v>3.1859999999999999</v>
      </c>
      <c r="I41" s="813" t="s">
        <v>1796</v>
      </c>
      <c r="J41" s="825" t="s">
        <v>1750</v>
      </c>
      <c r="K41" s="825" t="s">
        <v>1750</v>
      </c>
      <c r="L41" s="826" t="s">
        <v>43</v>
      </c>
      <c r="M41" s="827" t="s">
        <v>1750</v>
      </c>
      <c r="N41" s="828" t="s">
        <v>43</v>
      </c>
      <c r="O41" s="817">
        <v>200000</v>
      </c>
      <c r="P41" s="818" t="s">
        <v>1802</v>
      </c>
      <c r="Q41" s="819">
        <v>1E-3</v>
      </c>
      <c r="R41" s="820" t="s">
        <v>1797</v>
      </c>
      <c r="S41" s="521">
        <v>1E-3</v>
      </c>
      <c r="T41" s="522" t="s">
        <v>1797</v>
      </c>
    </row>
    <row r="42" spans="1:20" ht="15" customHeight="1">
      <c r="A42" s="791" t="s">
        <v>426</v>
      </c>
      <c r="B42" s="792" t="s">
        <v>427</v>
      </c>
      <c r="C42" s="793">
        <v>230.24</v>
      </c>
      <c r="D42" s="794" t="s">
        <v>1801</v>
      </c>
      <c r="E42" s="795">
        <v>6.9909999999999994E-11</v>
      </c>
      <c r="F42" s="795">
        <v>1.71E-12</v>
      </c>
      <c r="G42" s="796" t="s">
        <v>1801</v>
      </c>
      <c r="H42" s="821" t="s">
        <v>1750</v>
      </c>
      <c r="I42" s="822" t="s">
        <v>43</v>
      </c>
      <c r="J42" s="799">
        <v>5.0578600000000001E-2</v>
      </c>
      <c r="K42" s="799">
        <v>5.9097000000000004E-6</v>
      </c>
      <c r="L42" s="800" t="s">
        <v>2367</v>
      </c>
      <c r="M42" s="801">
        <v>27.8</v>
      </c>
      <c r="N42" s="801" t="s">
        <v>414</v>
      </c>
      <c r="O42" s="802">
        <v>5000</v>
      </c>
      <c r="P42" s="803" t="s">
        <v>1801</v>
      </c>
      <c r="Q42" s="804">
        <v>5.2899999999999998E-5</v>
      </c>
      <c r="R42" s="805" t="s">
        <v>414</v>
      </c>
      <c r="S42" s="527">
        <v>1E-3</v>
      </c>
      <c r="T42" s="528" t="s">
        <v>1797</v>
      </c>
    </row>
    <row r="43" spans="1:20" ht="15" customHeight="1">
      <c r="A43" s="791" t="s">
        <v>428</v>
      </c>
      <c r="B43" s="792" t="s">
        <v>429</v>
      </c>
      <c r="C43" s="793">
        <v>215.69</v>
      </c>
      <c r="D43" s="794" t="s">
        <v>1801</v>
      </c>
      <c r="E43" s="795">
        <v>9.6484000000000006E-8</v>
      </c>
      <c r="F43" s="795">
        <v>2.3600000000000001E-9</v>
      </c>
      <c r="G43" s="796" t="s">
        <v>414</v>
      </c>
      <c r="H43" s="797">
        <v>1.23</v>
      </c>
      <c r="I43" s="798" t="s">
        <v>2168</v>
      </c>
      <c r="J43" s="799">
        <v>2.6465499999999999E-2</v>
      </c>
      <c r="K43" s="799">
        <v>6.8378E-6</v>
      </c>
      <c r="L43" s="800" t="s">
        <v>2367</v>
      </c>
      <c r="M43" s="801">
        <v>224.5</v>
      </c>
      <c r="N43" s="801" t="s">
        <v>414</v>
      </c>
      <c r="O43" s="802">
        <v>34.700000000000003</v>
      </c>
      <c r="P43" s="803" t="s">
        <v>1801</v>
      </c>
      <c r="Q43" s="804">
        <v>5.2399999999999999E-3</v>
      </c>
      <c r="R43" s="805" t="s">
        <v>414</v>
      </c>
      <c r="S43" s="527">
        <v>3.5799999999999998E-3</v>
      </c>
      <c r="T43" s="528" t="s">
        <v>414</v>
      </c>
    </row>
    <row r="44" spans="1:20" ht="15" customHeight="1" thickBot="1">
      <c r="A44" s="806" t="s">
        <v>430</v>
      </c>
      <c r="B44" s="807" t="s">
        <v>431</v>
      </c>
      <c r="C44" s="808">
        <v>267.38</v>
      </c>
      <c r="D44" s="809" t="s">
        <v>1801</v>
      </c>
      <c r="E44" s="810">
        <v>1.4880999999999999E-7</v>
      </c>
      <c r="F44" s="810">
        <v>3.6399999999999998E-9</v>
      </c>
      <c r="G44" s="811" t="s">
        <v>1801</v>
      </c>
      <c r="H44" s="839" t="s">
        <v>1750</v>
      </c>
      <c r="I44" s="840" t="s">
        <v>43</v>
      </c>
      <c r="J44" s="814">
        <v>4.5779100000000003E-2</v>
      </c>
      <c r="K44" s="814">
        <v>5.3488999999999997E-6</v>
      </c>
      <c r="L44" s="815" t="s">
        <v>2367</v>
      </c>
      <c r="M44" s="816">
        <v>4456</v>
      </c>
      <c r="N44" s="816" t="s">
        <v>414</v>
      </c>
      <c r="O44" s="817">
        <v>53.54</v>
      </c>
      <c r="P44" s="818" t="s">
        <v>1801</v>
      </c>
      <c r="Q44" s="819">
        <v>1.11424E-2</v>
      </c>
      <c r="R44" s="820" t="s">
        <v>1797</v>
      </c>
      <c r="S44" s="521">
        <v>3.2800000000000003E-2</v>
      </c>
      <c r="T44" s="522" t="s">
        <v>414</v>
      </c>
    </row>
    <row r="45" spans="1:20" ht="15" customHeight="1">
      <c r="A45" s="791" t="s">
        <v>432</v>
      </c>
      <c r="B45" s="792" t="s">
        <v>433</v>
      </c>
      <c r="C45" s="793">
        <v>875.12</v>
      </c>
      <c r="D45" s="794" t="s">
        <v>1801</v>
      </c>
      <c r="E45" s="795">
        <v>5.3970000000000006E-26</v>
      </c>
      <c r="F45" s="795">
        <v>1.3200000000000001E-27</v>
      </c>
      <c r="G45" s="796" t="s">
        <v>1801</v>
      </c>
      <c r="H45" s="821" t="s">
        <v>1750</v>
      </c>
      <c r="I45" s="822" t="s">
        <v>43</v>
      </c>
      <c r="J45" s="799">
        <v>2.07671E-2</v>
      </c>
      <c r="K45" s="799">
        <v>2.4265E-6</v>
      </c>
      <c r="L45" s="800" t="s">
        <v>2367</v>
      </c>
      <c r="M45" s="801">
        <v>876700</v>
      </c>
      <c r="N45" s="801" t="s">
        <v>414</v>
      </c>
      <c r="O45" s="802">
        <v>3.5E-4</v>
      </c>
      <c r="P45" s="803" t="s">
        <v>1801</v>
      </c>
      <c r="Q45" s="804">
        <v>1.8099999999999999E-5</v>
      </c>
      <c r="R45" s="805" t="s">
        <v>414</v>
      </c>
      <c r="S45" s="527">
        <v>1E-3</v>
      </c>
      <c r="T45" s="528" t="s">
        <v>1797</v>
      </c>
    </row>
    <row r="46" spans="1:20" ht="15" customHeight="1">
      <c r="A46" s="791" t="s">
        <v>2209</v>
      </c>
      <c r="B46" s="792" t="s">
        <v>959</v>
      </c>
      <c r="C46" s="793">
        <v>317.33</v>
      </c>
      <c r="D46" s="794" t="s">
        <v>1801</v>
      </c>
      <c r="E46" s="795">
        <v>9.7710999999999999E-7</v>
      </c>
      <c r="F46" s="795">
        <v>2.3899999999999999E-8</v>
      </c>
      <c r="G46" s="796" t="s">
        <v>414</v>
      </c>
      <c r="H46" s="797">
        <v>1.44</v>
      </c>
      <c r="I46" s="798" t="s">
        <v>1796</v>
      </c>
      <c r="J46" s="799">
        <v>2.3316199999999999E-2</v>
      </c>
      <c r="K46" s="799">
        <v>5.9618999999999996E-6</v>
      </c>
      <c r="L46" s="800" t="s">
        <v>2367</v>
      </c>
      <c r="M46" s="801">
        <v>51.93</v>
      </c>
      <c r="N46" s="801" t="s">
        <v>414</v>
      </c>
      <c r="O46" s="802">
        <v>20.9</v>
      </c>
      <c r="P46" s="803" t="s">
        <v>1801</v>
      </c>
      <c r="Q46" s="804">
        <v>1.75E-3</v>
      </c>
      <c r="R46" s="805" t="s">
        <v>414</v>
      </c>
      <c r="S46" s="527">
        <v>1E-3</v>
      </c>
      <c r="T46" s="528" t="s">
        <v>1797</v>
      </c>
    </row>
    <row r="47" spans="1:20" ht="15" customHeight="1" thickBot="1">
      <c r="A47" s="806" t="s">
        <v>434</v>
      </c>
      <c r="B47" s="807" t="s">
        <v>435</v>
      </c>
      <c r="C47" s="808">
        <v>182.23</v>
      </c>
      <c r="D47" s="809" t="s">
        <v>1801</v>
      </c>
      <c r="E47" s="810">
        <v>5.5190000000000003E-4</v>
      </c>
      <c r="F47" s="810">
        <v>1.3499999999999999E-5</v>
      </c>
      <c r="G47" s="811" t="s">
        <v>414</v>
      </c>
      <c r="H47" s="812">
        <v>1.2030000000000001</v>
      </c>
      <c r="I47" s="813" t="s">
        <v>1802</v>
      </c>
      <c r="J47" s="814">
        <v>3.5908500000000003E-2</v>
      </c>
      <c r="K47" s="814">
        <v>7.4654999999999999E-6</v>
      </c>
      <c r="L47" s="815" t="s">
        <v>2367</v>
      </c>
      <c r="M47" s="816">
        <v>3759</v>
      </c>
      <c r="N47" s="816" t="s">
        <v>414</v>
      </c>
      <c r="O47" s="817">
        <v>6.4</v>
      </c>
      <c r="P47" s="818" t="s">
        <v>1801</v>
      </c>
      <c r="Q47" s="819">
        <v>5.1400000000000001E-2</v>
      </c>
      <c r="R47" s="820" t="s">
        <v>414</v>
      </c>
      <c r="S47" s="521">
        <v>8.8599999999999998E-3</v>
      </c>
      <c r="T47" s="522" t="s">
        <v>414</v>
      </c>
    </row>
    <row r="48" spans="1:20" ht="15" customHeight="1">
      <c r="A48" s="791" t="s">
        <v>2133</v>
      </c>
      <c r="B48" s="792" t="s">
        <v>2134</v>
      </c>
      <c r="C48" s="793">
        <v>116.08</v>
      </c>
      <c r="D48" s="794" t="s">
        <v>1801</v>
      </c>
      <c r="E48" s="795">
        <v>3.3519999999999998E-11</v>
      </c>
      <c r="F48" s="795">
        <v>8.2000000000000004E-13</v>
      </c>
      <c r="G48" s="796" t="s">
        <v>414</v>
      </c>
      <c r="H48" s="797">
        <v>1.65</v>
      </c>
      <c r="I48" s="798" t="s">
        <v>2135</v>
      </c>
      <c r="J48" s="799">
        <v>8.2955600000000004E-2</v>
      </c>
      <c r="K48" s="799">
        <v>1.1800000000000001E-5</v>
      </c>
      <c r="L48" s="800" t="s">
        <v>2367</v>
      </c>
      <c r="M48" s="801">
        <v>69.58</v>
      </c>
      <c r="N48" s="801" t="s">
        <v>414</v>
      </c>
      <c r="O48" s="802">
        <v>35</v>
      </c>
      <c r="P48" s="803" t="s">
        <v>1801</v>
      </c>
      <c r="Q48" s="804">
        <v>2.5899999999999999E-5</v>
      </c>
      <c r="R48" s="805" t="s">
        <v>414</v>
      </c>
      <c r="S48" s="527">
        <v>5.2899999999999998E-5</v>
      </c>
      <c r="T48" s="528" t="s">
        <v>414</v>
      </c>
    </row>
    <row r="49" spans="1:20" ht="15" customHeight="1">
      <c r="A49" s="791" t="s">
        <v>436</v>
      </c>
      <c r="B49" s="792" t="s">
        <v>437</v>
      </c>
      <c r="C49" s="793">
        <v>137.33000000000001</v>
      </c>
      <c r="D49" s="794" t="s">
        <v>414</v>
      </c>
      <c r="E49" s="831" t="s">
        <v>1750</v>
      </c>
      <c r="F49" s="831" t="s">
        <v>1750</v>
      </c>
      <c r="G49" s="832" t="s">
        <v>43</v>
      </c>
      <c r="H49" s="797">
        <v>3.62</v>
      </c>
      <c r="I49" s="798" t="s">
        <v>1796</v>
      </c>
      <c r="J49" s="833" t="s">
        <v>1750</v>
      </c>
      <c r="K49" s="833" t="s">
        <v>1750</v>
      </c>
      <c r="L49" s="834" t="s">
        <v>43</v>
      </c>
      <c r="M49" s="835" t="s">
        <v>1750</v>
      </c>
      <c r="N49" s="836" t="s">
        <v>43</v>
      </c>
      <c r="O49" s="837" t="s">
        <v>1750</v>
      </c>
      <c r="P49" s="838" t="s">
        <v>43</v>
      </c>
      <c r="Q49" s="804">
        <v>1E-3</v>
      </c>
      <c r="R49" s="805" t="s">
        <v>1797</v>
      </c>
      <c r="S49" s="527">
        <v>5.2399999999999999E-3</v>
      </c>
      <c r="T49" s="528" t="s">
        <v>414</v>
      </c>
    </row>
    <row r="50" spans="1:20" ht="15" customHeight="1" thickBot="1">
      <c r="A50" s="806" t="s">
        <v>2210</v>
      </c>
      <c r="B50" s="807" t="s">
        <v>2211</v>
      </c>
      <c r="C50" s="808">
        <v>253.321</v>
      </c>
      <c r="D50" s="809" t="s">
        <v>1796</v>
      </c>
      <c r="E50" s="823" t="s">
        <v>1750</v>
      </c>
      <c r="F50" s="823" t="s">
        <v>1750</v>
      </c>
      <c r="G50" s="824" t="s">
        <v>43</v>
      </c>
      <c r="H50" s="812">
        <v>4.5</v>
      </c>
      <c r="I50" s="813" t="s">
        <v>1796</v>
      </c>
      <c r="J50" s="825" t="s">
        <v>1750</v>
      </c>
      <c r="K50" s="825" t="s">
        <v>1750</v>
      </c>
      <c r="L50" s="826" t="s">
        <v>43</v>
      </c>
      <c r="M50" s="827" t="s">
        <v>1750</v>
      </c>
      <c r="N50" s="828" t="s">
        <v>43</v>
      </c>
      <c r="O50" s="817">
        <v>2.6</v>
      </c>
      <c r="P50" s="818" t="s">
        <v>1796</v>
      </c>
      <c r="Q50" s="819">
        <v>1E-3</v>
      </c>
      <c r="R50" s="820" t="s">
        <v>1797</v>
      </c>
      <c r="S50" s="521">
        <v>1.11424E-2</v>
      </c>
      <c r="T50" s="522" t="s">
        <v>1797</v>
      </c>
    </row>
    <row r="51" spans="1:20" ht="15" customHeight="1">
      <c r="A51" s="791" t="s">
        <v>2192</v>
      </c>
      <c r="B51" s="792" t="s">
        <v>441</v>
      </c>
      <c r="C51" s="793">
        <v>335.29</v>
      </c>
      <c r="D51" s="794" t="s">
        <v>1801</v>
      </c>
      <c r="E51" s="795">
        <v>1.1897E-2</v>
      </c>
      <c r="F51" s="795">
        <v>2.9100000000000003E-4</v>
      </c>
      <c r="G51" s="796" t="s">
        <v>414</v>
      </c>
      <c r="H51" s="797">
        <v>1.337</v>
      </c>
      <c r="I51" s="798" t="s">
        <v>2399</v>
      </c>
      <c r="J51" s="799">
        <v>2.1872300000000001E-2</v>
      </c>
      <c r="K51" s="799">
        <v>5.5168999999999996E-6</v>
      </c>
      <c r="L51" s="800" t="s">
        <v>2367</v>
      </c>
      <c r="M51" s="801">
        <v>16390</v>
      </c>
      <c r="N51" s="801" t="s">
        <v>414</v>
      </c>
      <c r="O51" s="802">
        <v>0.1</v>
      </c>
      <c r="P51" s="803" t="s">
        <v>1801</v>
      </c>
      <c r="Q51" s="804">
        <v>6.7500000000000004E-2</v>
      </c>
      <c r="R51" s="805" t="s">
        <v>414</v>
      </c>
      <c r="S51" s="527">
        <v>1.8099999999999999E-5</v>
      </c>
      <c r="T51" s="528" t="s">
        <v>414</v>
      </c>
    </row>
    <row r="52" spans="1:20" ht="15" customHeight="1">
      <c r="A52" s="791" t="s">
        <v>442</v>
      </c>
      <c r="B52" s="792" t="s">
        <v>443</v>
      </c>
      <c r="C52" s="793">
        <v>290.32</v>
      </c>
      <c r="D52" s="794" t="s">
        <v>1801</v>
      </c>
      <c r="E52" s="795">
        <v>2.0160000000000001E-10</v>
      </c>
      <c r="F52" s="795">
        <v>4.9300000000000002E-12</v>
      </c>
      <c r="G52" s="796" t="s">
        <v>1801</v>
      </c>
      <c r="H52" s="821" t="s">
        <v>1750</v>
      </c>
      <c r="I52" s="822" t="s">
        <v>43</v>
      </c>
      <c r="J52" s="799">
        <v>4.3334699999999997E-2</v>
      </c>
      <c r="K52" s="799">
        <v>5.0633000000000003E-6</v>
      </c>
      <c r="L52" s="800" t="s">
        <v>2367</v>
      </c>
      <c r="M52" s="801">
        <v>336.2</v>
      </c>
      <c r="N52" s="801" t="s">
        <v>414</v>
      </c>
      <c r="O52" s="802">
        <v>3.8</v>
      </c>
      <c r="P52" s="803" t="s">
        <v>1801</v>
      </c>
      <c r="Q52" s="804">
        <v>9.4300000000000004E-4</v>
      </c>
      <c r="R52" s="805" t="s">
        <v>414</v>
      </c>
      <c r="S52" s="527">
        <v>5.1400000000000001E-2</v>
      </c>
      <c r="T52" s="528" t="s">
        <v>414</v>
      </c>
    </row>
    <row r="53" spans="1:20" ht="15" customHeight="1" thickBot="1">
      <c r="A53" s="806" t="s">
        <v>2212</v>
      </c>
      <c r="B53" s="807" t="s">
        <v>1049</v>
      </c>
      <c r="C53" s="808">
        <v>410.41</v>
      </c>
      <c r="D53" s="809" t="s">
        <v>1801</v>
      </c>
      <c r="E53" s="810">
        <v>1.545E-13</v>
      </c>
      <c r="F53" s="810">
        <v>3.7799999999999999E-15</v>
      </c>
      <c r="G53" s="811" t="s">
        <v>414</v>
      </c>
      <c r="H53" s="839" t="s">
        <v>1750</v>
      </c>
      <c r="I53" s="840" t="s">
        <v>43</v>
      </c>
      <c r="J53" s="814">
        <v>3.4403999999999997E-2</v>
      </c>
      <c r="K53" s="814">
        <v>4.0198E-6</v>
      </c>
      <c r="L53" s="815" t="s">
        <v>2367</v>
      </c>
      <c r="M53" s="816">
        <v>27.76</v>
      </c>
      <c r="N53" s="816" t="s">
        <v>414</v>
      </c>
      <c r="O53" s="817">
        <v>120</v>
      </c>
      <c r="P53" s="818" t="s">
        <v>1801</v>
      </c>
      <c r="Q53" s="819">
        <v>2.1900000000000001E-4</v>
      </c>
      <c r="R53" s="820" t="s">
        <v>414</v>
      </c>
      <c r="S53" s="521">
        <v>2.5899999999999999E-5</v>
      </c>
      <c r="T53" s="522" t="s">
        <v>414</v>
      </c>
    </row>
    <row r="54" spans="1:20" ht="15" customHeight="1">
      <c r="A54" s="791" t="s">
        <v>444</v>
      </c>
      <c r="B54" s="792" t="s">
        <v>445</v>
      </c>
      <c r="C54" s="793">
        <v>240.28</v>
      </c>
      <c r="D54" s="794" t="s">
        <v>1801</v>
      </c>
      <c r="E54" s="795">
        <v>8.9124999999999999E-8</v>
      </c>
      <c r="F54" s="795">
        <v>2.1799999999999999E-9</v>
      </c>
      <c r="G54" s="796" t="s">
        <v>414</v>
      </c>
      <c r="H54" s="821" t="s">
        <v>1750</v>
      </c>
      <c r="I54" s="822" t="s">
        <v>43</v>
      </c>
      <c r="J54" s="799">
        <v>4.9159599999999998E-2</v>
      </c>
      <c r="K54" s="799">
        <v>5.7439000000000002E-6</v>
      </c>
      <c r="L54" s="800" t="s">
        <v>2367</v>
      </c>
      <c r="M54" s="801">
        <v>10</v>
      </c>
      <c r="N54" s="801" t="s">
        <v>414</v>
      </c>
      <c r="O54" s="802">
        <v>500</v>
      </c>
      <c r="P54" s="803" t="s">
        <v>1801</v>
      </c>
      <c r="Q54" s="804">
        <v>2.5200000000000001E-3</v>
      </c>
      <c r="R54" s="805" t="s">
        <v>414</v>
      </c>
      <c r="S54" s="527">
        <v>1E-3</v>
      </c>
      <c r="T54" s="528" t="s">
        <v>1797</v>
      </c>
    </row>
    <row r="55" spans="1:20" ht="15" customHeight="1">
      <c r="A55" s="791" t="s">
        <v>87</v>
      </c>
      <c r="B55" s="792" t="s">
        <v>446</v>
      </c>
      <c r="C55" s="793">
        <v>106.13</v>
      </c>
      <c r="D55" s="794" t="s">
        <v>1801</v>
      </c>
      <c r="E55" s="795">
        <v>1.0916000000000001E-3</v>
      </c>
      <c r="F55" s="795">
        <v>2.6699999999999998E-5</v>
      </c>
      <c r="G55" s="796" t="s">
        <v>1801</v>
      </c>
      <c r="H55" s="797">
        <v>1.0401</v>
      </c>
      <c r="I55" s="798" t="s">
        <v>1796</v>
      </c>
      <c r="J55" s="799">
        <v>7.4393000000000001E-2</v>
      </c>
      <c r="K55" s="799">
        <v>9.4627000000000001E-6</v>
      </c>
      <c r="L55" s="800" t="s">
        <v>2367</v>
      </c>
      <c r="M55" s="801">
        <v>11.09</v>
      </c>
      <c r="N55" s="801" t="s">
        <v>414</v>
      </c>
      <c r="O55" s="802">
        <v>6950</v>
      </c>
      <c r="P55" s="803" t="s">
        <v>1801</v>
      </c>
      <c r="Q55" s="804">
        <v>3.8300000000000001E-3</v>
      </c>
      <c r="R55" s="805" t="s">
        <v>414</v>
      </c>
      <c r="S55" s="527">
        <v>1.07E-3</v>
      </c>
      <c r="T55" s="528" t="s">
        <v>414</v>
      </c>
    </row>
    <row r="56" spans="1:20" ht="15" customHeight="1" thickBot="1">
      <c r="A56" s="806" t="s">
        <v>49</v>
      </c>
      <c r="B56" s="807" t="s">
        <v>447</v>
      </c>
      <c r="C56" s="808">
        <v>78.114999999999995</v>
      </c>
      <c r="D56" s="809" t="s">
        <v>1801</v>
      </c>
      <c r="E56" s="810">
        <v>0.22690109999999999</v>
      </c>
      <c r="F56" s="810">
        <v>5.5500000000000002E-3</v>
      </c>
      <c r="G56" s="811" t="s">
        <v>1801</v>
      </c>
      <c r="H56" s="812">
        <v>0.87649999999999995</v>
      </c>
      <c r="I56" s="813" t="s">
        <v>1796</v>
      </c>
      <c r="J56" s="814">
        <v>8.9534000000000002E-2</v>
      </c>
      <c r="K56" s="814">
        <v>1.03E-5</v>
      </c>
      <c r="L56" s="815" t="s">
        <v>2367</v>
      </c>
      <c r="M56" s="816">
        <v>145.80000000000001</v>
      </c>
      <c r="N56" s="816" t="s">
        <v>414</v>
      </c>
      <c r="O56" s="817">
        <v>1790</v>
      </c>
      <c r="P56" s="818" t="s">
        <v>1801</v>
      </c>
      <c r="Q56" s="819">
        <v>1.49E-2</v>
      </c>
      <c r="R56" s="820" t="s">
        <v>414</v>
      </c>
      <c r="S56" s="521">
        <v>2.4399999999999999E-3</v>
      </c>
      <c r="T56" s="522" t="s">
        <v>414</v>
      </c>
    </row>
    <row r="57" spans="1:20" ht="15" customHeight="1">
      <c r="A57" s="791" t="s">
        <v>1805</v>
      </c>
      <c r="B57" s="792" t="s">
        <v>1806</v>
      </c>
      <c r="C57" s="793">
        <v>220.24</v>
      </c>
      <c r="D57" s="794" t="s">
        <v>414</v>
      </c>
      <c r="E57" s="795">
        <v>8.8600000000000003E-22</v>
      </c>
      <c r="F57" s="795">
        <v>2.1700000000000001E-23</v>
      </c>
      <c r="G57" s="796" t="s">
        <v>414</v>
      </c>
      <c r="H57" s="821" t="s">
        <v>1750</v>
      </c>
      <c r="I57" s="822" t="s">
        <v>43</v>
      </c>
      <c r="J57" s="799">
        <v>5.2098199999999997E-2</v>
      </c>
      <c r="K57" s="799">
        <v>6.0873000000000001E-6</v>
      </c>
      <c r="L57" s="800" t="s">
        <v>2367</v>
      </c>
      <c r="M57" s="801">
        <v>38.380000000000003</v>
      </c>
      <c r="N57" s="801" t="s">
        <v>414</v>
      </c>
      <c r="O57" s="802">
        <v>1000000</v>
      </c>
      <c r="P57" s="803" t="s">
        <v>414</v>
      </c>
      <c r="Q57" s="804">
        <v>3.0400000000000002E-7</v>
      </c>
      <c r="R57" s="805" t="s">
        <v>414</v>
      </c>
      <c r="S57" s="527">
        <v>5.1499999999999997E-2</v>
      </c>
      <c r="T57" s="528" t="s">
        <v>414</v>
      </c>
    </row>
    <row r="58" spans="1:20" ht="15" customHeight="1">
      <c r="A58" s="791" t="s">
        <v>448</v>
      </c>
      <c r="B58" s="792" t="s">
        <v>449</v>
      </c>
      <c r="C58" s="793">
        <v>110.18</v>
      </c>
      <c r="D58" s="794" t="s">
        <v>1801</v>
      </c>
      <c r="E58" s="795">
        <v>1.3695799999999999E-2</v>
      </c>
      <c r="F58" s="795">
        <v>3.3500000000000001E-4</v>
      </c>
      <c r="G58" s="796" t="s">
        <v>414</v>
      </c>
      <c r="H58" s="797">
        <v>1.0774999999999999</v>
      </c>
      <c r="I58" s="798" t="s">
        <v>1796</v>
      </c>
      <c r="J58" s="799">
        <v>7.2856400000000002E-2</v>
      </c>
      <c r="K58" s="799">
        <v>9.4506000000000006E-6</v>
      </c>
      <c r="L58" s="800" t="s">
        <v>2367</v>
      </c>
      <c r="M58" s="801">
        <v>233.9</v>
      </c>
      <c r="N58" s="801" t="s">
        <v>414</v>
      </c>
      <c r="O58" s="802">
        <v>835</v>
      </c>
      <c r="P58" s="803" t="s">
        <v>1801</v>
      </c>
      <c r="Q58" s="804">
        <v>1.78E-2</v>
      </c>
      <c r="R58" s="805" t="s">
        <v>414</v>
      </c>
      <c r="S58" s="527">
        <v>6.7500000000000004E-2</v>
      </c>
      <c r="T58" s="528" t="s">
        <v>414</v>
      </c>
    </row>
    <row r="59" spans="1:20" ht="15" customHeight="1" thickBot="1">
      <c r="A59" s="806" t="s">
        <v>450</v>
      </c>
      <c r="B59" s="807" t="s">
        <v>451</v>
      </c>
      <c r="C59" s="808">
        <v>184.24</v>
      </c>
      <c r="D59" s="809" t="s">
        <v>1801</v>
      </c>
      <c r="E59" s="810">
        <v>2.1136999999999998E-9</v>
      </c>
      <c r="F59" s="810">
        <v>5.17E-11</v>
      </c>
      <c r="G59" s="811" t="s">
        <v>1801</v>
      </c>
      <c r="H59" s="812">
        <v>1.2190000000000001</v>
      </c>
      <c r="I59" s="813" t="s">
        <v>1807</v>
      </c>
      <c r="J59" s="814">
        <v>3.51273E-2</v>
      </c>
      <c r="K59" s="814">
        <v>7.4756000000000001E-6</v>
      </c>
      <c r="L59" s="815" t="s">
        <v>2367</v>
      </c>
      <c r="M59" s="816">
        <v>1190</v>
      </c>
      <c r="N59" s="816" t="s">
        <v>414</v>
      </c>
      <c r="O59" s="817">
        <v>322</v>
      </c>
      <c r="P59" s="818" t="s">
        <v>1801</v>
      </c>
      <c r="Q59" s="819">
        <v>1.1299999999999999E-3</v>
      </c>
      <c r="R59" s="820" t="s">
        <v>414</v>
      </c>
      <c r="S59" s="521">
        <v>9.4300000000000004E-4</v>
      </c>
      <c r="T59" s="522" t="s">
        <v>414</v>
      </c>
    </row>
    <row r="60" spans="1:20" ht="15" customHeight="1">
      <c r="A60" s="791" t="s">
        <v>452</v>
      </c>
      <c r="B60" s="792" t="s">
        <v>453</v>
      </c>
      <c r="C60" s="793">
        <v>122.12</v>
      </c>
      <c r="D60" s="794" t="s">
        <v>1801</v>
      </c>
      <c r="E60" s="795">
        <v>1.5575999999999999E-6</v>
      </c>
      <c r="F60" s="795">
        <v>3.8099999999999997E-8</v>
      </c>
      <c r="G60" s="796" t="s">
        <v>414</v>
      </c>
      <c r="H60" s="797">
        <v>1.2659</v>
      </c>
      <c r="I60" s="798" t="s">
        <v>1796</v>
      </c>
      <c r="J60" s="799">
        <v>7.0193900000000004E-2</v>
      </c>
      <c r="K60" s="799">
        <v>9.7867999999999992E-6</v>
      </c>
      <c r="L60" s="800" t="s">
        <v>2367</v>
      </c>
      <c r="M60" s="801">
        <v>0.6</v>
      </c>
      <c r="N60" s="801" t="s">
        <v>1078</v>
      </c>
      <c r="O60" s="802">
        <v>3400</v>
      </c>
      <c r="P60" s="803" t="s">
        <v>1801</v>
      </c>
      <c r="Q60" s="804">
        <v>5.6499999999999996E-3</v>
      </c>
      <c r="R60" s="805" t="s">
        <v>414</v>
      </c>
      <c r="S60" s="527">
        <v>2.5200000000000001E-3</v>
      </c>
      <c r="T60" s="528" t="s">
        <v>414</v>
      </c>
    </row>
    <row r="61" spans="1:20" ht="15" customHeight="1">
      <c r="A61" s="791" t="s">
        <v>454</v>
      </c>
      <c r="B61" s="792" t="s">
        <v>455</v>
      </c>
      <c r="C61" s="793">
        <v>195.48</v>
      </c>
      <c r="D61" s="794" t="s">
        <v>1801</v>
      </c>
      <c r="E61" s="795">
        <v>1.0629599999999999E-2</v>
      </c>
      <c r="F61" s="795">
        <v>2.5999999999999998E-4</v>
      </c>
      <c r="G61" s="796" t="s">
        <v>1801</v>
      </c>
      <c r="H61" s="797">
        <v>1.3723000000000001</v>
      </c>
      <c r="I61" s="798" t="s">
        <v>1796</v>
      </c>
      <c r="J61" s="799">
        <v>3.1255499999999999E-2</v>
      </c>
      <c r="K61" s="799">
        <v>7.746E-6</v>
      </c>
      <c r="L61" s="800" t="s">
        <v>2367</v>
      </c>
      <c r="M61" s="801">
        <v>1001</v>
      </c>
      <c r="N61" s="801" t="s">
        <v>414</v>
      </c>
      <c r="O61" s="802">
        <v>53</v>
      </c>
      <c r="P61" s="803" t="s">
        <v>1801</v>
      </c>
      <c r="Q61" s="804">
        <v>4.87E-2</v>
      </c>
      <c r="R61" s="805" t="s">
        <v>414</v>
      </c>
      <c r="S61" s="527">
        <v>3.8300000000000001E-3</v>
      </c>
      <c r="T61" s="528" t="s">
        <v>414</v>
      </c>
    </row>
    <row r="62" spans="1:20" ht="15" customHeight="1" thickBot="1">
      <c r="A62" s="806" t="s">
        <v>456</v>
      </c>
      <c r="B62" s="807" t="s">
        <v>457</v>
      </c>
      <c r="C62" s="808">
        <v>108.14</v>
      </c>
      <c r="D62" s="809" t="s">
        <v>1801</v>
      </c>
      <c r="E62" s="810">
        <v>1.38E-5</v>
      </c>
      <c r="F62" s="810">
        <v>3.3700000000000001E-7</v>
      </c>
      <c r="G62" s="811" t="s">
        <v>1801</v>
      </c>
      <c r="H62" s="812">
        <v>1.0419</v>
      </c>
      <c r="I62" s="813" t="s">
        <v>1796</v>
      </c>
      <c r="J62" s="814">
        <v>7.3118600000000006E-2</v>
      </c>
      <c r="K62" s="814">
        <v>9.3664999999999992E-6</v>
      </c>
      <c r="L62" s="815" t="s">
        <v>2367</v>
      </c>
      <c r="M62" s="816">
        <v>21.46</v>
      </c>
      <c r="N62" s="816" t="s">
        <v>414</v>
      </c>
      <c r="O62" s="817">
        <v>42900</v>
      </c>
      <c r="P62" s="818" t="s">
        <v>1801</v>
      </c>
      <c r="Q62" s="819">
        <v>2.0899999999999998E-3</v>
      </c>
      <c r="R62" s="820" t="s">
        <v>414</v>
      </c>
      <c r="S62" s="521">
        <v>1.49E-2</v>
      </c>
      <c r="T62" s="522" t="s">
        <v>414</v>
      </c>
    </row>
    <row r="63" spans="1:20" ht="15" customHeight="1">
      <c r="A63" s="791" t="s">
        <v>458</v>
      </c>
      <c r="B63" s="792" t="s">
        <v>459</v>
      </c>
      <c r="C63" s="793">
        <v>126.59</v>
      </c>
      <c r="D63" s="794" t="s">
        <v>1801</v>
      </c>
      <c r="E63" s="795">
        <v>1.6843799999999999E-2</v>
      </c>
      <c r="F63" s="795">
        <v>4.1199999999999999E-4</v>
      </c>
      <c r="G63" s="796" t="s">
        <v>414</v>
      </c>
      <c r="H63" s="797">
        <v>1.1004</v>
      </c>
      <c r="I63" s="798" t="s">
        <v>1796</v>
      </c>
      <c r="J63" s="799">
        <v>6.3361799999999996E-2</v>
      </c>
      <c r="K63" s="799">
        <v>8.8056999999999994E-6</v>
      </c>
      <c r="L63" s="800" t="s">
        <v>2367</v>
      </c>
      <c r="M63" s="801">
        <v>446.1</v>
      </c>
      <c r="N63" s="801" t="s">
        <v>414</v>
      </c>
      <c r="O63" s="802">
        <v>525</v>
      </c>
      <c r="P63" s="803" t="s">
        <v>1801</v>
      </c>
      <c r="Q63" s="804">
        <v>1.03E-2</v>
      </c>
      <c r="R63" s="805" t="s">
        <v>414</v>
      </c>
      <c r="S63" s="527">
        <v>3.0400000000000002E-7</v>
      </c>
      <c r="T63" s="528" t="s">
        <v>414</v>
      </c>
    </row>
    <row r="64" spans="1:20" ht="15" customHeight="1">
      <c r="A64" s="791" t="s">
        <v>460</v>
      </c>
      <c r="B64" s="792" t="s">
        <v>461</v>
      </c>
      <c r="C64" s="793">
        <v>9.01</v>
      </c>
      <c r="D64" s="794" t="s">
        <v>414</v>
      </c>
      <c r="E64" s="831" t="s">
        <v>1750</v>
      </c>
      <c r="F64" s="831" t="s">
        <v>1750</v>
      </c>
      <c r="G64" s="832" t="s">
        <v>43</v>
      </c>
      <c r="H64" s="797">
        <v>1.85</v>
      </c>
      <c r="I64" s="798" t="s">
        <v>1796</v>
      </c>
      <c r="J64" s="833" t="s">
        <v>1750</v>
      </c>
      <c r="K64" s="833" t="s">
        <v>1750</v>
      </c>
      <c r="L64" s="834" t="s">
        <v>43</v>
      </c>
      <c r="M64" s="835" t="s">
        <v>1750</v>
      </c>
      <c r="N64" s="836" t="s">
        <v>43</v>
      </c>
      <c r="O64" s="837" t="s">
        <v>1750</v>
      </c>
      <c r="P64" s="838" t="s">
        <v>43</v>
      </c>
      <c r="Q64" s="804">
        <v>1E-3</v>
      </c>
      <c r="R64" s="805" t="s">
        <v>1797</v>
      </c>
      <c r="S64" s="527">
        <v>1.78E-2</v>
      </c>
      <c r="T64" s="528" t="s">
        <v>414</v>
      </c>
    </row>
    <row r="65" spans="1:20" ht="15" customHeight="1" thickBot="1">
      <c r="A65" s="806" t="s">
        <v>463</v>
      </c>
      <c r="B65" s="807" t="s">
        <v>464</v>
      </c>
      <c r="C65" s="808">
        <v>342.14</v>
      </c>
      <c r="D65" s="809" t="s">
        <v>1801</v>
      </c>
      <c r="E65" s="810">
        <v>4.4154000000000001E-6</v>
      </c>
      <c r="F65" s="810">
        <v>1.08E-7</v>
      </c>
      <c r="G65" s="811" t="s">
        <v>414</v>
      </c>
      <c r="H65" s="812">
        <v>1.155</v>
      </c>
      <c r="I65" s="813" t="s">
        <v>2168</v>
      </c>
      <c r="J65" s="814">
        <v>2.01637E-2</v>
      </c>
      <c r="K65" s="814">
        <v>4.9922999999999996E-6</v>
      </c>
      <c r="L65" s="815" t="s">
        <v>2367</v>
      </c>
      <c r="M65" s="816">
        <v>3679</v>
      </c>
      <c r="N65" s="816" t="s">
        <v>414</v>
      </c>
      <c r="O65" s="817">
        <v>0.39800000000000002</v>
      </c>
      <c r="P65" s="818" t="s">
        <v>1801</v>
      </c>
      <c r="Q65" s="819">
        <v>1.7899999999999999E-2</v>
      </c>
      <c r="R65" s="820" t="s">
        <v>414</v>
      </c>
      <c r="S65" s="521">
        <v>1.1299999999999999E-3</v>
      </c>
      <c r="T65" s="522" t="s">
        <v>414</v>
      </c>
    </row>
    <row r="66" spans="1:20" ht="15" customHeight="1">
      <c r="A66" s="791" t="s">
        <v>465</v>
      </c>
      <c r="B66" s="792" t="s">
        <v>466</v>
      </c>
      <c r="C66" s="793">
        <v>422.88</v>
      </c>
      <c r="D66" s="794" t="s">
        <v>1801</v>
      </c>
      <c r="E66" s="795">
        <v>4.0899999999999998E-5</v>
      </c>
      <c r="F66" s="795">
        <v>9.9999999999999995E-7</v>
      </c>
      <c r="G66" s="796" t="s">
        <v>414</v>
      </c>
      <c r="H66" s="797">
        <v>1.2</v>
      </c>
      <c r="I66" s="798" t="s">
        <v>1796</v>
      </c>
      <c r="J66" s="799">
        <v>1.8375499999999999E-2</v>
      </c>
      <c r="K66" s="799">
        <v>4.4982999999999998E-6</v>
      </c>
      <c r="L66" s="800" t="s">
        <v>2367</v>
      </c>
      <c r="M66" s="801">
        <v>2272000</v>
      </c>
      <c r="N66" s="801" t="s">
        <v>414</v>
      </c>
      <c r="O66" s="802">
        <v>1E-3</v>
      </c>
      <c r="P66" s="803" t="s">
        <v>1801</v>
      </c>
      <c r="Q66" s="804">
        <v>1.74</v>
      </c>
      <c r="R66" s="805" t="s">
        <v>414</v>
      </c>
      <c r="S66" s="527">
        <v>5.6499999999999996E-3</v>
      </c>
      <c r="T66" s="528" t="s">
        <v>414</v>
      </c>
    </row>
    <row r="67" spans="1:20" ht="15" customHeight="1">
      <c r="A67" s="791" t="s">
        <v>467</v>
      </c>
      <c r="B67" s="792" t="s">
        <v>468</v>
      </c>
      <c r="C67" s="793">
        <v>154.21</v>
      </c>
      <c r="D67" s="794" t="s">
        <v>1801</v>
      </c>
      <c r="E67" s="795">
        <v>1.2592000000000001E-2</v>
      </c>
      <c r="F67" s="795">
        <v>3.0800000000000001E-4</v>
      </c>
      <c r="G67" s="796" t="s">
        <v>1801</v>
      </c>
      <c r="H67" s="797">
        <v>1.04</v>
      </c>
      <c r="I67" s="798" t="s">
        <v>1796</v>
      </c>
      <c r="J67" s="799">
        <v>4.7059200000000002E-2</v>
      </c>
      <c r="K67" s="799">
        <v>7.5618000000000002E-6</v>
      </c>
      <c r="L67" s="800" t="s">
        <v>2367</v>
      </c>
      <c r="M67" s="801">
        <v>5129</v>
      </c>
      <c r="N67" s="801" t="s">
        <v>414</v>
      </c>
      <c r="O67" s="802">
        <v>7.48</v>
      </c>
      <c r="P67" s="803" t="s">
        <v>1801</v>
      </c>
      <c r="Q67" s="804">
        <v>9.4299999999999995E-2</v>
      </c>
      <c r="R67" s="805" t="s">
        <v>414</v>
      </c>
      <c r="S67" s="527">
        <v>4.87E-2</v>
      </c>
      <c r="T67" s="528" t="s">
        <v>414</v>
      </c>
    </row>
    <row r="68" spans="1:20" ht="15" customHeight="1" thickBot="1">
      <c r="A68" s="806" t="s">
        <v>469</v>
      </c>
      <c r="B68" s="807" t="s">
        <v>470</v>
      </c>
      <c r="C68" s="808">
        <v>171.07</v>
      </c>
      <c r="D68" s="809" t="s">
        <v>1801</v>
      </c>
      <c r="E68" s="810">
        <v>3.0335000000000002E-3</v>
      </c>
      <c r="F68" s="810">
        <v>7.4200000000000001E-5</v>
      </c>
      <c r="G68" s="811" t="s">
        <v>414</v>
      </c>
      <c r="H68" s="812">
        <v>1.103</v>
      </c>
      <c r="I68" s="813" t="s">
        <v>1796</v>
      </c>
      <c r="J68" s="814">
        <v>3.9889099999999997E-2</v>
      </c>
      <c r="K68" s="814">
        <v>7.3606000000000003E-6</v>
      </c>
      <c r="L68" s="815" t="s">
        <v>2367</v>
      </c>
      <c r="M68" s="816">
        <v>82.92</v>
      </c>
      <c r="N68" s="816" t="s">
        <v>414</v>
      </c>
      <c r="O68" s="817">
        <v>1700</v>
      </c>
      <c r="P68" s="818" t="s">
        <v>1801</v>
      </c>
      <c r="Q68" s="819">
        <v>7.6400000000000001E-3</v>
      </c>
      <c r="R68" s="820" t="s">
        <v>414</v>
      </c>
      <c r="S68" s="521">
        <v>2.0899999999999998E-3</v>
      </c>
      <c r="T68" s="522" t="s">
        <v>414</v>
      </c>
    </row>
    <row r="69" spans="1:20" ht="15" customHeight="1">
      <c r="A69" s="791" t="s">
        <v>471</v>
      </c>
      <c r="B69" s="792" t="s">
        <v>472</v>
      </c>
      <c r="C69" s="793">
        <v>173.04</v>
      </c>
      <c r="D69" s="794" t="s">
        <v>1801</v>
      </c>
      <c r="E69" s="795">
        <v>1.574E-4</v>
      </c>
      <c r="F69" s="795">
        <v>3.8500000000000004E-6</v>
      </c>
      <c r="G69" s="796" t="s">
        <v>414</v>
      </c>
      <c r="H69" s="821" t="s">
        <v>1750</v>
      </c>
      <c r="I69" s="822" t="s">
        <v>43</v>
      </c>
      <c r="J69" s="799">
        <v>6.1186499999999998E-2</v>
      </c>
      <c r="K69" s="799">
        <v>7.1492000000000001E-6</v>
      </c>
      <c r="L69" s="800" t="s">
        <v>2367</v>
      </c>
      <c r="M69" s="801">
        <v>14.38</v>
      </c>
      <c r="N69" s="801" t="s">
        <v>414</v>
      </c>
      <c r="O69" s="802">
        <v>7800</v>
      </c>
      <c r="P69" s="803" t="s">
        <v>1801</v>
      </c>
      <c r="Q69" s="804">
        <v>1.2199999999999999E-3</v>
      </c>
      <c r="R69" s="805" t="s">
        <v>414</v>
      </c>
      <c r="S69" s="527">
        <v>1.03E-2</v>
      </c>
      <c r="T69" s="528" t="s">
        <v>414</v>
      </c>
    </row>
    <row r="70" spans="1:20" ht="15" customHeight="1">
      <c r="A70" s="791" t="s">
        <v>99</v>
      </c>
      <c r="B70" s="792" t="s">
        <v>473</v>
      </c>
      <c r="C70" s="793">
        <v>143.01</v>
      </c>
      <c r="D70" s="794" t="s">
        <v>1801</v>
      </c>
      <c r="E70" s="795">
        <v>6.9499999999999998E-4</v>
      </c>
      <c r="F70" s="795">
        <v>1.7E-5</v>
      </c>
      <c r="G70" s="796" t="s">
        <v>414</v>
      </c>
      <c r="H70" s="797">
        <v>1.22</v>
      </c>
      <c r="I70" s="798" t="s">
        <v>1796</v>
      </c>
      <c r="J70" s="799">
        <v>5.6719199999999997E-2</v>
      </c>
      <c r="K70" s="799">
        <v>8.7069999999999998E-6</v>
      </c>
      <c r="L70" s="800" t="s">
        <v>2367</v>
      </c>
      <c r="M70" s="801">
        <v>32.21</v>
      </c>
      <c r="N70" s="801" t="s">
        <v>414</v>
      </c>
      <c r="O70" s="802">
        <v>17200</v>
      </c>
      <c r="P70" s="803" t="s">
        <v>1801</v>
      </c>
      <c r="Q70" s="804">
        <v>1.7799999999999999E-3</v>
      </c>
      <c r="R70" s="805" t="s">
        <v>414</v>
      </c>
      <c r="S70" s="527">
        <v>1E-3</v>
      </c>
      <c r="T70" s="528" t="s">
        <v>1797</v>
      </c>
    </row>
    <row r="71" spans="1:20" ht="15" customHeight="1" thickBot="1">
      <c r="A71" s="806" t="s">
        <v>475</v>
      </c>
      <c r="B71" s="807" t="s">
        <v>476</v>
      </c>
      <c r="C71" s="808">
        <v>114.96</v>
      </c>
      <c r="D71" s="809" t="s">
        <v>1801</v>
      </c>
      <c r="E71" s="810">
        <v>0.1782502</v>
      </c>
      <c r="F71" s="810">
        <v>4.3600000000000002E-3</v>
      </c>
      <c r="G71" s="811" t="s">
        <v>414</v>
      </c>
      <c r="H71" s="812">
        <v>1.323</v>
      </c>
      <c r="I71" s="813" t="s">
        <v>1796</v>
      </c>
      <c r="J71" s="814">
        <v>7.6300099999999996E-2</v>
      </c>
      <c r="K71" s="814">
        <v>1.04E-5</v>
      </c>
      <c r="L71" s="815" t="s">
        <v>2367</v>
      </c>
      <c r="M71" s="816">
        <v>9.6989999999999998</v>
      </c>
      <c r="N71" s="816" t="s">
        <v>414</v>
      </c>
      <c r="O71" s="817">
        <v>22000</v>
      </c>
      <c r="P71" s="818" t="s">
        <v>1801</v>
      </c>
      <c r="Q71" s="819">
        <v>8.5499999999999997E-4</v>
      </c>
      <c r="R71" s="820" t="s">
        <v>414</v>
      </c>
      <c r="S71" s="521">
        <v>7.3100000000000001E-5</v>
      </c>
      <c r="T71" s="522" t="s">
        <v>414</v>
      </c>
    </row>
    <row r="72" spans="1:20" ht="15" customHeight="1">
      <c r="A72" s="791" t="s">
        <v>477</v>
      </c>
      <c r="B72" s="792" t="s">
        <v>478</v>
      </c>
      <c r="C72" s="793">
        <v>228.29</v>
      </c>
      <c r="D72" s="794" t="s">
        <v>1801</v>
      </c>
      <c r="E72" s="795">
        <v>4.0880000000000003E-10</v>
      </c>
      <c r="F72" s="795">
        <v>9.9999999999999994E-12</v>
      </c>
      <c r="G72" s="796" t="s">
        <v>1801</v>
      </c>
      <c r="H72" s="797">
        <v>1.1950000000000001</v>
      </c>
      <c r="I72" s="798" t="s">
        <v>2168</v>
      </c>
      <c r="J72" s="799">
        <v>2.5346899999999999E-2</v>
      </c>
      <c r="K72" s="799">
        <v>6.4953000000000003E-6</v>
      </c>
      <c r="L72" s="800" t="s">
        <v>2367</v>
      </c>
      <c r="M72" s="801">
        <v>37670</v>
      </c>
      <c r="N72" s="801" t="s">
        <v>414</v>
      </c>
      <c r="O72" s="802">
        <v>120</v>
      </c>
      <c r="P72" s="803" t="s">
        <v>1801</v>
      </c>
      <c r="Q72" s="804">
        <v>1.32E-2</v>
      </c>
      <c r="R72" s="805" t="s">
        <v>414</v>
      </c>
      <c r="S72" s="527">
        <v>1.7899999999999999E-2</v>
      </c>
      <c r="T72" s="528" t="s">
        <v>414</v>
      </c>
    </row>
    <row r="73" spans="1:20" ht="15" customHeight="1">
      <c r="A73" s="791" t="s">
        <v>479</v>
      </c>
      <c r="B73" s="792" t="s">
        <v>480</v>
      </c>
      <c r="C73" s="793">
        <v>13.84</v>
      </c>
      <c r="D73" s="794" t="s">
        <v>414</v>
      </c>
      <c r="E73" s="831" t="s">
        <v>1750</v>
      </c>
      <c r="F73" s="831" t="s">
        <v>1750</v>
      </c>
      <c r="G73" s="832" t="s">
        <v>43</v>
      </c>
      <c r="H73" s="797">
        <v>2.34</v>
      </c>
      <c r="I73" s="798" t="s">
        <v>1796</v>
      </c>
      <c r="J73" s="833" t="s">
        <v>1750</v>
      </c>
      <c r="K73" s="833" t="s">
        <v>1750</v>
      </c>
      <c r="L73" s="834" t="s">
        <v>43</v>
      </c>
      <c r="M73" s="835" t="s">
        <v>1750</v>
      </c>
      <c r="N73" s="836" t="s">
        <v>43</v>
      </c>
      <c r="O73" s="837" t="s">
        <v>1750</v>
      </c>
      <c r="P73" s="838" t="s">
        <v>43</v>
      </c>
      <c r="Q73" s="804">
        <v>1E-3</v>
      </c>
      <c r="R73" s="805" t="s">
        <v>1797</v>
      </c>
      <c r="S73" s="527">
        <v>1.74</v>
      </c>
      <c r="T73" s="528" t="s">
        <v>414</v>
      </c>
    </row>
    <row r="74" spans="1:20" ht="15" customHeight="1" thickBot="1">
      <c r="A74" s="806" t="s">
        <v>1808</v>
      </c>
      <c r="B74" s="807" t="s">
        <v>1809</v>
      </c>
      <c r="C74" s="808">
        <v>117.17</v>
      </c>
      <c r="D74" s="809" t="s">
        <v>1801</v>
      </c>
      <c r="E74" s="810">
        <v>0.748</v>
      </c>
      <c r="F74" s="810">
        <v>1.83E-2</v>
      </c>
      <c r="G74" s="824" t="s">
        <v>43</v>
      </c>
      <c r="H74" s="812">
        <v>4.7889999999999997</v>
      </c>
      <c r="I74" s="813" t="s">
        <v>1796</v>
      </c>
      <c r="J74" s="814">
        <v>0.12454469999999999</v>
      </c>
      <c r="K74" s="814">
        <v>2.23E-5</v>
      </c>
      <c r="L74" s="815" t="s">
        <v>2367</v>
      </c>
      <c r="M74" s="827" t="s">
        <v>1750</v>
      </c>
      <c r="N74" s="828" t="s">
        <v>43</v>
      </c>
      <c r="O74" s="829" t="s">
        <v>1750</v>
      </c>
      <c r="P74" s="830" t="s">
        <v>43</v>
      </c>
      <c r="Q74" s="819">
        <v>1E-3</v>
      </c>
      <c r="R74" s="820" t="s">
        <v>1797</v>
      </c>
      <c r="S74" s="521">
        <v>9.4299999999999995E-2</v>
      </c>
      <c r="T74" s="522" t="s">
        <v>414</v>
      </c>
    </row>
    <row r="75" spans="1:20" ht="15" customHeight="1">
      <c r="A75" s="791" t="s">
        <v>481</v>
      </c>
      <c r="B75" s="792" t="s">
        <v>482</v>
      </c>
      <c r="C75" s="793">
        <v>67.805999999999997</v>
      </c>
      <c r="D75" s="794" t="s">
        <v>1801</v>
      </c>
      <c r="E75" s="831" t="s">
        <v>1750</v>
      </c>
      <c r="F75" s="831" t="s">
        <v>1750</v>
      </c>
      <c r="G75" s="832" t="s">
        <v>43</v>
      </c>
      <c r="H75" s="797">
        <v>2.7719999999999998</v>
      </c>
      <c r="I75" s="798" t="s">
        <v>1796</v>
      </c>
      <c r="J75" s="799">
        <v>0.1563359</v>
      </c>
      <c r="K75" s="799">
        <v>2.23E-5</v>
      </c>
      <c r="L75" s="800" t="s">
        <v>2367</v>
      </c>
      <c r="M75" s="835" t="s">
        <v>1750</v>
      </c>
      <c r="N75" s="836" t="s">
        <v>43</v>
      </c>
      <c r="O75" s="802">
        <v>3320000</v>
      </c>
      <c r="P75" s="803" t="s">
        <v>1801</v>
      </c>
      <c r="Q75" s="804">
        <v>1E-3</v>
      </c>
      <c r="R75" s="805" t="s">
        <v>1797</v>
      </c>
      <c r="S75" s="527">
        <v>7.6400000000000001E-3</v>
      </c>
      <c r="T75" s="528" t="s">
        <v>414</v>
      </c>
    </row>
    <row r="76" spans="1:20" ht="15" customHeight="1">
      <c r="A76" s="791" t="s">
        <v>483</v>
      </c>
      <c r="B76" s="792" t="s">
        <v>484</v>
      </c>
      <c r="C76" s="793">
        <v>79.900000000000006</v>
      </c>
      <c r="D76" s="794" t="s">
        <v>414</v>
      </c>
      <c r="E76" s="831" t="s">
        <v>1750</v>
      </c>
      <c r="F76" s="831" t="s">
        <v>1750</v>
      </c>
      <c r="G76" s="832" t="s">
        <v>43</v>
      </c>
      <c r="H76" s="821" t="s">
        <v>1750</v>
      </c>
      <c r="I76" s="822" t="s">
        <v>43</v>
      </c>
      <c r="J76" s="833" t="s">
        <v>1750</v>
      </c>
      <c r="K76" s="833" t="s">
        <v>1750</v>
      </c>
      <c r="L76" s="834" t="s">
        <v>43</v>
      </c>
      <c r="M76" s="835" t="s">
        <v>1750</v>
      </c>
      <c r="N76" s="836" t="s">
        <v>43</v>
      </c>
      <c r="O76" s="837" t="s">
        <v>1750</v>
      </c>
      <c r="P76" s="838" t="s">
        <v>43</v>
      </c>
      <c r="Q76" s="804">
        <v>1E-3</v>
      </c>
      <c r="R76" s="805" t="s">
        <v>1797</v>
      </c>
      <c r="S76" s="527">
        <v>1.2199999999999999E-3</v>
      </c>
      <c r="T76" s="528" t="s">
        <v>414</v>
      </c>
    </row>
    <row r="77" spans="1:20" ht="15" customHeight="1" thickBot="1">
      <c r="A77" s="806" t="s">
        <v>485</v>
      </c>
      <c r="B77" s="807" t="s">
        <v>486</v>
      </c>
      <c r="C77" s="808">
        <v>143.41</v>
      </c>
      <c r="D77" s="809" t="s">
        <v>1801</v>
      </c>
      <c r="E77" s="810">
        <v>3.71627E-2</v>
      </c>
      <c r="F77" s="810">
        <v>9.0899999999999998E-4</v>
      </c>
      <c r="G77" s="811" t="s">
        <v>1801</v>
      </c>
      <c r="H77" s="812">
        <v>1.7392000000000001</v>
      </c>
      <c r="I77" s="813" t="s">
        <v>1796</v>
      </c>
      <c r="J77" s="814">
        <v>6.5924800000000006E-2</v>
      </c>
      <c r="K77" s="814">
        <v>1.08E-5</v>
      </c>
      <c r="L77" s="815" t="s">
        <v>2367</v>
      </c>
      <c r="M77" s="816">
        <v>39.6</v>
      </c>
      <c r="N77" s="816" t="s">
        <v>414</v>
      </c>
      <c r="O77" s="817">
        <v>6900</v>
      </c>
      <c r="P77" s="818" t="s">
        <v>1801</v>
      </c>
      <c r="Q77" s="819">
        <v>4.64E-3</v>
      </c>
      <c r="R77" s="820" t="s">
        <v>414</v>
      </c>
      <c r="S77" s="521">
        <v>1.7799999999999999E-3</v>
      </c>
      <c r="T77" s="522" t="s">
        <v>414</v>
      </c>
    </row>
    <row r="78" spans="1:20" ht="15" customHeight="1">
      <c r="A78" s="791" t="s">
        <v>487</v>
      </c>
      <c r="B78" s="792" t="s">
        <v>488</v>
      </c>
      <c r="C78" s="793">
        <v>157.01</v>
      </c>
      <c r="D78" s="794" t="s">
        <v>1801</v>
      </c>
      <c r="E78" s="795">
        <v>0.10098119999999999</v>
      </c>
      <c r="F78" s="795">
        <v>2.47E-3</v>
      </c>
      <c r="G78" s="796" t="s">
        <v>1801</v>
      </c>
      <c r="H78" s="797">
        <v>1.4950000000000001</v>
      </c>
      <c r="I78" s="798" t="s">
        <v>1796</v>
      </c>
      <c r="J78" s="799">
        <v>5.3713200000000003E-2</v>
      </c>
      <c r="K78" s="799">
        <v>9.3003999999999999E-6</v>
      </c>
      <c r="L78" s="800" t="s">
        <v>2367</v>
      </c>
      <c r="M78" s="801">
        <v>233.9</v>
      </c>
      <c r="N78" s="801" t="s">
        <v>414</v>
      </c>
      <c r="O78" s="802">
        <v>446</v>
      </c>
      <c r="P78" s="803" t="s">
        <v>1801</v>
      </c>
      <c r="Q78" s="804">
        <v>0.02</v>
      </c>
      <c r="R78" s="805" t="s">
        <v>414</v>
      </c>
      <c r="S78" s="527">
        <v>8.5499999999999997E-4</v>
      </c>
      <c r="T78" s="528" t="s">
        <v>414</v>
      </c>
    </row>
    <row r="79" spans="1:20" ht="15" customHeight="1">
      <c r="A79" s="791" t="s">
        <v>1810</v>
      </c>
      <c r="B79" s="792" t="s">
        <v>1811</v>
      </c>
      <c r="C79" s="793">
        <v>129.38</v>
      </c>
      <c r="D79" s="794" t="s">
        <v>1801</v>
      </c>
      <c r="E79" s="795">
        <v>5.9689300000000001E-2</v>
      </c>
      <c r="F79" s="795">
        <v>1.4599999999999999E-3</v>
      </c>
      <c r="G79" s="796" t="s">
        <v>414</v>
      </c>
      <c r="H79" s="797">
        <v>1.9343999999999999</v>
      </c>
      <c r="I79" s="798" t="s">
        <v>1796</v>
      </c>
      <c r="J79" s="799">
        <v>7.8691999999999998E-2</v>
      </c>
      <c r="K79" s="799">
        <v>1.22E-5</v>
      </c>
      <c r="L79" s="800" t="s">
        <v>2367</v>
      </c>
      <c r="M79" s="801">
        <v>21.73</v>
      </c>
      <c r="N79" s="801" t="s">
        <v>414</v>
      </c>
      <c r="O79" s="802">
        <v>16700</v>
      </c>
      <c r="P79" s="803" t="s">
        <v>1801</v>
      </c>
      <c r="Q79" s="804">
        <v>2.5500000000000002E-3</v>
      </c>
      <c r="R79" s="805" t="s">
        <v>414</v>
      </c>
      <c r="S79" s="527">
        <v>1.32E-2</v>
      </c>
      <c r="T79" s="528" t="s">
        <v>414</v>
      </c>
    </row>
    <row r="80" spans="1:20" ht="15" customHeight="1" thickBot="1">
      <c r="A80" s="806" t="s">
        <v>57</v>
      </c>
      <c r="B80" s="807" t="s">
        <v>489</v>
      </c>
      <c r="C80" s="808">
        <v>163.83000000000001</v>
      </c>
      <c r="D80" s="809" t="s">
        <v>1801</v>
      </c>
      <c r="E80" s="810">
        <v>8.6672100000000002E-2</v>
      </c>
      <c r="F80" s="810">
        <v>2.1199999999999999E-3</v>
      </c>
      <c r="G80" s="811" t="s">
        <v>1801</v>
      </c>
      <c r="H80" s="812">
        <v>1.98</v>
      </c>
      <c r="I80" s="813" t="s">
        <v>1796</v>
      </c>
      <c r="J80" s="814">
        <v>5.6262899999999998E-2</v>
      </c>
      <c r="K80" s="814">
        <v>1.0699999999999999E-5</v>
      </c>
      <c r="L80" s="815" t="s">
        <v>2367</v>
      </c>
      <c r="M80" s="816">
        <v>31.82</v>
      </c>
      <c r="N80" s="816" t="s">
        <v>414</v>
      </c>
      <c r="O80" s="817">
        <v>3032</v>
      </c>
      <c r="P80" s="818" t="s">
        <v>1801</v>
      </c>
      <c r="Q80" s="819">
        <v>4.0200000000000001E-3</v>
      </c>
      <c r="R80" s="820" t="s">
        <v>414</v>
      </c>
      <c r="S80" s="521">
        <v>1E-3</v>
      </c>
      <c r="T80" s="522" t="s">
        <v>1797</v>
      </c>
    </row>
    <row r="81" spans="1:20" ht="15" customHeight="1">
      <c r="A81" s="791" t="s">
        <v>56</v>
      </c>
      <c r="B81" s="792" t="s">
        <v>490</v>
      </c>
      <c r="C81" s="793">
        <v>252.73</v>
      </c>
      <c r="D81" s="794" t="s">
        <v>1801</v>
      </c>
      <c r="E81" s="795">
        <v>2.18724E-2</v>
      </c>
      <c r="F81" s="795">
        <v>5.3499999999999999E-4</v>
      </c>
      <c r="G81" s="796" t="s">
        <v>1801</v>
      </c>
      <c r="H81" s="797">
        <v>2.8788</v>
      </c>
      <c r="I81" s="798" t="s">
        <v>1796</v>
      </c>
      <c r="J81" s="799">
        <v>3.5732399999999997E-2</v>
      </c>
      <c r="K81" s="799">
        <v>1.04E-5</v>
      </c>
      <c r="L81" s="800" t="s">
        <v>2367</v>
      </c>
      <c r="M81" s="801">
        <v>31.82</v>
      </c>
      <c r="N81" s="801" t="s">
        <v>414</v>
      </c>
      <c r="O81" s="802">
        <v>3100</v>
      </c>
      <c r="P81" s="803" t="s">
        <v>1801</v>
      </c>
      <c r="Q81" s="804">
        <v>2.3500000000000001E-3</v>
      </c>
      <c r="R81" s="805" t="s">
        <v>414</v>
      </c>
      <c r="S81" s="527">
        <v>1E-3</v>
      </c>
      <c r="T81" s="528" t="s">
        <v>1797</v>
      </c>
    </row>
    <row r="82" spans="1:20" ht="15" customHeight="1">
      <c r="A82" s="791" t="s">
        <v>491</v>
      </c>
      <c r="B82" s="792" t="s">
        <v>492</v>
      </c>
      <c r="C82" s="793">
        <v>94.938999999999993</v>
      </c>
      <c r="D82" s="794" t="s">
        <v>1801</v>
      </c>
      <c r="E82" s="795">
        <v>0.30008180000000001</v>
      </c>
      <c r="F82" s="795">
        <v>7.3400000000000002E-3</v>
      </c>
      <c r="G82" s="796" t="s">
        <v>1801</v>
      </c>
      <c r="H82" s="797">
        <v>1.6755</v>
      </c>
      <c r="I82" s="798" t="s">
        <v>1796</v>
      </c>
      <c r="J82" s="799">
        <v>0.10049760000000001</v>
      </c>
      <c r="K82" s="799">
        <v>1.3499999999999999E-5</v>
      </c>
      <c r="L82" s="800" t="s">
        <v>2367</v>
      </c>
      <c r="M82" s="801">
        <v>13.22</v>
      </c>
      <c r="N82" s="801" t="s">
        <v>414</v>
      </c>
      <c r="O82" s="802">
        <v>15200</v>
      </c>
      <c r="P82" s="803" t="s">
        <v>1801</v>
      </c>
      <c r="Q82" s="804">
        <v>2.8400000000000001E-3</v>
      </c>
      <c r="R82" s="805" t="s">
        <v>414</v>
      </c>
      <c r="S82" s="527">
        <v>1E-3</v>
      </c>
      <c r="T82" s="528" t="s">
        <v>1797</v>
      </c>
    </row>
    <row r="83" spans="1:20" ht="15" customHeight="1" thickBot="1">
      <c r="A83" s="806" t="s">
        <v>493</v>
      </c>
      <c r="B83" s="807" t="s">
        <v>494</v>
      </c>
      <c r="C83" s="808">
        <v>366</v>
      </c>
      <c r="D83" s="809" t="s">
        <v>1801</v>
      </c>
      <c r="E83" s="810">
        <v>8.3809999999999996E-3</v>
      </c>
      <c r="F83" s="810">
        <v>2.05E-4</v>
      </c>
      <c r="G83" s="811" t="s">
        <v>414</v>
      </c>
      <c r="H83" s="812">
        <v>1.704</v>
      </c>
      <c r="I83" s="813" t="s">
        <v>2400</v>
      </c>
      <c r="J83" s="814">
        <v>2.3467600000000002E-2</v>
      </c>
      <c r="K83" s="814">
        <v>6.0542999999999998E-6</v>
      </c>
      <c r="L83" s="815" t="s">
        <v>2367</v>
      </c>
      <c r="M83" s="816">
        <v>2019</v>
      </c>
      <c r="N83" s="816" t="s">
        <v>414</v>
      </c>
      <c r="O83" s="817">
        <v>0.3</v>
      </c>
      <c r="P83" s="818" t="s">
        <v>1801</v>
      </c>
      <c r="Q83" s="819">
        <v>4.0099999999999997E-2</v>
      </c>
      <c r="R83" s="820" t="s">
        <v>414</v>
      </c>
      <c r="S83" s="521">
        <v>1E-3</v>
      </c>
      <c r="T83" s="522" t="s">
        <v>1797</v>
      </c>
    </row>
    <row r="84" spans="1:20" ht="15" customHeight="1">
      <c r="A84" s="791" t="s">
        <v>495</v>
      </c>
      <c r="B84" s="792" t="s">
        <v>496</v>
      </c>
      <c r="C84" s="793">
        <v>276.92</v>
      </c>
      <c r="D84" s="794" t="s">
        <v>1801</v>
      </c>
      <c r="E84" s="795">
        <v>5.3966000000000002E-9</v>
      </c>
      <c r="F84" s="795">
        <v>1.3200000000000001E-10</v>
      </c>
      <c r="G84" s="796" t="s">
        <v>414</v>
      </c>
      <c r="H84" s="821" t="s">
        <v>1750</v>
      </c>
      <c r="I84" s="822" t="s">
        <v>43</v>
      </c>
      <c r="J84" s="799">
        <v>4.47216E-2</v>
      </c>
      <c r="K84" s="799">
        <v>5.2254E-6</v>
      </c>
      <c r="L84" s="800" t="s">
        <v>2367</v>
      </c>
      <c r="M84" s="801">
        <v>330.1</v>
      </c>
      <c r="N84" s="801" t="s">
        <v>414</v>
      </c>
      <c r="O84" s="802">
        <v>130</v>
      </c>
      <c r="P84" s="803" t="s">
        <v>1801</v>
      </c>
      <c r="Q84" s="804">
        <v>7.8300000000000002E-3</v>
      </c>
      <c r="R84" s="805" t="s">
        <v>414</v>
      </c>
      <c r="S84" s="527">
        <v>4.64E-3</v>
      </c>
      <c r="T84" s="528" t="s">
        <v>414</v>
      </c>
    </row>
    <row r="85" spans="1:20" ht="15" customHeight="1">
      <c r="A85" s="791" t="s">
        <v>497</v>
      </c>
      <c r="B85" s="792" t="s">
        <v>498</v>
      </c>
      <c r="C85" s="793">
        <v>403.12</v>
      </c>
      <c r="D85" s="794" t="s">
        <v>1801</v>
      </c>
      <c r="E85" s="795">
        <v>1.3041999999999999E-3</v>
      </c>
      <c r="F85" s="795">
        <v>3.1900000000000003E-5</v>
      </c>
      <c r="G85" s="796" t="s">
        <v>414</v>
      </c>
      <c r="H85" s="797">
        <v>1.54</v>
      </c>
      <c r="I85" s="798" t="s">
        <v>2400</v>
      </c>
      <c r="J85" s="799">
        <v>2.12801E-2</v>
      </c>
      <c r="K85" s="799">
        <v>5.3767999999999999E-6</v>
      </c>
      <c r="L85" s="800" t="s">
        <v>2367</v>
      </c>
      <c r="M85" s="801">
        <v>4252</v>
      </c>
      <c r="N85" s="801" t="s">
        <v>414</v>
      </c>
      <c r="O85" s="802">
        <v>0.08</v>
      </c>
      <c r="P85" s="803" t="s">
        <v>1801</v>
      </c>
      <c r="Q85" s="804">
        <v>3.32E-2</v>
      </c>
      <c r="R85" s="805" t="s">
        <v>414</v>
      </c>
      <c r="S85" s="527">
        <v>0.02</v>
      </c>
      <c r="T85" s="528" t="s">
        <v>414</v>
      </c>
    </row>
    <row r="86" spans="1:20" ht="15" customHeight="1" thickBot="1">
      <c r="A86" s="806" t="s">
        <v>164</v>
      </c>
      <c r="B86" s="807" t="s">
        <v>499</v>
      </c>
      <c r="C86" s="808">
        <v>54.091999999999999</v>
      </c>
      <c r="D86" s="809" t="s">
        <v>1801</v>
      </c>
      <c r="E86" s="810">
        <v>3.0089942999999999</v>
      </c>
      <c r="F86" s="810">
        <v>7.3599999999999999E-2</v>
      </c>
      <c r="G86" s="811" t="s">
        <v>414</v>
      </c>
      <c r="H86" s="812">
        <v>0.6149</v>
      </c>
      <c r="I86" s="813" t="s">
        <v>1796</v>
      </c>
      <c r="J86" s="814">
        <v>0.1003488</v>
      </c>
      <c r="K86" s="814">
        <v>1.03E-5</v>
      </c>
      <c r="L86" s="815" t="s">
        <v>2367</v>
      </c>
      <c r="M86" s="816">
        <v>39.6</v>
      </c>
      <c r="N86" s="816" t="s">
        <v>414</v>
      </c>
      <c r="O86" s="817">
        <v>735</v>
      </c>
      <c r="P86" s="818" t="s">
        <v>1801</v>
      </c>
      <c r="Q86" s="819">
        <v>1.6400000000000001E-2</v>
      </c>
      <c r="R86" s="820" t="s">
        <v>414</v>
      </c>
      <c r="S86" s="521">
        <v>2.5500000000000002E-3</v>
      </c>
      <c r="T86" s="522" t="s">
        <v>414</v>
      </c>
    </row>
    <row r="87" spans="1:20" ht="15" customHeight="1">
      <c r="A87" s="791" t="s">
        <v>2401</v>
      </c>
      <c r="B87" s="792" t="s">
        <v>736</v>
      </c>
      <c r="C87" s="793">
        <v>249.1</v>
      </c>
      <c r="D87" s="794" t="s">
        <v>1801</v>
      </c>
      <c r="E87" s="795">
        <v>9.3622000000000003E-8</v>
      </c>
      <c r="F87" s="795">
        <v>2.2900000000000002E-9</v>
      </c>
      <c r="G87" s="796" t="s">
        <v>1801</v>
      </c>
      <c r="H87" s="797">
        <v>1.369</v>
      </c>
      <c r="I87" s="798" t="s">
        <v>2399</v>
      </c>
      <c r="J87" s="799">
        <v>2.58052E-2</v>
      </c>
      <c r="K87" s="799">
        <v>6.6879E-6</v>
      </c>
      <c r="L87" s="800" t="s">
        <v>2367</v>
      </c>
      <c r="M87" s="801">
        <v>370</v>
      </c>
      <c r="N87" s="801" t="s">
        <v>2168</v>
      </c>
      <c r="O87" s="802">
        <v>46</v>
      </c>
      <c r="P87" s="803" t="s">
        <v>1801</v>
      </c>
      <c r="Q87" s="804">
        <v>1.3899999999999999E-2</v>
      </c>
      <c r="R87" s="805" t="s">
        <v>414</v>
      </c>
      <c r="S87" s="527">
        <v>4.0200000000000001E-3</v>
      </c>
      <c r="T87" s="528" t="s">
        <v>414</v>
      </c>
    </row>
    <row r="88" spans="1:20" ht="15" customHeight="1">
      <c r="A88" s="791" t="s">
        <v>500</v>
      </c>
      <c r="B88" s="792" t="s">
        <v>501</v>
      </c>
      <c r="C88" s="793">
        <v>74.123999999999995</v>
      </c>
      <c r="D88" s="794" t="s">
        <v>1801</v>
      </c>
      <c r="E88" s="795">
        <v>3.6019999999999997E-4</v>
      </c>
      <c r="F88" s="795">
        <v>8.8100000000000004E-6</v>
      </c>
      <c r="G88" s="796" t="s">
        <v>1801</v>
      </c>
      <c r="H88" s="797">
        <v>0.8095</v>
      </c>
      <c r="I88" s="798" t="s">
        <v>1796</v>
      </c>
      <c r="J88" s="799">
        <v>9.0038699999999999E-2</v>
      </c>
      <c r="K88" s="799">
        <v>1.01E-5</v>
      </c>
      <c r="L88" s="800" t="s">
        <v>2367</v>
      </c>
      <c r="M88" s="801">
        <v>3.4710000000000001</v>
      </c>
      <c r="N88" s="801" t="s">
        <v>414</v>
      </c>
      <c r="O88" s="802">
        <v>63200</v>
      </c>
      <c r="P88" s="803" t="s">
        <v>1801</v>
      </c>
      <c r="Q88" s="804">
        <v>2.31E-3</v>
      </c>
      <c r="R88" s="805" t="s">
        <v>414</v>
      </c>
      <c r="S88" s="527">
        <v>2.3500000000000001E-3</v>
      </c>
      <c r="T88" s="528" t="s">
        <v>414</v>
      </c>
    </row>
    <row r="89" spans="1:20" ht="15" customHeight="1" thickBot="1">
      <c r="A89" s="806" t="s">
        <v>503</v>
      </c>
      <c r="B89" s="807" t="s">
        <v>504</v>
      </c>
      <c r="C89" s="808">
        <v>74.123999999999995</v>
      </c>
      <c r="D89" s="809" t="s">
        <v>1801</v>
      </c>
      <c r="E89" s="810">
        <v>3.704E-4</v>
      </c>
      <c r="F89" s="810">
        <v>9.0599999999999997E-6</v>
      </c>
      <c r="G89" s="811" t="s">
        <v>1801</v>
      </c>
      <c r="H89" s="812">
        <v>0.80630000000000002</v>
      </c>
      <c r="I89" s="813" t="s">
        <v>1796</v>
      </c>
      <c r="J89" s="814">
        <v>8.9884800000000001E-2</v>
      </c>
      <c r="K89" s="814">
        <v>1.01E-5</v>
      </c>
      <c r="L89" s="815" t="s">
        <v>2367</v>
      </c>
      <c r="M89" s="816">
        <v>2.919</v>
      </c>
      <c r="N89" s="816" t="s">
        <v>414</v>
      </c>
      <c r="O89" s="817">
        <v>181000</v>
      </c>
      <c r="P89" s="818" t="s">
        <v>1801</v>
      </c>
      <c r="Q89" s="819">
        <v>1.5299999999999999E-3</v>
      </c>
      <c r="R89" s="820" t="s">
        <v>414</v>
      </c>
      <c r="S89" s="521">
        <v>2.8400000000000001E-3</v>
      </c>
      <c r="T89" s="522" t="s">
        <v>414</v>
      </c>
    </row>
    <row r="90" spans="1:20" ht="15" customHeight="1">
      <c r="A90" s="791" t="s">
        <v>505</v>
      </c>
      <c r="B90" s="792" t="s">
        <v>506</v>
      </c>
      <c r="C90" s="793">
        <v>217.38</v>
      </c>
      <c r="D90" s="794" t="s">
        <v>1801</v>
      </c>
      <c r="E90" s="795">
        <v>3.4545999999999999E-3</v>
      </c>
      <c r="F90" s="795">
        <v>8.4499999999999994E-5</v>
      </c>
      <c r="G90" s="796" t="s">
        <v>414</v>
      </c>
      <c r="H90" s="797">
        <v>0.94020000000000004</v>
      </c>
      <c r="I90" s="798" t="s">
        <v>1796</v>
      </c>
      <c r="J90" s="799">
        <v>2.3230600000000001E-2</v>
      </c>
      <c r="K90" s="799">
        <v>5.7926000000000002E-6</v>
      </c>
      <c r="L90" s="800" t="s">
        <v>2367</v>
      </c>
      <c r="M90" s="801">
        <v>385.7</v>
      </c>
      <c r="N90" s="801" t="s">
        <v>414</v>
      </c>
      <c r="O90" s="802">
        <v>45</v>
      </c>
      <c r="P90" s="803" t="s">
        <v>1801</v>
      </c>
      <c r="Q90" s="804">
        <v>5.4100000000000002E-2</v>
      </c>
      <c r="R90" s="805" t="s">
        <v>414</v>
      </c>
      <c r="S90" s="527">
        <v>4.0099999999999997E-2</v>
      </c>
      <c r="T90" s="528" t="s">
        <v>414</v>
      </c>
    </row>
    <row r="91" spans="1:20" ht="15" customHeight="1">
      <c r="A91" s="791" t="s">
        <v>507</v>
      </c>
      <c r="B91" s="792" t="s">
        <v>508</v>
      </c>
      <c r="C91" s="793">
        <v>360.5</v>
      </c>
      <c r="D91" s="794" t="s">
        <v>1801</v>
      </c>
      <c r="E91" s="795">
        <v>4.7800000000000003E-5</v>
      </c>
      <c r="F91" s="795">
        <v>1.17E-6</v>
      </c>
      <c r="G91" s="796" t="s">
        <v>1801</v>
      </c>
      <c r="H91" s="821" t="s">
        <v>1750</v>
      </c>
      <c r="I91" s="822" t="s">
        <v>43</v>
      </c>
      <c r="J91" s="799">
        <v>3.7510300000000003E-2</v>
      </c>
      <c r="K91" s="799">
        <v>4.3827999999999998E-6</v>
      </c>
      <c r="L91" s="800" t="s">
        <v>2367</v>
      </c>
      <c r="M91" s="801">
        <v>840.7</v>
      </c>
      <c r="N91" s="801" t="s">
        <v>414</v>
      </c>
      <c r="O91" s="802">
        <v>212.8</v>
      </c>
      <c r="P91" s="803" t="s">
        <v>1801</v>
      </c>
      <c r="Q91" s="804">
        <v>3.2500000000000001E-2</v>
      </c>
      <c r="R91" s="805" t="s">
        <v>414</v>
      </c>
      <c r="S91" s="527">
        <v>7.8300000000000002E-3</v>
      </c>
      <c r="T91" s="528" t="s">
        <v>414</v>
      </c>
    </row>
    <row r="92" spans="1:20" ht="15" customHeight="1" thickBot="1">
      <c r="A92" s="806" t="s">
        <v>2106</v>
      </c>
      <c r="B92" s="807" t="s">
        <v>2107</v>
      </c>
      <c r="C92" s="808">
        <v>220.36</v>
      </c>
      <c r="D92" s="809" t="s">
        <v>1801</v>
      </c>
      <c r="E92" s="810">
        <v>1.684E-4</v>
      </c>
      <c r="F92" s="810">
        <v>4.1200000000000004E-6</v>
      </c>
      <c r="G92" s="811" t="s">
        <v>1801</v>
      </c>
      <c r="H92" s="812">
        <v>0.89370000000000005</v>
      </c>
      <c r="I92" s="813" t="s">
        <v>1796</v>
      </c>
      <c r="J92" s="814">
        <v>2.2509399999999999E-2</v>
      </c>
      <c r="K92" s="814">
        <v>5.5732000000000003E-6</v>
      </c>
      <c r="L92" s="815" t="s">
        <v>2367</v>
      </c>
      <c r="M92" s="816">
        <v>14750</v>
      </c>
      <c r="N92" s="816" t="s">
        <v>414</v>
      </c>
      <c r="O92" s="817">
        <v>0.6</v>
      </c>
      <c r="P92" s="818" t="s">
        <v>1801</v>
      </c>
      <c r="Q92" s="819">
        <v>0.223</v>
      </c>
      <c r="R92" s="820" t="s">
        <v>414</v>
      </c>
      <c r="S92" s="521">
        <v>3.32E-2</v>
      </c>
      <c r="T92" s="522" t="s">
        <v>414</v>
      </c>
    </row>
    <row r="93" spans="1:20" ht="15" customHeight="1">
      <c r="A93" s="791" t="s">
        <v>172</v>
      </c>
      <c r="B93" s="792" t="s">
        <v>1635</v>
      </c>
      <c r="C93" s="793">
        <v>134.22</v>
      </c>
      <c r="D93" s="794" t="s">
        <v>1801</v>
      </c>
      <c r="E93" s="795">
        <v>0.65004090000000003</v>
      </c>
      <c r="F93" s="795">
        <v>1.5900000000000001E-2</v>
      </c>
      <c r="G93" s="796" t="s">
        <v>414</v>
      </c>
      <c r="H93" s="797">
        <v>0.86009999999999998</v>
      </c>
      <c r="I93" s="798" t="s">
        <v>1796</v>
      </c>
      <c r="J93" s="799">
        <v>5.2773199999999999E-2</v>
      </c>
      <c r="K93" s="799">
        <v>7.3335000000000002E-6</v>
      </c>
      <c r="L93" s="800" t="s">
        <v>2367</v>
      </c>
      <c r="M93" s="801">
        <v>1482</v>
      </c>
      <c r="N93" s="801" t="s">
        <v>414</v>
      </c>
      <c r="O93" s="802">
        <v>11.8</v>
      </c>
      <c r="P93" s="803" t="s">
        <v>1801</v>
      </c>
      <c r="Q93" s="804">
        <v>0.22500000000000001</v>
      </c>
      <c r="R93" s="805" t="s">
        <v>414</v>
      </c>
      <c r="S93" s="527">
        <v>1.6400000000000001E-2</v>
      </c>
      <c r="T93" s="528" t="s">
        <v>414</v>
      </c>
    </row>
    <row r="94" spans="1:20" ht="15" customHeight="1">
      <c r="A94" s="791" t="s">
        <v>176</v>
      </c>
      <c r="B94" s="792" t="s">
        <v>1636</v>
      </c>
      <c r="C94" s="793">
        <v>134.22</v>
      </c>
      <c r="D94" s="794" t="s">
        <v>1801</v>
      </c>
      <c r="E94" s="795">
        <v>0.71954209999999996</v>
      </c>
      <c r="F94" s="795">
        <v>1.7600000000000001E-2</v>
      </c>
      <c r="G94" s="796" t="s">
        <v>414</v>
      </c>
      <c r="H94" s="797">
        <v>0.86080000000000001</v>
      </c>
      <c r="I94" s="798" t="s">
        <v>1798</v>
      </c>
      <c r="J94" s="799">
        <v>5.2792800000000001E-2</v>
      </c>
      <c r="K94" s="799">
        <v>7.3370999999999996E-6</v>
      </c>
      <c r="L94" s="800" t="s">
        <v>2367</v>
      </c>
      <c r="M94" s="801">
        <v>1331</v>
      </c>
      <c r="N94" s="801" t="s">
        <v>414</v>
      </c>
      <c r="O94" s="802">
        <v>17.600000000000001</v>
      </c>
      <c r="P94" s="803" t="s">
        <v>1801</v>
      </c>
      <c r="Q94" s="804">
        <v>0.30099999999999999</v>
      </c>
      <c r="R94" s="805" t="s">
        <v>414</v>
      </c>
      <c r="S94" s="527">
        <v>2.31E-3</v>
      </c>
      <c r="T94" s="528" t="s">
        <v>414</v>
      </c>
    </row>
    <row r="95" spans="1:20" ht="15" customHeight="1" thickBot="1">
      <c r="A95" s="806" t="s">
        <v>177</v>
      </c>
      <c r="B95" s="807" t="s">
        <v>1637</v>
      </c>
      <c r="C95" s="808">
        <v>134.22</v>
      </c>
      <c r="D95" s="809" t="s">
        <v>1801</v>
      </c>
      <c r="E95" s="810">
        <v>0.53965660000000004</v>
      </c>
      <c r="F95" s="810">
        <v>1.32E-2</v>
      </c>
      <c r="G95" s="811" t="s">
        <v>414</v>
      </c>
      <c r="H95" s="812">
        <v>0.86650000000000005</v>
      </c>
      <c r="I95" s="813" t="s">
        <v>1796</v>
      </c>
      <c r="J95" s="814">
        <v>5.29525E-2</v>
      </c>
      <c r="K95" s="814">
        <v>7.3661999999999999E-6</v>
      </c>
      <c r="L95" s="815" t="s">
        <v>2367</v>
      </c>
      <c r="M95" s="816">
        <v>1001</v>
      </c>
      <c r="N95" s="816" t="s">
        <v>414</v>
      </c>
      <c r="O95" s="817">
        <v>29.5</v>
      </c>
      <c r="P95" s="818" t="s">
        <v>1801</v>
      </c>
      <c r="Q95" s="819">
        <v>0.14899999999999999</v>
      </c>
      <c r="R95" s="820" t="s">
        <v>414</v>
      </c>
      <c r="S95" s="521">
        <v>3.85E-2</v>
      </c>
      <c r="T95" s="522" t="s">
        <v>414</v>
      </c>
    </row>
    <row r="96" spans="1:20" ht="15" customHeight="1">
      <c r="A96" s="791" t="s">
        <v>510</v>
      </c>
      <c r="B96" s="792" t="s">
        <v>511</v>
      </c>
      <c r="C96" s="793">
        <v>138</v>
      </c>
      <c r="D96" s="794" t="s">
        <v>1801</v>
      </c>
      <c r="E96" s="795">
        <v>7.3590000000000002E-13</v>
      </c>
      <c r="F96" s="795">
        <v>1.7999999999999999E-14</v>
      </c>
      <c r="G96" s="796" t="s">
        <v>1801</v>
      </c>
      <c r="H96" s="821" t="s">
        <v>1750</v>
      </c>
      <c r="I96" s="822" t="s">
        <v>43</v>
      </c>
      <c r="J96" s="799">
        <v>7.1148799999999998E-2</v>
      </c>
      <c r="K96" s="799">
        <v>8.3132000000000003E-6</v>
      </c>
      <c r="L96" s="800" t="s">
        <v>2367</v>
      </c>
      <c r="M96" s="801">
        <v>43.89</v>
      </c>
      <c r="N96" s="801" t="s">
        <v>414</v>
      </c>
      <c r="O96" s="802">
        <v>2000000</v>
      </c>
      <c r="P96" s="803" t="s">
        <v>1801</v>
      </c>
      <c r="Q96" s="804">
        <v>4.6000000000000001E-4</v>
      </c>
      <c r="R96" s="805" t="s">
        <v>414</v>
      </c>
      <c r="S96" s="527">
        <v>1.5299999999999999E-3</v>
      </c>
      <c r="T96" s="528" t="s">
        <v>414</v>
      </c>
    </row>
    <row r="97" spans="1:20" ht="15" customHeight="1">
      <c r="A97" s="791" t="s">
        <v>512</v>
      </c>
      <c r="B97" s="792" t="s">
        <v>513</v>
      </c>
      <c r="C97" s="793">
        <v>112.4</v>
      </c>
      <c r="D97" s="794" t="s">
        <v>1801</v>
      </c>
      <c r="E97" s="831" t="s">
        <v>1750</v>
      </c>
      <c r="F97" s="831" t="s">
        <v>1750</v>
      </c>
      <c r="G97" s="832" t="s">
        <v>43</v>
      </c>
      <c r="H97" s="797">
        <v>8.69</v>
      </c>
      <c r="I97" s="798" t="s">
        <v>1796</v>
      </c>
      <c r="J97" s="833" t="s">
        <v>1750</v>
      </c>
      <c r="K97" s="833" t="s">
        <v>1750</v>
      </c>
      <c r="L97" s="834" t="s">
        <v>43</v>
      </c>
      <c r="M97" s="835" t="s">
        <v>1750</v>
      </c>
      <c r="N97" s="836" t="s">
        <v>43</v>
      </c>
      <c r="O97" s="837" t="s">
        <v>1750</v>
      </c>
      <c r="P97" s="838" t="s">
        <v>43</v>
      </c>
      <c r="Q97" s="804">
        <v>1E-3</v>
      </c>
      <c r="R97" s="805" t="s">
        <v>1797</v>
      </c>
      <c r="S97" s="527">
        <v>5.4100000000000002E-2</v>
      </c>
      <c r="T97" s="528" t="s">
        <v>414</v>
      </c>
    </row>
    <row r="98" spans="1:20" ht="15" customHeight="1" thickBot="1">
      <c r="A98" s="806" t="s">
        <v>514</v>
      </c>
      <c r="B98" s="807" t="s">
        <v>513</v>
      </c>
      <c r="C98" s="808">
        <v>112.4</v>
      </c>
      <c r="D98" s="809" t="s">
        <v>1801</v>
      </c>
      <c r="E98" s="823" t="s">
        <v>1750</v>
      </c>
      <c r="F98" s="823" t="s">
        <v>1750</v>
      </c>
      <c r="G98" s="824" t="s">
        <v>43</v>
      </c>
      <c r="H98" s="812">
        <v>8.69</v>
      </c>
      <c r="I98" s="813" t="s">
        <v>1796</v>
      </c>
      <c r="J98" s="825" t="s">
        <v>1750</v>
      </c>
      <c r="K98" s="825" t="s">
        <v>1750</v>
      </c>
      <c r="L98" s="826" t="s">
        <v>43</v>
      </c>
      <c r="M98" s="827" t="s">
        <v>1750</v>
      </c>
      <c r="N98" s="828" t="s">
        <v>43</v>
      </c>
      <c r="O98" s="829" t="s">
        <v>1750</v>
      </c>
      <c r="P98" s="830" t="s">
        <v>43</v>
      </c>
      <c r="Q98" s="819">
        <v>1E-3</v>
      </c>
      <c r="R98" s="820" t="s">
        <v>1797</v>
      </c>
      <c r="S98" s="521">
        <v>3.2500000000000001E-2</v>
      </c>
      <c r="T98" s="522" t="s">
        <v>414</v>
      </c>
    </row>
    <row r="99" spans="1:20" ht="15" customHeight="1">
      <c r="A99" s="791" t="s">
        <v>2213</v>
      </c>
      <c r="B99" s="792" t="s">
        <v>2214</v>
      </c>
      <c r="C99" s="793">
        <v>156.072</v>
      </c>
      <c r="D99" s="794" t="s">
        <v>1796</v>
      </c>
      <c r="E99" s="831" t="s">
        <v>1750</v>
      </c>
      <c r="F99" s="831" t="s">
        <v>1750</v>
      </c>
      <c r="G99" s="832" t="s">
        <v>43</v>
      </c>
      <c r="H99" s="821" t="s">
        <v>1750</v>
      </c>
      <c r="I99" s="822" t="s">
        <v>43</v>
      </c>
      <c r="J99" s="833" t="s">
        <v>1750</v>
      </c>
      <c r="K99" s="833" t="s">
        <v>1750</v>
      </c>
      <c r="L99" s="834" t="s">
        <v>43</v>
      </c>
      <c r="M99" s="835" t="s">
        <v>1750</v>
      </c>
      <c r="N99" s="836" t="s">
        <v>43</v>
      </c>
      <c r="O99" s="837" t="s">
        <v>1750</v>
      </c>
      <c r="P99" s="838" t="s">
        <v>43</v>
      </c>
      <c r="Q99" s="804">
        <v>1E-3</v>
      </c>
      <c r="R99" s="805" t="s">
        <v>1797</v>
      </c>
      <c r="S99" s="527">
        <v>0.223</v>
      </c>
      <c r="T99" s="528" t="s">
        <v>414</v>
      </c>
    </row>
    <row r="100" spans="1:20" ht="15" customHeight="1">
      <c r="A100" s="791" t="s">
        <v>515</v>
      </c>
      <c r="B100" s="792" t="s">
        <v>516</v>
      </c>
      <c r="C100" s="793">
        <v>113.16</v>
      </c>
      <c r="D100" s="794" t="s">
        <v>1801</v>
      </c>
      <c r="E100" s="795">
        <v>1.0343E-6</v>
      </c>
      <c r="F100" s="795">
        <v>2.5300000000000002E-8</v>
      </c>
      <c r="G100" s="796" t="s">
        <v>1801</v>
      </c>
      <c r="H100" s="797">
        <v>1.02</v>
      </c>
      <c r="I100" s="798" t="s">
        <v>1798</v>
      </c>
      <c r="J100" s="799">
        <v>6.9242200000000004E-2</v>
      </c>
      <c r="K100" s="799">
        <v>8.9995000000000008E-6</v>
      </c>
      <c r="L100" s="800" t="s">
        <v>2367</v>
      </c>
      <c r="M100" s="801">
        <v>24.5</v>
      </c>
      <c r="N100" s="801" t="s">
        <v>414</v>
      </c>
      <c r="O100" s="802">
        <v>772000</v>
      </c>
      <c r="P100" s="803" t="s">
        <v>1801</v>
      </c>
      <c r="Q100" s="804">
        <v>1E-3</v>
      </c>
      <c r="R100" s="805" t="s">
        <v>414</v>
      </c>
      <c r="S100" s="527">
        <v>0.22500000000000001</v>
      </c>
      <c r="T100" s="528" t="s">
        <v>414</v>
      </c>
    </row>
    <row r="101" spans="1:20" ht="15" customHeight="1" thickBot="1">
      <c r="A101" s="806" t="s">
        <v>517</v>
      </c>
      <c r="B101" s="807" t="s">
        <v>518</v>
      </c>
      <c r="C101" s="808">
        <v>349.06</v>
      </c>
      <c r="D101" s="809" t="s">
        <v>1801</v>
      </c>
      <c r="E101" s="810">
        <v>2.0114000000000001E-7</v>
      </c>
      <c r="F101" s="810">
        <v>4.9200000000000004E-9</v>
      </c>
      <c r="G101" s="811" t="s">
        <v>414</v>
      </c>
      <c r="H101" s="839" t="s">
        <v>1750</v>
      </c>
      <c r="I101" s="840" t="s">
        <v>43</v>
      </c>
      <c r="J101" s="814">
        <v>3.8325400000000003E-2</v>
      </c>
      <c r="K101" s="814">
        <v>4.4780000000000002E-6</v>
      </c>
      <c r="L101" s="815" t="s">
        <v>2367</v>
      </c>
      <c r="M101" s="816">
        <v>782.7</v>
      </c>
      <c r="N101" s="816" t="s">
        <v>414</v>
      </c>
      <c r="O101" s="817">
        <v>1.4</v>
      </c>
      <c r="P101" s="818" t="s">
        <v>1801</v>
      </c>
      <c r="Q101" s="819">
        <v>5.77E-3</v>
      </c>
      <c r="R101" s="820" t="s">
        <v>414</v>
      </c>
      <c r="S101" s="521">
        <v>0.30099999999999999</v>
      </c>
      <c r="T101" s="522" t="s">
        <v>414</v>
      </c>
    </row>
    <row r="102" spans="1:20" ht="15" customHeight="1">
      <c r="A102" s="791" t="s">
        <v>519</v>
      </c>
      <c r="B102" s="792" t="s">
        <v>520</v>
      </c>
      <c r="C102" s="793">
        <v>300.58999999999997</v>
      </c>
      <c r="D102" s="794" t="s">
        <v>1801</v>
      </c>
      <c r="E102" s="795">
        <v>2.8617999999999999E-7</v>
      </c>
      <c r="F102" s="795">
        <v>6.9999999999999998E-9</v>
      </c>
      <c r="G102" s="796" t="s">
        <v>414</v>
      </c>
      <c r="H102" s="797">
        <v>1.74</v>
      </c>
      <c r="I102" s="798" t="s">
        <v>1796</v>
      </c>
      <c r="J102" s="799">
        <v>2.6194100000000001E-2</v>
      </c>
      <c r="K102" s="799">
        <v>6.8994999999999998E-6</v>
      </c>
      <c r="L102" s="800" t="s">
        <v>2367</v>
      </c>
      <c r="M102" s="801">
        <v>252.2</v>
      </c>
      <c r="N102" s="801" t="s">
        <v>414</v>
      </c>
      <c r="O102" s="802">
        <v>5.0999999999999996</v>
      </c>
      <c r="P102" s="803" t="s">
        <v>1801</v>
      </c>
      <c r="Q102" s="804">
        <v>2.3400000000000001E-3</v>
      </c>
      <c r="R102" s="805" t="s">
        <v>414</v>
      </c>
      <c r="S102" s="527">
        <v>0.14899999999999999</v>
      </c>
      <c r="T102" s="528" t="s">
        <v>414</v>
      </c>
    </row>
    <row r="103" spans="1:20" ht="15" customHeight="1">
      <c r="A103" s="791" t="s">
        <v>521</v>
      </c>
      <c r="B103" s="792" t="s">
        <v>522</v>
      </c>
      <c r="C103" s="793">
        <v>201.23</v>
      </c>
      <c r="D103" s="794" t="s">
        <v>1801</v>
      </c>
      <c r="E103" s="795">
        <v>1.3369E-7</v>
      </c>
      <c r="F103" s="795">
        <v>3.2700000000000001E-9</v>
      </c>
      <c r="G103" s="796" t="s">
        <v>414</v>
      </c>
      <c r="H103" s="797">
        <v>1.228</v>
      </c>
      <c r="I103" s="798" t="s">
        <v>1796</v>
      </c>
      <c r="J103" s="799">
        <v>2.7424400000000002E-2</v>
      </c>
      <c r="K103" s="799">
        <v>7.1215999999999997E-6</v>
      </c>
      <c r="L103" s="800" t="s">
        <v>2367</v>
      </c>
      <c r="M103" s="801">
        <v>354.8</v>
      </c>
      <c r="N103" s="801" t="s">
        <v>414</v>
      </c>
      <c r="O103" s="802">
        <v>110</v>
      </c>
      <c r="P103" s="803" t="s">
        <v>1801</v>
      </c>
      <c r="Q103" s="804">
        <v>4.3099999999999996E-3</v>
      </c>
      <c r="R103" s="805" t="s">
        <v>414</v>
      </c>
      <c r="S103" s="527">
        <v>4.6000000000000001E-4</v>
      </c>
      <c r="T103" s="528" t="s">
        <v>414</v>
      </c>
    </row>
    <row r="104" spans="1:20" ht="15" customHeight="1" thickBot="1">
      <c r="A104" s="806" t="s">
        <v>523</v>
      </c>
      <c r="B104" s="807" t="s">
        <v>524</v>
      </c>
      <c r="C104" s="808">
        <v>221.26</v>
      </c>
      <c r="D104" s="809" t="s">
        <v>1801</v>
      </c>
      <c r="E104" s="810">
        <v>1.2632999999999999E-7</v>
      </c>
      <c r="F104" s="810">
        <v>3.0899999999999999E-9</v>
      </c>
      <c r="G104" s="811" t="s">
        <v>414</v>
      </c>
      <c r="H104" s="812">
        <v>1.18</v>
      </c>
      <c r="I104" s="813" t="s">
        <v>1796</v>
      </c>
      <c r="J104" s="814">
        <v>2.5614899999999999E-2</v>
      </c>
      <c r="K104" s="814">
        <v>6.5683999999999997E-6</v>
      </c>
      <c r="L104" s="815" t="s">
        <v>2367</v>
      </c>
      <c r="M104" s="816">
        <v>95.25</v>
      </c>
      <c r="N104" s="816" t="s">
        <v>414</v>
      </c>
      <c r="O104" s="817">
        <v>320</v>
      </c>
      <c r="P104" s="818" t="s">
        <v>1801</v>
      </c>
      <c r="Q104" s="819">
        <v>3.13E-3</v>
      </c>
      <c r="R104" s="820" t="s">
        <v>414</v>
      </c>
      <c r="S104" s="521">
        <v>1E-3</v>
      </c>
      <c r="T104" s="522" t="s">
        <v>1797</v>
      </c>
    </row>
    <row r="105" spans="1:20" ht="15" customHeight="1">
      <c r="A105" s="791" t="s">
        <v>525</v>
      </c>
      <c r="B105" s="792" t="s">
        <v>526</v>
      </c>
      <c r="C105" s="793">
        <v>76.138999999999996</v>
      </c>
      <c r="D105" s="794" t="s">
        <v>1801</v>
      </c>
      <c r="E105" s="795">
        <v>0.58871629999999997</v>
      </c>
      <c r="F105" s="795">
        <v>1.44E-2</v>
      </c>
      <c r="G105" s="796" t="s">
        <v>1801</v>
      </c>
      <c r="H105" s="797">
        <v>1.2632000000000001</v>
      </c>
      <c r="I105" s="798" t="s">
        <v>1796</v>
      </c>
      <c r="J105" s="799">
        <v>0.1064373</v>
      </c>
      <c r="K105" s="799">
        <v>1.2999999999999999E-5</v>
      </c>
      <c r="L105" s="800" t="s">
        <v>2367</v>
      </c>
      <c r="M105" s="801">
        <v>21.73</v>
      </c>
      <c r="N105" s="801" t="s">
        <v>414</v>
      </c>
      <c r="O105" s="802">
        <v>2160</v>
      </c>
      <c r="P105" s="803" t="s">
        <v>1801</v>
      </c>
      <c r="Q105" s="804">
        <v>1.14E-2</v>
      </c>
      <c r="R105" s="805" t="s">
        <v>414</v>
      </c>
      <c r="S105" s="527">
        <v>1E-3</v>
      </c>
      <c r="T105" s="528" t="s">
        <v>1797</v>
      </c>
    </row>
    <row r="106" spans="1:20" ht="15" customHeight="1">
      <c r="A106" s="791" t="s">
        <v>527</v>
      </c>
      <c r="B106" s="792" t="s">
        <v>528</v>
      </c>
      <c r="C106" s="793">
        <v>153.82</v>
      </c>
      <c r="D106" s="794" t="s">
        <v>1801</v>
      </c>
      <c r="E106" s="795">
        <v>1.1283729</v>
      </c>
      <c r="F106" s="795">
        <v>2.76E-2</v>
      </c>
      <c r="G106" s="796" t="s">
        <v>1801</v>
      </c>
      <c r="H106" s="797">
        <v>1.5940000000000001</v>
      </c>
      <c r="I106" s="798" t="s">
        <v>1796</v>
      </c>
      <c r="J106" s="799">
        <v>5.71435E-2</v>
      </c>
      <c r="K106" s="799">
        <v>9.7849000000000001E-6</v>
      </c>
      <c r="L106" s="800" t="s">
        <v>2367</v>
      </c>
      <c r="M106" s="801">
        <v>43.89</v>
      </c>
      <c r="N106" s="801" t="s">
        <v>414</v>
      </c>
      <c r="O106" s="802">
        <v>793</v>
      </c>
      <c r="P106" s="803" t="s">
        <v>1801</v>
      </c>
      <c r="Q106" s="804">
        <v>1.6299999999999999E-2</v>
      </c>
      <c r="R106" s="805" t="s">
        <v>414</v>
      </c>
      <c r="S106" s="527">
        <v>1E-3</v>
      </c>
      <c r="T106" s="528" t="s">
        <v>414</v>
      </c>
    </row>
    <row r="107" spans="1:20" ht="15" customHeight="1" thickBot="1">
      <c r="A107" s="806" t="s">
        <v>2193</v>
      </c>
      <c r="B107" s="807" t="s">
        <v>2198</v>
      </c>
      <c r="C107" s="808">
        <v>60.075000000000003</v>
      </c>
      <c r="D107" s="809" t="s">
        <v>1801</v>
      </c>
      <c r="E107" s="810">
        <v>24.94</v>
      </c>
      <c r="F107" s="810">
        <v>0.61</v>
      </c>
      <c r="G107" s="811" t="s">
        <v>414</v>
      </c>
      <c r="H107" s="812">
        <v>1.028</v>
      </c>
      <c r="I107" s="813" t="s">
        <v>1796</v>
      </c>
      <c r="J107" s="814">
        <v>0.1157542</v>
      </c>
      <c r="K107" s="814">
        <v>1.3200000000000001E-5</v>
      </c>
      <c r="L107" s="815" t="s">
        <v>2367</v>
      </c>
      <c r="M107" s="816">
        <v>1</v>
      </c>
      <c r="N107" s="816" t="s">
        <v>414</v>
      </c>
      <c r="O107" s="817">
        <v>1220</v>
      </c>
      <c r="P107" s="818" t="s">
        <v>1801</v>
      </c>
      <c r="Q107" s="819">
        <v>9.4199999999999999E-5</v>
      </c>
      <c r="R107" s="820" t="s">
        <v>414</v>
      </c>
      <c r="S107" s="521">
        <v>5.77E-3</v>
      </c>
      <c r="T107" s="522" t="s">
        <v>414</v>
      </c>
    </row>
    <row r="108" spans="1:20" ht="15" customHeight="1">
      <c r="A108" s="791" t="s">
        <v>529</v>
      </c>
      <c r="B108" s="792" t="s">
        <v>530</v>
      </c>
      <c r="C108" s="793">
        <v>380.55</v>
      </c>
      <c r="D108" s="794" t="s">
        <v>1801</v>
      </c>
      <c r="E108" s="795">
        <v>2.09E-5</v>
      </c>
      <c r="F108" s="795">
        <v>5.1200000000000003E-7</v>
      </c>
      <c r="G108" s="796" t="s">
        <v>414</v>
      </c>
      <c r="H108" s="797">
        <v>1.056</v>
      </c>
      <c r="I108" s="798" t="s">
        <v>1796</v>
      </c>
      <c r="J108" s="799">
        <v>1.8238799999999999E-2</v>
      </c>
      <c r="K108" s="799">
        <v>4.4383999999999997E-6</v>
      </c>
      <c r="L108" s="800" t="s">
        <v>2367</v>
      </c>
      <c r="M108" s="801">
        <v>11960</v>
      </c>
      <c r="N108" s="801" t="s">
        <v>414</v>
      </c>
      <c r="O108" s="802">
        <v>0.3</v>
      </c>
      <c r="P108" s="803" t="s">
        <v>1801</v>
      </c>
      <c r="Q108" s="804">
        <v>5.79E-2</v>
      </c>
      <c r="R108" s="805" t="s">
        <v>414</v>
      </c>
      <c r="S108" s="527">
        <v>2.3400000000000001E-3</v>
      </c>
      <c r="T108" s="528" t="s">
        <v>414</v>
      </c>
    </row>
    <row r="109" spans="1:20" ht="15" customHeight="1">
      <c r="A109" s="791" t="s">
        <v>531</v>
      </c>
      <c r="B109" s="792" t="s">
        <v>532</v>
      </c>
      <c r="C109" s="793">
        <v>235.31</v>
      </c>
      <c r="D109" s="794" t="s">
        <v>1801</v>
      </c>
      <c r="E109" s="795">
        <v>1.3083E-8</v>
      </c>
      <c r="F109" s="795">
        <v>3.1999999999999998E-10</v>
      </c>
      <c r="G109" s="796" t="s">
        <v>414</v>
      </c>
      <c r="H109" s="821" t="s">
        <v>1750</v>
      </c>
      <c r="I109" s="822" t="s">
        <v>43</v>
      </c>
      <c r="J109" s="799">
        <v>4.9849400000000002E-2</v>
      </c>
      <c r="K109" s="799">
        <v>5.8244999999999999E-6</v>
      </c>
      <c r="L109" s="800" t="s">
        <v>2367</v>
      </c>
      <c r="M109" s="801">
        <v>169.4</v>
      </c>
      <c r="N109" s="801" t="s">
        <v>414</v>
      </c>
      <c r="O109" s="802">
        <v>147</v>
      </c>
      <c r="P109" s="803" t="s">
        <v>1801</v>
      </c>
      <c r="Q109" s="804">
        <v>1.98E-3</v>
      </c>
      <c r="R109" s="805" t="s">
        <v>414</v>
      </c>
      <c r="S109" s="527">
        <v>4.3099999999999996E-3</v>
      </c>
      <c r="T109" s="528" t="s">
        <v>414</v>
      </c>
    </row>
    <row r="110" spans="1:20" ht="15" customHeight="1" thickBot="1">
      <c r="A110" s="806" t="s">
        <v>533</v>
      </c>
      <c r="B110" s="807" t="s">
        <v>534</v>
      </c>
      <c r="C110" s="808">
        <v>172.11500000000001</v>
      </c>
      <c r="D110" s="809" t="s">
        <v>1796</v>
      </c>
      <c r="E110" s="823" t="s">
        <v>1750</v>
      </c>
      <c r="F110" s="823" t="s">
        <v>1750</v>
      </c>
      <c r="G110" s="824" t="s">
        <v>43</v>
      </c>
      <c r="H110" s="812">
        <v>7.2160000000000002</v>
      </c>
      <c r="I110" s="813" t="s">
        <v>1796</v>
      </c>
      <c r="J110" s="825" t="s">
        <v>1750</v>
      </c>
      <c r="K110" s="825" t="s">
        <v>1750</v>
      </c>
      <c r="L110" s="826" t="s">
        <v>43</v>
      </c>
      <c r="M110" s="827" t="s">
        <v>1750</v>
      </c>
      <c r="N110" s="828" t="s">
        <v>43</v>
      </c>
      <c r="O110" s="829" t="s">
        <v>1750</v>
      </c>
      <c r="P110" s="830" t="s">
        <v>43</v>
      </c>
      <c r="Q110" s="819">
        <v>1E-3</v>
      </c>
      <c r="R110" s="820" t="s">
        <v>1797</v>
      </c>
      <c r="S110" s="521">
        <v>3.13E-3</v>
      </c>
      <c r="T110" s="522" t="s">
        <v>414</v>
      </c>
    </row>
    <row r="111" spans="1:20" ht="15" customHeight="1">
      <c r="A111" s="791" t="s">
        <v>535</v>
      </c>
      <c r="B111" s="792" t="s">
        <v>536</v>
      </c>
      <c r="C111" s="793">
        <v>165.4</v>
      </c>
      <c r="D111" s="794" t="s">
        <v>1801</v>
      </c>
      <c r="E111" s="795">
        <v>2.3344E-7</v>
      </c>
      <c r="F111" s="795">
        <v>5.7100000000000003E-9</v>
      </c>
      <c r="G111" s="796" t="s">
        <v>1801</v>
      </c>
      <c r="H111" s="797">
        <v>1.9080999999999999</v>
      </c>
      <c r="I111" s="798" t="s">
        <v>1796</v>
      </c>
      <c r="J111" s="799">
        <v>5.4399099999999999E-2</v>
      </c>
      <c r="K111" s="799">
        <v>1.04E-5</v>
      </c>
      <c r="L111" s="800" t="s">
        <v>2367</v>
      </c>
      <c r="M111" s="801">
        <v>1</v>
      </c>
      <c r="N111" s="801" t="s">
        <v>414</v>
      </c>
      <c r="O111" s="802">
        <v>793000</v>
      </c>
      <c r="P111" s="803" t="s">
        <v>1801</v>
      </c>
      <c r="Q111" s="804">
        <v>8.4099999999999995E-4</v>
      </c>
      <c r="R111" s="805" t="s">
        <v>414</v>
      </c>
      <c r="S111" s="527">
        <v>1.14E-2</v>
      </c>
      <c r="T111" s="528" t="s">
        <v>414</v>
      </c>
    </row>
    <row r="112" spans="1:20" ht="15" customHeight="1">
      <c r="A112" s="791" t="s">
        <v>537</v>
      </c>
      <c r="B112" s="792" t="s">
        <v>538</v>
      </c>
      <c r="C112" s="793">
        <v>206.03</v>
      </c>
      <c r="D112" s="794" t="s">
        <v>1801</v>
      </c>
      <c r="E112" s="795">
        <v>1.5822E-9</v>
      </c>
      <c r="F112" s="795">
        <v>3.8699999999999999E-11</v>
      </c>
      <c r="G112" s="796" t="s">
        <v>414</v>
      </c>
      <c r="H112" s="821" t="s">
        <v>1750</v>
      </c>
      <c r="I112" s="822" t="s">
        <v>43</v>
      </c>
      <c r="J112" s="799">
        <v>5.4467000000000002E-2</v>
      </c>
      <c r="K112" s="799">
        <v>6.3640000000000004E-6</v>
      </c>
      <c r="L112" s="800" t="s">
        <v>2367</v>
      </c>
      <c r="M112" s="801">
        <v>21.37</v>
      </c>
      <c r="N112" s="801" t="s">
        <v>414</v>
      </c>
      <c r="O112" s="802">
        <v>700</v>
      </c>
      <c r="P112" s="803" t="s">
        <v>1801</v>
      </c>
      <c r="Q112" s="804">
        <v>2.0100000000000001E-3</v>
      </c>
      <c r="R112" s="805" t="s">
        <v>414</v>
      </c>
      <c r="S112" s="527">
        <v>1.6299999999999999E-2</v>
      </c>
      <c r="T112" s="528" t="s">
        <v>414</v>
      </c>
    </row>
    <row r="113" spans="1:20" ht="15" customHeight="1" thickBot="1">
      <c r="A113" s="806" t="s">
        <v>539</v>
      </c>
      <c r="B113" s="807" t="s">
        <v>540</v>
      </c>
      <c r="C113" s="808">
        <v>245.88</v>
      </c>
      <c r="D113" s="809" t="s">
        <v>1801</v>
      </c>
      <c r="E113" s="810">
        <v>1.3369E-8</v>
      </c>
      <c r="F113" s="810">
        <v>3.2700000000000001E-10</v>
      </c>
      <c r="G113" s="811" t="s">
        <v>1801</v>
      </c>
      <c r="H113" s="839" t="s">
        <v>1750</v>
      </c>
      <c r="I113" s="840" t="s">
        <v>43</v>
      </c>
      <c r="J113" s="814">
        <v>4.8410300000000003E-2</v>
      </c>
      <c r="K113" s="814">
        <v>5.6563999999999997E-6</v>
      </c>
      <c r="L113" s="815" t="s">
        <v>2367</v>
      </c>
      <c r="M113" s="816">
        <v>308.10000000000002</v>
      </c>
      <c r="N113" s="816" t="s">
        <v>414</v>
      </c>
      <c r="O113" s="817">
        <v>250</v>
      </c>
      <c r="P113" s="818" t="s">
        <v>1801</v>
      </c>
      <c r="Q113" s="819">
        <v>1.9400000000000001E-3</v>
      </c>
      <c r="R113" s="820" t="s">
        <v>414</v>
      </c>
      <c r="S113" s="521">
        <v>5.79E-2</v>
      </c>
      <c r="T113" s="522" t="s">
        <v>414</v>
      </c>
    </row>
    <row r="114" spans="1:20" ht="15" customHeight="1">
      <c r="A114" s="791" t="s">
        <v>44</v>
      </c>
      <c r="B114" s="792" t="s">
        <v>541</v>
      </c>
      <c r="C114" s="793">
        <v>409.78</v>
      </c>
      <c r="D114" s="794" t="s">
        <v>1801</v>
      </c>
      <c r="E114" s="795">
        <v>1.9869000000000002E-3</v>
      </c>
      <c r="F114" s="795">
        <v>4.8600000000000002E-5</v>
      </c>
      <c r="G114" s="796" t="s">
        <v>414</v>
      </c>
      <c r="H114" s="797">
        <v>1.6</v>
      </c>
      <c r="I114" s="798" t="s">
        <v>1796</v>
      </c>
      <c r="J114" s="799">
        <v>2.1493000000000002E-2</v>
      </c>
      <c r="K114" s="799">
        <v>5.4477000000000004E-6</v>
      </c>
      <c r="L114" s="800" t="s">
        <v>2367</v>
      </c>
      <c r="M114" s="801">
        <v>67540</v>
      </c>
      <c r="N114" s="801" t="s">
        <v>414</v>
      </c>
      <c r="O114" s="802">
        <v>5.6000000000000001E-2</v>
      </c>
      <c r="P114" s="803" t="s">
        <v>414</v>
      </c>
      <c r="Q114" s="804">
        <v>0.107</v>
      </c>
      <c r="R114" s="805" t="s">
        <v>414</v>
      </c>
      <c r="S114" s="527">
        <v>1.98E-3</v>
      </c>
      <c r="T114" s="528" t="s">
        <v>414</v>
      </c>
    </row>
    <row r="115" spans="1:20" ht="15" customHeight="1">
      <c r="A115" s="791" t="s">
        <v>542</v>
      </c>
      <c r="B115" s="792" t="s">
        <v>543</v>
      </c>
      <c r="C115" s="793">
        <v>490.64</v>
      </c>
      <c r="D115" s="794" t="s">
        <v>1801</v>
      </c>
      <c r="E115" s="795">
        <v>2.1994999999999999E-6</v>
      </c>
      <c r="F115" s="795">
        <v>5.3799999999999999E-8</v>
      </c>
      <c r="G115" s="796" t="s">
        <v>414</v>
      </c>
      <c r="H115" s="797">
        <v>1.61</v>
      </c>
      <c r="I115" s="798" t="s">
        <v>1796</v>
      </c>
      <c r="J115" s="799">
        <v>1.9647000000000001E-2</v>
      </c>
      <c r="K115" s="799">
        <v>4.9080999999999996E-6</v>
      </c>
      <c r="L115" s="800" t="s">
        <v>2367</v>
      </c>
      <c r="M115" s="801">
        <v>17500</v>
      </c>
      <c r="N115" s="801" t="s">
        <v>414</v>
      </c>
      <c r="O115" s="802">
        <v>2.7</v>
      </c>
      <c r="P115" s="803" t="s">
        <v>1801</v>
      </c>
      <c r="Q115" s="804">
        <v>1.09E-2</v>
      </c>
      <c r="R115" s="805" t="s">
        <v>414</v>
      </c>
      <c r="S115" s="527">
        <v>1E-3</v>
      </c>
      <c r="T115" s="528" t="s">
        <v>1797</v>
      </c>
    </row>
    <row r="116" spans="1:20" ht="15" customHeight="1" thickBot="1">
      <c r="A116" s="806" t="s">
        <v>544</v>
      </c>
      <c r="B116" s="807" t="s">
        <v>545</v>
      </c>
      <c r="C116" s="808">
        <v>359.58</v>
      </c>
      <c r="D116" s="809" t="s">
        <v>1801</v>
      </c>
      <c r="E116" s="810">
        <v>1.1815E-6</v>
      </c>
      <c r="F116" s="810">
        <v>2.8900000000000001E-8</v>
      </c>
      <c r="G116" s="811" t="s">
        <v>414</v>
      </c>
      <c r="H116" s="839" t="s">
        <v>1750</v>
      </c>
      <c r="I116" s="840" t="s">
        <v>43</v>
      </c>
      <c r="J116" s="814">
        <v>3.7574200000000002E-2</v>
      </c>
      <c r="K116" s="814">
        <v>4.3903000000000001E-6</v>
      </c>
      <c r="L116" s="815" t="s">
        <v>2367</v>
      </c>
      <c r="M116" s="816">
        <v>1264</v>
      </c>
      <c r="N116" s="816" t="s">
        <v>414</v>
      </c>
      <c r="O116" s="817">
        <v>124</v>
      </c>
      <c r="P116" s="818" t="s">
        <v>1801</v>
      </c>
      <c r="Q116" s="819">
        <v>5.1200000000000004E-3</v>
      </c>
      <c r="R116" s="820" t="s">
        <v>414</v>
      </c>
      <c r="S116" s="521">
        <v>8.4099999999999995E-4</v>
      </c>
      <c r="T116" s="522" t="s">
        <v>414</v>
      </c>
    </row>
    <row r="117" spans="1:20" ht="15" customHeight="1">
      <c r="A117" s="791" t="s">
        <v>546</v>
      </c>
      <c r="B117" s="792" t="s">
        <v>547</v>
      </c>
      <c r="C117" s="793">
        <v>414.83</v>
      </c>
      <c r="D117" s="794" t="s">
        <v>1801</v>
      </c>
      <c r="E117" s="795">
        <v>7.4409999999999995E-14</v>
      </c>
      <c r="F117" s="795">
        <v>1.82E-15</v>
      </c>
      <c r="G117" s="796" t="s">
        <v>414</v>
      </c>
      <c r="H117" s="821" t="s">
        <v>1750</v>
      </c>
      <c r="I117" s="822" t="s">
        <v>43</v>
      </c>
      <c r="J117" s="799">
        <v>3.4159099999999998E-2</v>
      </c>
      <c r="K117" s="799">
        <v>3.9912E-6</v>
      </c>
      <c r="L117" s="800" t="s">
        <v>2367</v>
      </c>
      <c r="M117" s="801">
        <v>71.790000000000006</v>
      </c>
      <c r="N117" s="801" t="s">
        <v>414</v>
      </c>
      <c r="O117" s="802">
        <v>1200</v>
      </c>
      <c r="P117" s="803" t="s">
        <v>1801</v>
      </c>
      <c r="Q117" s="804">
        <v>3.3799999999999998E-4</v>
      </c>
      <c r="R117" s="805" t="s">
        <v>414</v>
      </c>
      <c r="S117" s="527">
        <v>2.0100000000000001E-3</v>
      </c>
      <c r="T117" s="528" t="s">
        <v>414</v>
      </c>
    </row>
    <row r="118" spans="1:20" ht="15" customHeight="1">
      <c r="A118" s="791" t="s">
        <v>548</v>
      </c>
      <c r="B118" s="792" t="s">
        <v>549</v>
      </c>
      <c r="C118" s="793">
        <v>70.906000000000006</v>
      </c>
      <c r="D118" s="794" t="s">
        <v>1801</v>
      </c>
      <c r="E118" s="795">
        <v>0.4783</v>
      </c>
      <c r="F118" s="795">
        <v>1.17E-2</v>
      </c>
      <c r="G118" s="796" t="s">
        <v>1801</v>
      </c>
      <c r="H118" s="797">
        <v>2.8980000000000001</v>
      </c>
      <c r="I118" s="798" t="s">
        <v>1796</v>
      </c>
      <c r="J118" s="799">
        <v>0.15420880000000001</v>
      </c>
      <c r="K118" s="799">
        <v>2.23E-5</v>
      </c>
      <c r="L118" s="800" t="s">
        <v>2367</v>
      </c>
      <c r="M118" s="835" t="s">
        <v>1750</v>
      </c>
      <c r="N118" s="836" t="s">
        <v>43</v>
      </c>
      <c r="O118" s="802">
        <v>6300</v>
      </c>
      <c r="P118" s="803" t="s">
        <v>1801</v>
      </c>
      <c r="Q118" s="804">
        <v>1E-3</v>
      </c>
      <c r="R118" s="805" t="s">
        <v>1797</v>
      </c>
      <c r="S118" s="527">
        <v>1.9400000000000001E-3</v>
      </c>
      <c r="T118" s="528" t="s">
        <v>414</v>
      </c>
    </row>
    <row r="119" spans="1:20" ht="15" customHeight="1" thickBot="1">
      <c r="A119" s="806" t="s">
        <v>550</v>
      </c>
      <c r="B119" s="807" t="s">
        <v>551</v>
      </c>
      <c r="C119" s="808">
        <v>67.45</v>
      </c>
      <c r="D119" s="809" t="s">
        <v>414</v>
      </c>
      <c r="E119" s="810">
        <v>1.64</v>
      </c>
      <c r="F119" s="810">
        <v>4.0099999999999997E-2</v>
      </c>
      <c r="G119" s="811" t="s">
        <v>2167</v>
      </c>
      <c r="H119" s="812">
        <v>2.7570000000000001</v>
      </c>
      <c r="I119" s="813" t="s">
        <v>1796</v>
      </c>
      <c r="J119" s="814">
        <v>0.156579</v>
      </c>
      <c r="K119" s="814">
        <v>2.23E-5</v>
      </c>
      <c r="L119" s="815" t="s">
        <v>2367</v>
      </c>
      <c r="M119" s="827" t="s">
        <v>1750</v>
      </c>
      <c r="N119" s="828" t="s">
        <v>43</v>
      </c>
      <c r="O119" s="829" t="s">
        <v>1750</v>
      </c>
      <c r="P119" s="830" t="s">
        <v>43</v>
      </c>
      <c r="Q119" s="819">
        <v>1E-3</v>
      </c>
      <c r="R119" s="820" t="s">
        <v>1797</v>
      </c>
      <c r="S119" s="521">
        <v>0.107</v>
      </c>
      <c r="T119" s="522" t="s">
        <v>414</v>
      </c>
    </row>
    <row r="120" spans="1:20" ht="15" customHeight="1">
      <c r="A120" s="791" t="s">
        <v>552</v>
      </c>
      <c r="B120" s="792" t="s">
        <v>553</v>
      </c>
      <c r="C120" s="793">
        <v>90.44</v>
      </c>
      <c r="D120" s="794" t="s">
        <v>414</v>
      </c>
      <c r="E120" s="831" t="s">
        <v>1750</v>
      </c>
      <c r="F120" s="831" t="s">
        <v>1750</v>
      </c>
      <c r="G120" s="832" t="s">
        <v>43</v>
      </c>
      <c r="H120" s="821" t="s">
        <v>1750</v>
      </c>
      <c r="I120" s="822" t="s">
        <v>43</v>
      </c>
      <c r="J120" s="833" t="s">
        <v>1750</v>
      </c>
      <c r="K120" s="833" t="s">
        <v>1750</v>
      </c>
      <c r="L120" s="834" t="s">
        <v>43</v>
      </c>
      <c r="M120" s="835" t="s">
        <v>1750</v>
      </c>
      <c r="N120" s="836" t="s">
        <v>43</v>
      </c>
      <c r="O120" s="802">
        <v>640000</v>
      </c>
      <c r="P120" s="803" t="s">
        <v>1796</v>
      </c>
      <c r="Q120" s="804">
        <v>1E-3</v>
      </c>
      <c r="R120" s="805" t="s">
        <v>1797</v>
      </c>
      <c r="S120" s="527">
        <v>1.09E-2</v>
      </c>
      <c r="T120" s="528" t="s">
        <v>414</v>
      </c>
    </row>
    <row r="121" spans="1:20" ht="15" customHeight="1">
      <c r="A121" s="791" t="s">
        <v>554</v>
      </c>
      <c r="B121" s="792" t="s">
        <v>555</v>
      </c>
      <c r="C121" s="793">
        <v>100.5</v>
      </c>
      <c r="D121" s="794" t="s">
        <v>1801</v>
      </c>
      <c r="E121" s="795">
        <v>2.4039248</v>
      </c>
      <c r="F121" s="795">
        <v>5.8799999999999998E-2</v>
      </c>
      <c r="G121" s="796" t="s">
        <v>1801</v>
      </c>
      <c r="H121" s="797">
        <v>1.107</v>
      </c>
      <c r="I121" s="798" t="s">
        <v>1796</v>
      </c>
      <c r="J121" s="799">
        <v>8.0392500000000006E-2</v>
      </c>
      <c r="K121" s="799">
        <v>1.01E-5</v>
      </c>
      <c r="L121" s="800" t="s">
        <v>2367</v>
      </c>
      <c r="M121" s="801">
        <v>43.89</v>
      </c>
      <c r="N121" s="801" t="s">
        <v>414</v>
      </c>
      <c r="O121" s="802">
        <v>1400</v>
      </c>
      <c r="P121" s="803" t="s">
        <v>1801</v>
      </c>
      <c r="Q121" s="804">
        <v>9.8899999999999995E-3</v>
      </c>
      <c r="R121" s="805" t="s">
        <v>414</v>
      </c>
      <c r="S121" s="527">
        <v>5.1200000000000004E-3</v>
      </c>
      <c r="T121" s="528" t="s">
        <v>414</v>
      </c>
    </row>
    <row r="122" spans="1:20" ht="15" customHeight="1" thickBot="1">
      <c r="A122" s="806" t="s">
        <v>556</v>
      </c>
      <c r="B122" s="807" t="s">
        <v>557</v>
      </c>
      <c r="C122" s="808">
        <v>88.537000000000006</v>
      </c>
      <c r="D122" s="809" t="s">
        <v>1801</v>
      </c>
      <c r="E122" s="810">
        <v>2.2935405000000002</v>
      </c>
      <c r="F122" s="810">
        <v>5.6099999999999997E-2</v>
      </c>
      <c r="G122" s="811" t="s">
        <v>1801</v>
      </c>
      <c r="H122" s="812">
        <v>0.95599999999999996</v>
      </c>
      <c r="I122" s="813" t="s">
        <v>1796</v>
      </c>
      <c r="J122" s="814">
        <v>8.4148899999999999E-2</v>
      </c>
      <c r="K122" s="814">
        <v>1.0000000000000001E-5</v>
      </c>
      <c r="L122" s="815" t="s">
        <v>2367</v>
      </c>
      <c r="M122" s="816">
        <v>60.7</v>
      </c>
      <c r="N122" s="816" t="s">
        <v>414</v>
      </c>
      <c r="O122" s="817">
        <v>874.9</v>
      </c>
      <c r="P122" s="818" t="s">
        <v>1801</v>
      </c>
      <c r="Q122" s="819">
        <v>2.3800000000000002E-2</v>
      </c>
      <c r="R122" s="820" t="s">
        <v>414</v>
      </c>
      <c r="S122" s="521">
        <v>3.3799999999999998E-4</v>
      </c>
      <c r="T122" s="522" t="s">
        <v>414</v>
      </c>
    </row>
    <row r="123" spans="1:20" ht="15" customHeight="1">
      <c r="A123" s="791" t="s">
        <v>558</v>
      </c>
      <c r="B123" s="792" t="s">
        <v>559</v>
      </c>
      <c r="C123" s="793">
        <v>178.06</v>
      </c>
      <c r="D123" s="794" t="s">
        <v>1801</v>
      </c>
      <c r="E123" s="795">
        <v>6.3800000000000006E-5</v>
      </c>
      <c r="F123" s="795">
        <v>1.5600000000000001E-6</v>
      </c>
      <c r="G123" s="796" t="s">
        <v>1801</v>
      </c>
      <c r="H123" s="821" t="s">
        <v>1750</v>
      </c>
      <c r="I123" s="822" t="s">
        <v>43</v>
      </c>
      <c r="J123" s="799">
        <v>6.0031099999999997E-2</v>
      </c>
      <c r="K123" s="799">
        <v>7.0141999999999997E-6</v>
      </c>
      <c r="L123" s="800" t="s">
        <v>2367</v>
      </c>
      <c r="M123" s="801">
        <v>351.9</v>
      </c>
      <c r="N123" s="801" t="s">
        <v>414</v>
      </c>
      <c r="O123" s="802">
        <v>953.9</v>
      </c>
      <c r="P123" s="803" t="s">
        <v>1801</v>
      </c>
      <c r="Q123" s="804">
        <v>1.8E-5</v>
      </c>
      <c r="R123" s="805" t="s">
        <v>414</v>
      </c>
      <c r="S123" s="527">
        <v>1E-3</v>
      </c>
      <c r="T123" s="528" t="s">
        <v>1797</v>
      </c>
    </row>
    <row r="124" spans="1:20" ht="15" customHeight="1">
      <c r="A124" s="791" t="s">
        <v>1812</v>
      </c>
      <c r="B124" s="792" t="s">
        <v>1813</v>
      </c>
      <c r="C124" s="793">
        <v>141.6</v>
      </c>
      <c r="D124" s="794" t="s">
        <v>1801</v>
      </c>
      <c r="E124" s="795">
        <v>8.14E-5</v>
      </c>
      <c r="F124" s="795">
        <v>1.99E-6</v>
      </c>
      <c r="G124" s="796" t="s">
        <v>1801</v>
      </c>
      <c r="H124" s="821" t="s">
        <v>1750</v>
      </c>
      <c r="I124" s="822" t="s">
        <v>43</v>
      </c>
      <c r="J124" s="799">
        <v>6.9937700000000005E-2</v>
      </c>
      <c r="K124" s="799">
        <v>8.1717E-6</v>
      </c>
      <c r="L124" s="800" t="s">
        <v>2367</v>
      </c>
      <c r="M124" s="801">
        <v>184.5</v>
      </c>
      <c r="N124" s="801" t="s">
        <v>414</v>
      </c>
      <c r="O124" s="802">
        <v>953.9</v>
      </c>
      <c r="P124" s="803" t="s">
        <v>1801</v>
      </c>
      <c r="Q124" s="804">
        <v>8.0800000000000004E-3</v>
      </c>
      <c r="R124" s="805" t="s">
        <v>414</v>
      </c>
      <c r="S124" s="527">
        <v>1E-3</v>
      </c>
      <c r="T124" s="528" t="s">
        <v>1797</v>
      </c>
    </row>
    <row r="125" spans="1:20" ht="15" customHeight="1" thickBot="1">
      <c r="A125" s="806" t="s">
        <v>560</v>
      </c>
      <c r="B125" s="807" t="s">
        <v>561</v>
      </c>
      <c r="C125" s="808">
        <v>78.498999999999995</v>
      </c>
      <c r="D125" s="809" t="s">
        <v>1801</v>
      </c>
      <c r="E125" s="810">
        <v>9.7710000000000006E-4</v>
      </c>
      <c r="F125" s="810">
        <v>2.3900000000000002E-5</v>
      </c>
      <c r="G125" s="811" t="s">
        <v>1801</v>
      </c>
      <c r="H125" s="812">
        <v>1.19</v>
      </c>
      <c r="I125" s="813" t="s">
        <v>1796</v>
      </c>
      <c r="J125" s="814">
        <v>0.101506</v>
      </c>
      <c r="K125" s="814">
        <v>1.2300000000000001E-5</v>
      </c>
      <c r="L125" s="815" t="s">
        <v>2367</v>
      </c>
      <c r="M125" s="816">
        <v>1</v>
      </c>
      <c r="N125" s="816" t="s">
        <v>414</v>
      </c>
      <c r="O125" s="817">
        <v>110700</v>
      </c>
      <c r="P125" s="818" t="s">
        <v>1801</v>
      </c>
      <c r="Q125" s="819">
        <v>6.4999999999999997E-4</v>
      </c>
      <c r="R125" s="820" t="s">
        <v>414</v>
      </c>
      <c r="S125" s="521">
        <v>1E-3</v>
      </c>
      <c r="T125" s="522" t="s">
        <v>1797</v>
      </c>
    </row>
    <row r="126" spans="1:20" ht="15" customHeight="1">
      <c r="A126" s="791" t="s">
        <v>562</v>
      </c>
      <c r="B126" s="792" t="s">
        <v>563</v>
      </c>
      <c r="C126" s="793">
        <v>94.498000000000005</v>
      </c>
      <c r="D126" s="794" t="s">
        <v>1801</v>
      </c>
      <c r="E126" s="795">
        <v>3.7857999999999999E-7</v>
      </c>
      <c r="F126" s="795">
        <v>9.2599999999999999E-9</v>
      </c>
      <c r="G126" s="796" t="s">
        <v>1801</v>
      </c>
      <c r="H126" s="797">
        <v>1.4043000000000001</v>
      </c>
      <c r="I126" s="798" t="s">
        <v>1796</v>
      </c>
      <c r="J126" s="799">
        <v>9.3822299999999997E-2</v>
      </c>
      <c r="K126" s="799">
        <v>1.2099999999999999E-5</v>
      </c>
      <c r="L126" s="800" t="s">
        <v>2367</v>
      </c>
      <c r="M126" s="801">
        <v>1.44</v>
      </c>
      <c r="N126" s="801" t="s">
        <v>414</v>
      </c>
      <c r="O126" s="802">
        <v>858000</v>
      </c>
      <c r="P126" s="803" t="s">
        <v>1801</v>
      </c>
      <c r="Q126" s="804">
        <v>6.4700000000000001E-4</v>
      </c>
      <c r="R126" s="805" t="s">
        <v>414</v>
      </c>
      <c r="S126" s="527">
        <v>9.8899999999999995E-3</v>
      </c>
      <c r="T126" s="528" t="s">
        <v>414</v>
      </c>
    </row>
    <row r="127" spans="1:20" ht="15" customHeight="1">
      <c r="A127" s="791" t="s">
        <v>564</v>
      </c>
      <c r="B127" s="792" t="s">
        <v>565</v>
      </c>
      <c r="C127" s="793">
        <v>154.6</v>
      </c>
      <c r="D127" s="794" t="s">
        <v>1801</v>
      </c>
      <c r="E127" s="795">
        <v>1.415E-4</v>
      </c>
      <c r="F127" s="795">
        <v>3.4599999999999999E-6</v>
      </c>
      <c r="G127" s="796" t="s">
        <v>1801</v>
      </c>
      <c r="H127" s="797">
        <v>1.3240000000000001</v>
      </c>
      <c r="I127" s="798" t="s">
        <v>1796</v>
      </c>
      <c r="J127" s="799">
        <v>5.2239099999999997E-2</v>
      </c>
      <c r="K127" s="799">
        <v>8.7273000000000003E-6</v>
      </c>
      <c r="L127" s="800" t="s">
        <v>2367</v>
      </c>
      <c r="M127" s="801">
        <v>98.9</v>
      </c>
      <c r="N127" s="801" t="s">
        <v>414</v>
      </c>
      <c r="O127" s="802">
        <v>1100</v>
      </c>
      <c r="P127" s="803" t="s">
        <v>1802</v>
      </c>
      <c r="Q127" s="804">
        <v>4.0600000000000002E-3</v>
      </c>
      <c r="R127" s="805" t="s">
        <v>414</v>
      </c>
      <c r="S127" s="527">
        <v>2.3800000000000002E-2</v>
      </c>
      <c r="T127" s="528" t="s">
        <v>414</v>
      </c>
    </row>
    <row r="128" spans="1:20" ht="15" customHeight="1" thickBot="1">
      <c r="A128" s="806" t="s">
        <v>566</v>
      </c>
      <c r="B128" s="807" t="s">
        <v>567</v>
      </c>
      <c r="C128" s="808">
        <v>127.57</v>
      </c>
      <c r="D128" s="809" t="s">
        <v>1801</v>
      </c>
      <c r="E128" s="810">
        <v>4.74E-5</v>
      </c>
      <c r="F128" s="810">
        <v>1.1599999999999999E-6</v>
      </c>
      <c r="G128" s="811" t="s">
        <v>414</v>
      </c>
      <c r="H128" s="812">
        <v>1.429</v>
      </c>
      <c r="I128" s="813" t="s">
        <v>1796</v>
      </c>
      <c r="J128" s="814">
        <v>7.0384699999999994E-2</v>
      </c>
      <c r="K128" s="814">
        <v>1.03E-5</v>
      </c>
      <c r="L128" s="815" t="s">
        <v>2367</v>
      </c>
      <c r="M128" s="816">
        <v>112.7</v>
      </c>
      <c r="N128" s="816" t="s">
        <v>414</v>
      </c>
      <c r="O128" s="817">
        <v>3900</v>
      </c>
      <c r="P128" s="818" t="s">
        <v>1801</v>
      </c>
      <c r="Q128" s="819">
        <v>4.96E-3</v>
      </c>
      <c r="R128" s="820" t="s">
        <v>414</v>
      </c>
      <c r="S128" s="521">
        <v>1.8E-5</v>
      </c>
      <c r="T128" s="522" t="s">
        <v>414</v>
      </c>
    </row>
    <row r="129" spans="1:20" ht="15" customHeight="1">
      <c r="A129" s="791" t="s">
        <v>96</v>
      </c>
      <c r="B129" s="792" t="s">
        <v>568</v>
      </c>
      <c r="C129" s="793">
        <v>112.56</v>
      </c>
      <c r="D129" s="794" t="s">
        <v>1801</v>
      </c>
      <c r="E129" s="795">
        <v>0.12714639999999999</v>
      </c>
      <c r="F129" s="795">
        <v>3.1099999999999999E-3</v>
      </c>
      <c r="G129" s="796" t="s">
        <v>1801</v>
      </c>
      <c r="H129" s="797">
        <v>1.1057999999999999</v>
      </c>
      <c r="I129" s="798" t="s">
        <v>1796</v>
      </c>
      <c r="J129" s="799">
        <v>7.2130600000000003E-2</v>
      </c>
      <c r="K129" s="799">
        <v>9.4764999999999998E-6</v>
      </c>
      <c r="L129" s="800" t="s">
        <v>2367</v>
      </c>
      <c r="M129" s="801">
        <v>233.9</v>
      </c>
      <c r="N129" s="801" t="s">
        <v>414</v>
      </c>
      <c r="O129" s="802">
        <v>498</v>
      </c>
      <c r="P129" s="803" t="s">
        <v>1801</v>
      </c>
      <c r="Q129" s="804">
        <v>2.8199999999999999E-2</v>
      </c>
      <c r="R129" s="805" t="s">
        <v>414</v>
      </c>
      <c r="S129" s="527">
        <v>8.0800000000000004E-3</v>
      </c>
      <c r="T129" s="528" t="s">
        <v>414</v>
      </c>
    </row>
    <row r="130" spans="1:20" ht="15" customHeight="1">
      <c r="A130" s="791" t="s">
        <v>2402</v>
      </c>
      <c r="B130" s="792" t="s">
        <v>2403</v>
      </c>
      <c r="C130" s="793">
        <v>192.62</v>
      </c>
      <c r="D130" s="794" t="s">
        <v>1801</v>
      </c>
      <c r="E130" s="795">
        <v>7.6043000000000001E-8</v>
      </c>
      <c r="F130" s="795">
        <v>1.86E-9</v>
      </c>
      <c r="G130" s="796" t="s">
        <v>1801</v>
      </c>
      <c r="H130" s="821" t="s">
        <v>1750</v>
      </c>
      <c r="I130" s="822" t="s">
        <v>43</v>
      </c>
      <c r="J130" s="799">
        <v>5.6966500000000003E-2</v>
      </c>
      <c r="K130" s="799">
        <v>6.6560999999999997E-6</v>
      </c>
      <c r="L130" s="800" t="s">
        <v>2367</v>
      </c>
      <c r="M130" s="801">
        <v>16.059999999999999</v>
      </c>
      <c r="N130" s="801" t="s">
        <v>414</v>
      </c>
      <c r="O130" s="802">
        <v>306300</v>
      </c>
      <c r="P130" s="803" t="s">
        <v>1801</v>
      </c>
      <c r="Q130" s="804">
        <v>5.8600000000000001E-5</v>
      </c>
      <c r="R130" s="805" t="s">
        <v>414</v>
      </c>
      <c r="S130" s="527">
        <v>6.4999999999999997E-4</v>
      </c>
      <c r="T130" s="528" t="s">
        <v>414</v>
      </c>
    </row>
    <row r="131" spans="1:20" ht="15" customHeight="1" thickBot="1">
      <c r="A131" s="806" t="s">
        <v>569</v>
      </c>
      <c r="B131" s="807" t="s">
        <v>570</v>
      </c>
      <c r="C131" s="808">
        <v>325.19</v>
      </c>
      <c r="D131" s="809" t="s">
        <v>1801</v>
      </c>
      <c r="E131" s="810">
        <v>2.9598999999999998E-6</v>
      </c>
      <c r="F131" s="810">
        <v>7.24E-8</v>
      </c>
      <c r="G131" s="811" t="s">
        <v>414</v>
      </c>
      <c r="H131" s="812">
        <v>1.2816000000000001</v>
      </c>
      <c r="I131" s="813" t="s">
        <v>1796</v>
      </c>
      <c r="J131" s="814">
        <v>2.17767E-2</v>
      </c>
      <c r="K131" s="814">
        <v>5.4782000000000003E-6</v>
      </c>
      <c r="L131" s="815" t="s">
        <v>2367</v>
      </c>
      <c r="M131" s="816">
        <v>1539</v>
      </c>
      <c r="N131" s="816" t="s">
        <v>414</v>
      </c>
      <c r="O131" s="817">
        <v>13</v>
      </c>
      <c r="P131" s="818" t="s">
        <v>1801</v>
      </c>
      <c r="Q131" s="819">
        <v>3.3099999999999997E-2</v>
      </c>
      <c r="R131" s="820" t="s">
        <v>414</v>
      </c>
      <c r="S131" s="521">
        <v>6.4700000000000001E-4</v>
      </c>
      <c r="T131" s="522" t="s">
        <v>414</v>
      </c>
    </row>
    <row r="132" spans="1:20" ht="15" customHeight="1">
      <c r="A132" s="791" t="s">
        <v>571</v>
      </c>
      <c r="B132" s="792" t="s">
        <v>572</v>
      </c>
      <c r="C132" s="793">
        <v>156.57</v>
      </c>
      <c r="D132" s="794" t="s">
        <v>1801</v>
      </c>
      <c r="E132" s="795">
        <v>3.2828999999999999E-6</v>
      </c>
      <c r="F132" s="795">
        <v>8.0299999999999998E-8</v>
      </c>
      <c r="G132" s="796" t="s">
        <v>1801</v>
      </c>
      <c r="H132" s="797">
        <v>1.5409999999999999</v>
      </c>
      <c r="I132" s="798" t="s">
        <v>1802</v>
      </c>
      <c r="J132" s="799">
        <v>5.4688500000000001E-2</v>
      </c>
      <c r="K132" s="799">
        <v>9.4870000000000008E-6</v>
      </c>
      <c r="L132" s="800" t="s">
        <v>2367</v>
      </c>
      <c r="M132" s="801">
        <v>26.56</v>
      </c>
      <c r="N132" s="801" t="s">
        <v>414</v>
      </c>
      <c r="O132" s="802">
        <v>72</v>
      </c>
      <c r="P132" s="803" t="s">
        <v>1801</v>
      </c>
      <c r="Q132" s="804">
        <v>1.2E-2</v>
      </c>
      <c r="R132" s="805" t="s">
        <v>414</v>
      </c>
      <c r="S132" s="527">
        <v>4.0600000000000002E-3</v>
      </c>
      <c r="T132" s="528" t="s">
        <v>414</v>
      </c>
    </row>
    <row r="133" spans="1:20" ht="15" customHeight="1">
      <c r="A133" s="791" t="s">
        <v>573</v>
      </c>
      <c r="B133" s="792" t="s">
        <v>574</v>
      </c>
      <c r="C133" s="793">
        <v>180.56</v>
      </c>
      <c r="D133" s="794" t="s">
        <v>1801</v>
      </c>
      <c r="E133" s="795">
        <v>1.4186426999999999</v>
      </c>
      <c r="F133" s="795">
        <v>3.4700000000000002E-2</v>
      </c>
      <c r="G133" s="796" t="s">
        <v>1801</v>
      </c>
      <c r="H133" s="797">
        <v>1.3340000000000001</v>
      </c>
      <c r="I133" s="798" t="s">
        <v>1796</v>
      </c>
      <c r="J133" s="799">
        <v>3.8499499999999999E-2</v>
      </c>
      <c r="K133" s="799">
        <v>7.9872000000000004E-6</v>
      </c>
      <c r="L133" s="800" t="s">
        <v>2367</v>
      </c>
      <c r="M133" s="801">
        <v>1606</v>
      </c>
      <c r="N133" s="801" t="s">
        <v>414</v>
      </c>
      <c r="O133" s="802">
        <v>29</v>
      </c>
      <c r="P133" s="803" t="s">
        <v>1801</v>
      </c>
      <c r="Q133" s="804">
        <v>3.7499999999999999E-2</v>
      </c>
      <c r="R133" s="805" t="s">
        <v>414</v>
      </c>
      <c r="S133" s="527">
        <v>4.96E-3</v>
      </c>
      <c r="T133" s="528" t="s">
        <v>414</v>
      </c>
    </row>
    <row r="134" spans="1:20" ht="15" customHeight="1" thickBot="1">
      <c r="A134" s="806" t="s">
        <v>167</v>
      </c>
      <c r="B134" s="807" t="s">
        <v>575</v>
      </c>
      <c r="C134" s="808">
        <v>92.569000000000003</v>
      </c>
      <c r="D134" s="809" t="s">
        <v>1801</v>
      </c>
      <c r="E134" s="810">
        <v>0.68274729999999995</v>
      </c>
      <c r="F134" s="810">
        <v>1.67E-2</v>
      </c>
      <c r="G134" s="811" t="s">
        <v>1801</v>
      </c>
      <c r="H134" s="812">
        <v>0.88570000000000004</v>
      </c>
      <c r="I134" s="813" t="s">
        <v>1796</v>
      </c>
      <c r="J134" s="814">
        <v>7.8413700000000003E-2</v>
      </c>
      <c r="K134" s="814">
        <v>9.3275000000000001E-6</v>
      </c>
      <c r="L134" s="815" t="s">
        <v>2367</v>
      </c>
      <c r="M134" s="816">
        <v>72.17</v>
      </c>
      <c r="N134" s="816" t="s">
        <v>414</v>
      </c>
      <c r="O134" s="817">
        <v>1100</v>
      </c>
      <c r="P134" s="818" t="s">
        <v>1801</v>
      </c>
      <c r="Q134" s="819">
        <v>2.69E-2</v>
      </c>
      <c r="R134" s="820" t="s">
        <v>414</v>
      </c>
      <c r="S134" s="521">
        <v>2.8199999999999999E-2</v>
      </c>
      <c r="T134" s="522" t="s">
        <v>414</v>
      </c>
    </row>
    <row r="135" spans="1:20" ht="15" customHeight="1">
      <c r="A135" s="791" t="s">
        <v>60</v>
      </c>
      <c r="B135" s="792" t="s">
        <v>576</v>
      </c>
      <c r="C135" s="793">
        <v>86.468999999999994</v>
      </c>
      <c r="D135" s="794" t="s">
        <v>1801</v>
      </c>
      <c r="E135" s="795">
        <v>1.6598527999999999</v>
      </c>
      <c r="F135" s="795">
        <v>4.0599999999999997E-2</v>
      </c>
      <c r="G135" s="796" t="s">
        <v>1801</v>
      </c>
      <c r="H135" s="797">
        <v>1.4908999999999999</v>
      </c>
      <c r="I135" s="798" t="s">
        <v>1796</v>
      </c>
      <c r="J135" s="799">
        <v>0.10337880000000001</v>
      </c>
      <c r="K135" s="799">
        <v>1.33E-5</v>
      </c>
      <c r="L135" s="800" t="s">
        <v>2367</v>
      </c>
      <c r="M135" s="801">
        <v>31.82</v>
      </c>
      <c r="N135" s="801" t="s">
        <v>414</v>
      </c>
      <c r="O135" s="802">
        <v>2770</v>
      </c>
      <c r="P135" s="803" t="s">
        <v>1801</v>
      </c>
      <c r="Q135" s="804">
        <v>2.6800000000000001E-3</v>
      </c>
      <c r="R135" s="805" t="s">
        <v>414</v>
      </c>
      <c r="S135" s="527">
        <v>3.3099999999999997E-2</v>
      </c>
      <c r="T135" s="528" t="s">
        <v>414</v>
      </c>
    </row>
    <row r="136" spans="1:20" ht="15" customHeight="1">
      <c r="A136" s="791" t="s">
        <v>1814</v>
      </c>
      <c r="B136" s="792" t="s">
        <v>1815</v>
      </c>
      <c r="C136" s="793">
        <v>80.515000000000001</v>
      </c>
      <c r="D136" s="794" t="s">
        <v>1801</v>
      </c>
      <c r="E136" s="795">
        <v>3.1099999999999997E-5</v>
      </c>
      <c r="F136" s="795">
        <v>7.61E-7</v>
      </c>
      <c r="G136" s="796" t="s">
        <v>414</v>
      </c>
      <c r="H136" s="797">
        <v>1.2019</v>
      </c>
      <c r="I136" s="798" t="s">
        <v>1796</v>
      </c>
      <c r="J136" s="799">
        <v>9.9981299999999995E-2</v>
      </c>
      <c r="K136" s="799">
        <v>1.22E-5</v>
      </c>
      <c r="L136" s="800" t="s">
        <v>2367</v>
      </c>
      <c r="M136" s="801">
        <v>1.9039999999999999</v>
      </c>
      <c r="N136" s="801" t="s">
        <v>414</v>
      </c>
      <c r="O136" s="802">
        <v>1000000</v>
      </c>
      <c r="P136" s="803" t="s">
        <v>1801</v>
      </c>
      <c r="Q136" s="804">
        <v>5.7899999999999998E-4</v>
      </c>
      <c r="R136" s="805" t="s">
        <v>414</v>
      </c>
      <c r="S136" s="527">
        <v>1.2E-2</v>
      </c>
      <c r="T136" s="528" t="s">
        <v>414</v>
      </c>
    </row>
    <row r="137" spans="1:20" ht="15" customHeight="1" thickBot="1">
      <c r="A137" s="806" t="s">
        <v>47</v>
      </c>
      <c r="B137" s="807" t="s">
        <v>577</v>
      </c>
      <c r="C137" s="808">
        <v>119.38</v>
      </c>
      <c r="D137" s="809" t="s">
        <v>1801</v>
      </c>
      <c r="E137" s="810">
        <v>0.1500409</v>
      </c>
      <c r="F137" s="810">
        <v>3.6700000000000001E-3</v>
      </c>
      <c r="G137" s="811" t="s">
        <v>1801</v>
      </c>
      <c r="H137" s="812">
        <v>1.4787999999999999</v>
      </c>
      <c r="I137" s="813" t="s">
        <v>1796</v>
      </c>
      <c r="J137" s="814">
        <v>7.6919699999999994E-2</v>
      </c>
      <c r="K137" s="814">
        <v>1.0900000000000001E-5</v>
      </c>
      <c r="L137" s="815" t="s">
        <v>2367</v>
      </c>
      <c r="M137" s="816">
        <v>31.82</v>
      </c>
      <c r="N137" s="816" t="s">
        <v>414</v>
      </c>
      <c r="O137" s="817">
        <v>7950</v>
      </c>
      <c r="P137" s="818" t="s">
        <v>1801</v>
      </c>
      <c r="Q137" s="819">
        <v>6.8300000000000001E-3</v>
      </c>
      <c r="R137" s="820" t="s">
        <v>414</v>
      </c>
      <c r="S137" s="521">
        <v>3.7499999999999999E-2</v>
      </c>
      <c r="T137" s="522" t="s">
        <v>414</v>
      </c>
    </row>
    <row r="138" spans="1:20" ht="15" customHeight="1">
      <c r="A138" s="791" t="s">
        <v>578</v>
      </c>
      <c r="B138" s="792" t="s">
        <v>579</v>
      </c>
      <c r="C138" s="793">
        <v>50.488</v>
      </c>
      <c r="D138" s="794" t="s">
        <v>1801</v>
      </c>
      <c r="E138" s="795">
        <v>0.36058869999999998</v>
      </c>
      <c r="F138" s="795">
        <v>8.8199999999999997E-3</v>
      </c>
      <c r="G138" s="796" t="s">
        <v>1801</v>
      </c>
      <c r="H138" s="797">
        <v>0.91100000000000003</v>
      </c>
      <c r="I138" s="798" t="s">
        <v>1796</v>
      </c>
      <c r="J138" s="799">
        <v>0.12396509999999999</v>
      </c>
      <c r="K138" s="799">
        <v>1.36E-5</v>
      </c>
      <c r="L138" s="800" t="s">
        <v>2367</v>
      </c>
      <c r="M138" s="801">
        <v>13.22</v>
      </c>
      <c r="N138" s="801" t="s">
        <v>414</v>
      </c>
      <c r="O138" s="802">
        <v>5320</v>
      </c>
      <c r="P138" s="803" t="s">
        <v>1801</v>
      </c>
      <c r="Q138" s="804">
        <v>3.2799999999999999E-3</v>
      </c>
      <c r="R138" s="805" t="s">
        <v>414</v>
      </c>
      <c r="S138" s="527">
        <v>2.69E-2</v>
      </c>
      <c r="T138" s="528" t="s">
        <v>414</v>
      </c>
    </row>
    <row r="139" spans="1:20" ht="15" customHeight="1">
      <c r="A139" s="791" t="s">
        <v>580</v>
      </c>
      <c r="B139" s="792" t="s">
        <v>581</v>
      </c>
      <c r="C139" s="793">
        <v>80.515000000000001</v>
      </c>
      <c r="D139" s="794" t="s">
        <v>1801</v>
      </c>
      <c r="E139" s="795">
        <v>1.24285E-2</v>
      </c>
      <c r="F139" s="795">
        <v>3.0400000000000002E-4</v>
      </c>
      <c r="G139" s="796" t="s">
        <v>1801</v>
      </c>
      <c r="H139" s="797">
        <v>1.0629999999999999</v>
      </c>
      <c r="I139" s="798" t="s">
        <v>1796</v>
      </c>
      <c r="J139" s="799">
        <v>9.4968300000000005E-2</v>
      </c>
      <c r="K139" s="799">
        <v>1.13E-5</v>
      </c>
      <c r="L139" s="800" t="s">
        <v>2367</v>
      </c>
      <c r="M139" s="801">
        <v>5.3220000000000001</v>
      </c>
      <c r="N139" s="801" t="s">
        <v>414</v>
      </c>
      <c r="O139" s="802">
        <v>69440</v>
      </c>
      <c r="P139" s="803" t="s">
        <v>1801</v>
      </c>
      <c r="Q139" s="804">
        <v>9.0499999999999999E-4</v>
      </c>
      <c r="R139" s="805" t="s">
        <v>414</v>
      </c>
      <c r="S139" s="527">
        <v>2.6800000000000001E-3</v>
      </c>
      <c r="T139" s="528" t="s">
        <v>414</v>
      </c>
    </row>
    <row r="140" spans="1:20" ht="15" customHeight="1" thickBot="1">
      <c r="A140" s="806" t="s">
        <v>583</v>
      </c>
      <c r="B140" s="807" t="s">
        <v>584</v>
      </c>
      <c r="C140" s="808">
        <v>157.56</v>
      </c>
      <c r="D140" s="809" t="s">
        <v>1801</v>
      </c>
      <c r="E140" s="810">
        <v>3.8020000000000003E-4</v>
      </c>
      <c r="F140" s="810">
        <v>9.3000000000000007E-6</v>
      </c>
      <c r="G140" s="811" t="s">
        <v>1801</v>
      </c>
      <c r="H140" s="812">
        <v>1.3680000000000001</v>
      </c>
      <c r="I140" s="813" t="s">
        <v>1796</v>
      </c>
      <c r="J140" s="814">
        <v>5.1345300000000003E-2</v>
      </c>
      <c r="K140" s="814">
        <v>8.7994999999999994E-6</v>
      </c>
      <c r="L140" s="815" t="s">
        <v>2367</v>
      </c>
      <c r="M140" s="816">
        <v>370.6</v>
      </c>
      <c r="N140" s="816" t="s">
        <v>414</v>
      </c>
      <c r="O140" s="817">
        <v>441</v>
      </c>
      <c r="P140" s="818" t="s">
        <v>1801</v>
      </c>
      <c r="Q140" s="819">
        <v>6.3E-3</v>
      </c>
      <c r="R140" s="820" t="s">
        <v>414</v>
      </c>
      <c r="S140" s="521">
        <v>5.7899999999999998E-4</v>
      </c>
      <c r="T140" s="522" t="s">
        <v>414</v>
      </c>
    </row>
    <row r="141" spans="1:20" ht="15" customHeight="1">
      <c r="A141" s="791" t="s">
        <v>585</v>
      </c>
      <c r="B141" s="792" t="s">
        <v>586</v>
      </c>
      <c r="C141" s="793">
        <v>157.56</v>
      </c>
      <c r="D141" s="794" t="s">
        <v>1801</v>
      </c>
      <c r="E141" s="795">
        <v>1.9990000000000001E-4</v>
      </c>
      <c r="F141" s="795">
        <v>4.8899999999999998E-6</v>
      </c>
      <c r="G141" s="796" t="s">
        <v>1801</v>
      </c>
      <c r="H141" s="797">
        <v>1.2979000000000001</v>
      </c>
      <c r="I141" s="798" t="s">
        <v>1796</v>
      </c>
      <c r="J141" s="799">
        <v>5.0158700000000001E-2</v>
      </c>
      <c r="K141" s="799">
        <v>8.5260999999999996E-6</v>
      </c>
      <c r="L141" s="800" t="s">
        <v>2367</v>
      </c>
      <c r="M141" s="801">
        <v>363.2</v>
      </c>
      <c r="N141" s="801" t="s">
        <v>414</v>
      </c>
      <c r="O141" s="802">
        <v>225</v>
      </c>
      <c r="P141" s="803" t="s">
        <v>1801</v>
      </c>
      <c r="Q141" s="804">
        <v>7.9299999999999995E-3</v>
      </c>
      <c r="R141" s="805" t="s">
        <v>414</v>
      </c>
      <c r="S141" s="527">
        <v>6.8300000000000001E-3</v>
      </c>
      <c r="T141" s="528" t="s">
        <v>414</v>
      </c>
    </row>
    <row r="142" spans="1:20" ht="15" customHeight="1">
      <c r="A142" s="791" t="s">
        <v>168</v>
      </c>
      <c r="B142" s="792" t="s">
        <v>587</v>
      </c>
      <c r="C142" s="793">
        <v>128.56</v>
      </c>
      <c r="D142" s="794" t="s">
        <v>1801</v>
      </c>
      <c r="E142" s="795">
        <v>4.5790000000000002E-4</v>
      </c>
      <c r="F142" s="795">
        <v>1.1199999999999999E-5</v>
      </c>
      <c r="G142" s="796" t="s">
        <v>1801</v>
      </c>
      <c r="H142" s="797">
        <v>1.2634000000000001</v>
      </c>
      <c r="I142" s="798" t="s">
        <v>1796</v>
      </c>
      <c r="J142" s="799">
        <v>6.6117499999999996E-2</v>
      </c>
      <c r="K142" s="799">
        <v>9.4784000000000006E-6</v>
      </c>
      <c r="L142" s="800" t="s">
        <v>2367</v>
      </c>
      <c r="M142" s="801">
        <v>388</v>
      </c>
      <c r="N142" s="801" t="s">
        <v>1078</v>
      </c>
      <c r="O142" s="802">
        <v>11300</v>
      </c>
      <c r="P142" s="803" t="s">
        <v>1801</v>
      </c>
      <c r="Q142" s="804">
        <v>7.9900000000000006E-3</v>
      </c>
      <c r="R142" s="805" t="s">
        <v>414</v>
      </c>
      <c r="S142" s="527">
        <v>3.2799999999999999E-3</v>
      </c>
      <c r="T142" s="528" t="s">
        <v>414</v>
      </c>
    </row>
    <row r="143" spans="1:20" ht="15" customHeight="1" thickBot="1">
      <c r="A143" s="806" t="s">
        <v>588</v>
      </c>
      <c r="B143" s="807" t="s">
        <v>589</v>
      </c>
      <c r="C143" s="808">
        <v>164.38</v>
      </c>
      <c r="D143" s="809" t="s">
        <v>1801</v>
      </c>
      <c r="E143" s="810">
        <v>8.3810300000000004E-2</v>
      </c>
      <c r="F143" s="810">
        <v>2.0500000000000002E-3</v>
      </c>
      <c r="G143" s="811" t="s">
        <v>1801</v>
      </c>
      <c r="H143" s="812">
        <v>1.6557999999999999</v>
      </c>
      <c r="I143" s="813" t="s">
        <v>1796</v>
      </c>
      <c r="J143" s="814">
        <v>5.1763700000000003E-2</v>
      </c>
      <c r="K143" s="814">
        <v>9.6198000000000006E-6</v>
      </c>
      <c r="L143" s="815" t="s">
        <v>2367</v>
      </c>
      <c r="M143" s="816">
        <v>44.19</v>
      </c>
      <c r="N143" s="816" t="s">
        <v>414</v>
      </c>
      <c r="O143" s="817">
        <v>1620</v>
      </c>
      <c r="P143" s="818" t="s">
        <v>1801</v>
      </c>
      <c r="Q143" s="819">
        <v>4.5900000000000003E-3</v>
      </c>
      <c r="R143" s="820" t="s">
        <v>414</v>
      </c>
      <c r="S143" s="521">
        <v>9.0499999999999999E-4</v>
      </c>
      <c r="T143" s="522" t="s">
        <v>414</v>
      </c>
    </row>
    <row r="144" spans="1:20" ht="15" customHeight="1">
      <c r="A144" s="791" t="s">
        <v>590</v>
      </c>
      <c r="B144" s="792" t="s">
        <v>591</v>
      </c>
      <c r="C144" s="793">
        <v>265.91000000000003</v>
      </c>
      <c r="D144" s="794" t="s">
        <v>1801</v>
      </c>
      <c r="E144" s="795">
        <v>8.1799999999999996E-5</v>
      </c>
      <c r="F144" s="795">
        <v>1.9999999999999999E-6</v>
      </c>
      <c r="G144" s="796" t="s">
        <v>1801</v>
      </c>
      <c r="H144" s="797">
        <v>1.7</v>
      </c>
      <c r="I144" s="798" t="s">
        <v>1796</v>
      </c>
      <c r="J144" s="799">
        <v>2.7578700000000001E-2</v>
      </c>
      <c r="K144" s="799">
        <v>7.3231999999999996E-6</v>
      </c>
      <c r="L144" s="800" t="s">
        <v>2367</v>
      </c>
      <c r="M144" s="801">
        <v>1041</v>
      </c>
      <c r="N144" s="801" t="s">
        <v>414</v>
      </c>
      <c r="O144" s="802">
        <v>0.81</v>
      </c>
      <c r="P144" s="803" t="s">
        <v>1801</v>
      </c>
      <c r="Q144" s="804">
        <v>5.3699999999999998E-3</v>
      </c>
      <c r="R144" s="805" t="s">
        <v>414</v>
      </c>
      <c r="S144" s="527">
        <v>6.3E-3</v>
      </c>
      <c r="T144" s="528" t="s">
        <v>414</v>
      </c>
    </row>
    <row r="145" spans="1:20" ht="15" customHeight="1">
      <c r="A145" s="791" t="s">
        <v>592</v>
      </c>
      <c r="B145" s="792" t="s">
        <v>593</v>
      </c>
      <c r="C145" s="793">
        <v>126.59</v>
      </c>
      <c r="D145" s="794" t="s">
        <v>1801</v>
      </c>
      <c r="E145" s="795">
        <v>0.14595259999999999</v>
      </c>
      <c r="F145" s="795">
        <v>3.5699999999999998E-3</v>
      </c>
      <c r="G145" s="796" t="s">
        <v>1801</v>
      </c>
      <c r="H145" s="797">
        <v>1.0825</v>
      </c>
      <c r="I145" s="798" t="s">
        <v>1796</v>
      </c>
      <c r="J145" s="799">
        <v>6.29025E-2</v>
      </c>
      <c r="K145" s="799">
        <v>8.7193999999999999E-6</v>
      </c>
      <c r="L145" s="800" t="s">
        <v>2367</v>
      </c>
      <c r="M145" s="801">
        <v>382.9</v>
      </c>
      <c r="N145" s="801" t="s">
        <v>414</v>
      </c>
      <c r="O145" s="802">
        <v>374</v>
      </c>
      <c r="P145" s="803" t="s">
        <v>1801</v>
      </c>
      <c r="Q145" s="804">
        <v>5.7200000000000001E-2</v>
      </c>
      <c r="R145" s="805" t="s">
        <v>414</v>
      </c>
      <c r="S145" s="527">
        <v>7.9299999999999995E-3</v>
      </c>
      <c r="T145" s="528" t="s">
        <v>414</v>
      </c>
    </row>
    <row r="146" spans="1:20" ht="15" customHeight="1" thickBot="1">
      <c r="A146" s="806" t="s">
        <v>594</v>
      </c>
      <c r="B146" s="807" t="s">
        <v>595</v>
      </c>
      <c r="C146" s="808">
        <v>126.59</v>
      </c>
      <c r="D146" s="809" t="s">
        <v>1801</v>
      </c>
      <c r="E146" s="810">
        <v>0.1790679</v>
      </c>
      <c r="F146" s="810">
        <v>4.3800000000000002E-3</v>
      </c>
      <c r="G146" s="811" t="s">
        <v>414</v>
      </c>
      <c r="H146" s="812">
        <v>1.0697000000000001</v>
      </c>
      <c r="I146" s="813" t="s">
        <v>1796</v>
      </c>
      <c r="J146" s="814">
        <v>6.2571000000000002E-2</v>
      </c>
      <c r="K146" s="814">
        <v>8.6573999999999995E-6</v>
      </c>
      <c r="L146" s="815" t="s">
        <v>2367</v>
      </c>
      <c r="M146" s="816">
        <v>375.3</v>
      </c>
      <c r="N146" s="816" t="s">
        <v>414</v>
      </c>
      <c r="O146" s="817">
        <v>106</v>
      </c>
      <c r="P146" s="818" t="s">
        <v>1801</v>
      </c>
      <c r="Q146" s="819">
        <v>4.9799999999999997E-2</v>
      </c>
      <c r="R146" s="820" t="s">
        <v>414</v>
      </c>
      <c r="S146" s="521">
        <v>7.9900000000000006E-3</v>
      </c>
      <c r="T146" s="522" t="s">
        <v>414</v>
      </c>
    </row>
    <row r="147" spans="1:20" ht="15" customHeight="1">
      <c r="A147" s="791" t="s">
        <v>596</v>
      </c>
      <c r="B147" s="792" t="s">
        <v>597</v>
      </c>
      <c r="C147" s="793">
        <v>265.7</v>
      </c>
      <c r="D147" s="794" t="s">
        <v>1801</v>
      </c>
      <c r="E147" s="795">
        <v>1.5000000000000001E-20</v>
      </c>
      <c r="F147" s="795">
        <v>3.67E-22</v>
      </c>
      <c r="G147" s="796" t="s">
        <v>1801</v>
      </c>
      <c r="H147" s="821" t="s">
        <v>1750</v>
      </c>
      <c r="I147" s="822" t="s">
        <v>43</v>
      </c>
      <c r="J147" s="799">
        <v>4.5971900000000003E-2</v>
      </c>
      <c r="K147" s="799">
        <v>5.3715000000000002E-6</v>
      </c>
      <c r="L147" s="800" t="s">
        <v>2367</v>
      </c>
      <c r="M147" s="801">
        <v>10</v>
      </c>
      <c r="N147" s="801" t="s">
        <v>414</v>
      </c>
      <c r="O147" s="802">
        <v>1830</v>
      </c>
      <c r="P147" s="803" t="s">
        <v>1801</v>
      </c>
      <c r="Q147" s="804">
        <v>9.91E-6</v>
      </c>
      <c r="R147" s="805" t="s">
        <v>414</v>
      </c>
      <c r="S147" s="527">
        <v>4.5900000000000003E-3</v>
      </c>
      <c r="T147" s="528" t="s">
        <v>414</v>
      </c>
    </row>
    <row r="148" spans="1:20" ht="15" customHeight="1">
      <c r="A148" s="791" t="s">
        <v>598</v>
      </c>
      <c r="B148" s="792" t="s">
        <v>599</v>
      </c>
      <c r="C148" s="793">
        <v>213.67</v>
      </c>
      <c r="D148" s="794" t="s">
        <v>1801</v>
      </c>
      <c r="E148" s="795">
        <v>2.3300000000000001E-5</v>
      </c>
      <c r="F148" s="795">
        <v>5.6899999999999997E-7</v>
      </c>
      <c r="G148" s="796" t="s">
        <v>414</v>
      </c>
      <c r="H148" s="797">
        <v>1.18</v>
      </c>
      <c r="I148" s="798" t="s">
        <v>1796</v>
      </c>
      <c r="J148" s="799">
        <v>2.6089000000000001E-2</v>
      </c>
      <c r="K148" s="799">
        <v>6.7074000000000004E-6</v>
      </c>
      <c r="L148" s="800" t="s">
        <v>2367</v>
      </c>
      <c r="M148" s="801">
        <v>350.7</v>
      </c>
      <c r="N148" s="801" t="s">
        <v>414</v>
      </c>
      <c r="O148" s="802">
        <v>89</v>
      </c>
      <c r="P148" s="803" t="s">
        <v>1801</v>
      </c>
      <c r="Q148" s="804">
        <v>2.1299999999999999E-2</v>
      </c>
      <c r="R148" s="805" t="s">
        <v>414</v>
      </c>
      <c r="S148" s="527">
        <v>5.3699999999999998E-3</v>
      </c>
      <c r="T148" s="528" t="s">
        <v>414</v>
      </c>
    </row>
    <row r="149" spans="1:20" ht="15" customHeight="1" thickBot="1">
      <c r="A149" s="806" t="s">
        <v>600</v>
      </c>
      <c r="B149" s="807" t="s">
        <v>601</v>
      </c>
      <c r="C149" s="808">
        <v>350.59</v>
      </c>
      <c r="D149" s="809" t="s">
        <v>1801</v>
      </c>
      <c r="E149" s="810">
        <v>1.198E-4</v>
      </c>
      <c r="F149" s="810">
        <v>2.9299999999999999E-6</v>
      </c>
      <c r="G149" s="811" t="s">
        <v>1801</v>
      </c>
      <c r="H149" s="839" t="s">
        <v>1750</v>
      </c>
      <c r="I149" s="840" t="s">
        <v>43</v>
      </c>
      <c r="J149" s="814">
        <v>3.8213799999999999E-2</v>
      </c>
      <c r="K149" s="814">
        <v>4.4649999999999996E-6</v>
      </c>
      <c r="L149" s="815" t="s">
        <v>2367</v>
      </c>
      <c r="M149" s="816">
        <v>7283</v>
      </c>
      <c r="N149" s="816" t="s">
        <v>414</v>
      </c>
      <c r="O149" s="817">
        <v>1.1200000000000001</v>
      </c>
      <c r="P149" s="818" t="s">
        <v>1801</v>
      </c>
      <c r="Q149" s="819">
        <v>3.3399999999999999E-2</v>
      </c>
      <c r="R149" s="820" t="s">
        <v>414</v>
      </c>
      <c r="S149" s="521">
        <v>5.7200000000000001E-2</v>
      </c>
      <c r="T149" s="522" t="s">
        <v>414</v>
      </c>
    </row>
    <row r="150" spans="1:20" ht="15" customHeight="1">
      <c r="A150" s="791" t="s">
        <v>602</v>
      </c>
      <c r="B150" s="792" t="s">
        <v>603</v>
      </c>
      <c r="C150" s="793">
        <v>322.54000000000002</v>
      </c>
      <c r="D150" s="794" t="s">
        <v>1801</v>
      </c>
      <c r="E150" s="795">
        <v>1.5330000000000001E-4</v>
      </c>
      <c r="F150" s="795">
        <v>3.7500000000000001E-6</v>
      </c>
      <c r="G150" s="796" t="s">
        <v>414</v>
      </c>
      <c r="H150" s="821" t="s">
        <v>1750</v>
      </c>
      <c r="I150" s="822" t="s">
        <v>43</v>
      </c>
      <c r="J150" s="799">
        <v>4.0398400000000001E-2</v>
      </c>
      <c r="K150" s="799">
        <v>4.7202000000000001E-6</v>
      </c>
      <c r="L150" s="800" t="s">
        <v>2367</v>
      </c>
      <c r="M150" s="801">
        <v>2193</v>
      </c>
      <c r="N150" s="801" t="s">
        <v>414</v>
      </c>
      <c r="O150" s="802">
        <v>4.76</v>
      </c>
      <c r="P150" s="803" t="s">
        <v>1801</v>
      </c>
      <c r="Q150" s="804">
        <v>1.78E-2</v>
      </c>
      <c r="R150" s="805" t="s">
        <v>414</v>
      </c>
      <c r="S150" s="527">
        <v>4.9799999999999997E-2</v>
      </c>
      <c r="T150" s="528" t="s">
        <v>414</v>
      </c>
    </row>
    <row r="151" spans="1:20" ht="15" customHeight="1">
      <c r="A151" s="791" t="s">
        <v>604</v>
      </c>
      <c r="B151" s="792" t="s">
        <v>605</v>
      </c>
      <c r="C151" s="793">
        <v>357.78</v>
      </c>
      <c r="D151" s="794" t="s">
        <v>1801</v>
      </c>
      <c r="E151" s="795">
        <v>1.3980000000000001E-14</v>
      </c>
      <c r="F151" s="795">
        <v>3.4199999999999999E-16</v>
      </c>
      <c r="G151" s="796" t="s">
        <v>414</v>
      </c>
      <c r="H151" s="821" t="s">
        <v>1750</v>
      </c>
      <c r="I151" s="822" t="s">
        <v>43</v>
      </c>
      <c r="J151" s="799">
        <v>3.77001E-2</v>
      </c>
      <c r="K151" s="799">
        <v>4.4050000000000002E-6</v>
      </c>
      <c r="L151" s="800" t="s">
        <v>2367</v>
      </c>
      <c r="M151" s="801">
        <v>322</v>
      </c>
      <c r="N151" s="801" t="s">
        <v>414</v>
      </c>
      <c r="O151" s="802">
        <v>31000</v>
      </c>
      <c r="P151" s="803" t="s">
        <v>1801</v>
      </c>
      <c r="Q151" s="804">
        <v>3.28E-4</v>
      </c>
      <c r="R151" s="805" t="s">
        <v>414</v>
      </c>
      <c r="S151" s="527">
        <v>9.91E-6</v>
      </c>
      <c r="T151" s="528" t="s">
        <v>414</v>
      </c>
    </row>
    <row r="152" spans="1:20" ht="15" customHeight="1" thickBot="1">
      <c r="A152" s="806" t="s">
        <v>2215</v>
      </c>
      <c r="B152" s="807" t="s">
        <v>682</v>
      </c>
      <c r="C152" s="808">
        <v>331.97</v>
      </c>
      <c r="D152" s="809" t="s">
        <v>1801</v>
      </c>
      <c r="E152" s="810">
        <v>8.9099999999999997E-5</v>
      </c>
      <c r="F152" s="810">
        <v>2.1799999999999999E-6</v>
      </c>
      <c r="G152" s="811" t="s">
        <v>414</v>
      </c>
      <c r="H152" s="839" t="s">
        <v>1750</v>
      </c>
      <c r="I152" s="840" t="s">
        <v>43</v>
      </c>
      <c r="J152" s="814">
        <v>3.9629699999999997E-2</v>
      </c>
      <c r="K152" s="814">
        <v>4.6303999999999997E-6</v>
      </c>
      <c r="L152" s="815" t="s">
        <v>2367</v>
      </c>
      <c r="M152" s="816">
        <v>511.1</v>
      </c>
      <c r="N152" s="816" t="s">
        <v>414</v>
      </c>
      <c r="O152" s="817">
        <v>0.5</v>
      </c>
      <c r="P152" s="818" t="s">
        <v>1801</v>
      </c>
      <c r="Q152" s="819">
        <v>1.4999999999999999E-2</v>
      </c>
      <c r="R152" s="820" t="s">
        <v>414</v>
      </c>
      <c r="S152" s="521">
        <v>2.1299999999999999E-2</v>
      </c>
      <c r="T152" s="522" t="s">
        <v>414</v>
      </c>
    </row>
    <row r="153" spans="1:20" ht="15" customHeight="1">
      <c r="A153" s="791" t="s">
        <v>606</v>
      </c>
      <c r="B153" s="792" t="s">
        <v>607</v>
      </c>
      <c r="C153" s="793">
        <v>361.25</v>
      </c>
      <c r="D153" s="794" t="s">
        <v>1801</v>
      </c>
      <c r="E153" s="795">
        <v>4.9100000000000001E-5</v>
      </c>
      <c r="F153" s="795">
        <v>1.1999999999999999E-6</v>
      </c>
      <c r="G153" s="796" t="s">
        <v>1801</v>
      </c>
      <c r="H153" s="821" t="s">
        <v>1750</v>
      </c>
      <c r="I153" s="822" t="s">
        <v>43</v>
      </c>
      <c r="J153" s="799">
        <v>3.74583E-2</v>
      </c>
      <c r="K153" s="799">
        <v>4.3767E-6</v>
      </c>
      <c r="L153" s="800" t="s">
        <v>2367</v>
      </c>
      <c r="M153" s="801">
        <v>12790</v>
      </c>
      <c r="N153" s="801" t="s">
        <v>414</v>
      </c>
      <c r="O153" s="802">
        <v>0.3</v>
      </c>
      <c r="P153" s="803" t="s">
        <v>1801</v>
      </c>
      <c r="Q153" s="804">
        <v>0.106</v>
      </c>
      <c r="R153" s="805" t="s">
        <v>414</v>
      </c>
      <c r="S153" s="527">
        <v>3.3399999999999999E-2</v>
      </c>
      <c r="T153" s="528" t="s">
        <v>414</v>
      </c>
    </row>
    <row r="154" spans="1:20" ht="15" customHeight="1">
      <c r="A154" s="791" t="s">
        <v>608</v>
      </c>
      <c r="B154" s="792" t="s">
        <v>609</v>
      </c>
      <c r="C154" s="793">
        <v>52</v>
      </c>
      <c r="D154" s="794" t="s">
        <v>414</v>
      </c>
      <c r="E154" s="831" t="s">
        <v>1750</v>
      </c>
      <c r="F154" s="831" t="s">
        <v>1750</v>
      </c>
      <c r="G154" s="832" t="s">
        <v>43</v>
      </c>
      <c r="H154" s="797">
        <v>5.22</v>
      </c>
      <c r="I154" s="798" t="s">
        <v>1796</v>
      </c>
      <c r="J154" s="833" t="s">
        <v>1750</v>
      </c>
      <c r="K154" s="833" t="s">
        <v>1750</v>
      </c>
      <c r="L154" s="834" t="s">
        <v>43</v>
      </c>
      <c r="M154" s="835" t="s">
        <v>1750</v>
      </c>
      <c r="N154" s="836" t="s">
        <v>43</v>
      </c>
      <c r="O154" s="837" t="s">
        <v>1750</v>
      </c>
      <c r="P154" s="838" t="s">
        <v>43</v>
      </c>
      <c r="Q154" s="804">
        <v>1E-3</v>
      </c>
      <c r="R154" s="805" t="s">
        <v>1797</v>
      </c>
      <c r="S154" s="527">
        <v>1.78E-2</v>
      </c>
      <c r="T154" s="528" t="s">
        <v>414</v>
      </c>
    </row>
    <row r="155" spans="1:20" ht="15" customHeight="1" thickBot="1">
      <c r="A155" s="806" t="s">
        <v>610</v>
      </c>
      <c r="B155" s="807" t="s">
        <v>611</v>
      </c>
      <c r="C155" s="808">
        <v>52</v>
      </c>
      <c r="D155" s="809" t="s">
        <v>414</v>
      </c>
      <c r="E155" s="823" t="s">
        <v>1750</v>
      </c>
      <c r="F155" s="823" t="s">
        <v>1750</v>
      </c>
      <c r="G155" s="824" t="s">
        <v>43</v>
      </c>
      <c r="H155" s="839" t="s">
        <v>1750</v>
      </c>
      <c r="I155" s="840" t="s">
        <v>43</v>
      </c>
      <c r="J155" s="825" t="s">
        <v>1750</v>
      </c>
      <c r="K155" s="825" t="s">
        <v>1750</v>
      </c>
      <c r="L155" s="826" t="s">
        <v>43</v>
      </c>
      <c r="M155" s="827" t="s">
        <v>1750</v>
      </c>
      <c r="N155" s="828" t="s">
        <v>43</v>
      </c>
      <c r="O155" s="817">
        <v>1690000</v>
      </c>
      <c r="P155" s="818" t="s">
        <v>1796</v>
      </c>
      <c r="Q155" s="819">
        <v>2E-3</v>
      </c>
      <c r="R155" s="820" t="s">
        <v>1797</v>
      </c>
      <c r="S155" s="521">
        <v>3.28E-4</v>
      </c>
      <c r="T155" s="522" t="s">
        <v>414</v>
      </c>
    </row>
    <row r="156" spans="1:20" ht="15" customHeight="1">
      <c r="A156" s="791" t="s">
        <v>612</v>
      </c>
      <c r="B156" s="792" t="s">
        <v>613</v>
      </c>
      <c r="C156" s="793">
        <v>51.996000000000002</v>
      </c>
      <c r="D156" s="794" t="s">
        <v>1801</v>
      </c>
      <c r="E156" s="831" t="s">
        <v>1750</v>
      </c>
      <c r="F156" s="831" t="s">
        <v>1750</v>
      </c>
      <c r="G156" s="832" t="s">
        <v>43</v>
      </c>
      <c r="H156" s="797">
        <v>7.15</v>
      </c>
      <c r="I156" s="798" t="s">
        <v>1796</v>
      </c>
      <c r="J156" s="833" t="s">
        <v>1750</v>
      </c>
      <c r="K156" s="833" t="s">
        <v>1750</v>
      </c>
      <c r="L156" s="834" t="s">
        <v>43</v>
      </c>
      <c r="M156" s="835" t="s">
        <v>1750</v>
      </c>
      <c r="N156" s="836" t="s">
        <v>43</v>
      </c>
      <c r="O156" s="837" t="s">
        <v>1750</v>
      </c>
      <c r="P156" s="838" t="s">
        <v>43</v>
      </c>
      <c r="Q156" s="804">
        <v>1E-3</v>
      </c>
      <c r="R156" s="805" t="s">
        <v>1797</v>
      </c>
      <c r="S156" s="527">
        <v>0.106</v>
      </c>
      <c r="T156" s="528" t="s">
        <v>414</v>
      </c>
    </row>
    <row r="157" spans="1:20" ht="15" customHeight="1">
      <c r="A157" s="791" t="s">
        <v>2216</v>
      </c>
      <c r="B157" s="792" t="s">
        <v>419</v>
      </c>
      <c r="C157" s="793">
        <v>303.14999999999998</v>
      </c>
      <c r="D157" s="794" t="s">
        <v>1801</v>
      </c>
      <c r="E157" s="795">
        <v>1.5944E-8</v>
      </c>
      <c r="F157" s="795">
        <v>3.9E-10</v>
      </c>
      <c r="G157" s="796" t="s">
        <v>414</v>
      </c>
      <c r="H157" s="821" t="s">
        <v>1750</v>
      </c>
      <c r="I157" s="822" t="s">
        <v>43</v>
      </c>
      <c r="J157" s="799">
        <v>4.21032E-2</v>
      </c>
      <c r="K157" s="799">
        <v>4.9193999999999999E-6</v>
      </c>
      <c r="L157" s="800" t="s">
        <v>2367</v>
      </c>
      <c r="M157" s="801">
        <v>30210</v>
      </c>
      <c r="N157" s="801" t="s">
        <v>414</v>
      </c>
      <c r="O157" s="802">
        <v>1</v>
      </c>
      <c r="P157" s="803" t="s">
        <v>1801</v>
      </c>
      <c r="Q157" s="804">
        <v>3.5799999999999998E-3</v>
      </c>
      <c r="R157" s="805" t="s">
        <v>414</v>
      </c>
      <c r="S157" s="527">
        <v>1E-3</v>
      </c>
      <c r="T157" s="528" t="s">
        <v>1797</v>
      </c>
    </row>
    <row r="158" spans="1:20" ht="15" customHeight="1" thickBot="1">
      <c r="A158" s="806" t="s">
        <v>614</v>
      </c>
      <c r="B158" s="807" t="s">
        <v>615</v>
      </c>
      <c r="C158" s="808">
        <v>58.93</v>
      </c>
      <c r="D158" s="809" t="s">
        <v>414</v>
      </c>
      <c r="E158" s="823" t="s">
        <v>1750</v>
      </c>
      <c r="F158" s="823" t="s">
        <v>1750</v>
      </c>
      <c r="G158" s="824" t="s">
        <v>43</v>
      </c>
      <c r="H158" s="812">
        <v>8.86</v>
      </c>
      <c r="I158" s="813" t="s">
        <v>1796</v>
      </c>
      <c r="J158" s="825" t="s">
        <v>1750</v>
      </c>
      <c r="K158" s="825" t="s">
        <v>1750</v>
      </c>
      <c r="L158" s="826" t="s">
        <v>43</v>
      </c>
      <c r="M158" s="827" t="s">
        <v>1750</v>
      </c>
      <c r="N158" s="828" t="s">
        <v>43</v>
      </c>
      <c r="O158" s="829" t="s">
        <v>1750</v>
      </c>
      <c r="P158" s="830" t="s">
        <v>43</v>
      </c>
      <c r="Q158" s="819">
        <v>4.0000000000000002E-4</v>
      </c>
      <c r="R158" s="820" t="s">
        <v>1797</v>
      </c>
      <c r="S158" s="521">
        <v>2E-3</v>
      </c>
      <c r="T158" s="522" t="s">
        <v>1797</v>
      </c>
    </row>
    <row r="159" spans="1:20" ht="15" customHeight="1">
      <c r="A159" s="791" t="s">
        <v>616</v>
      </c>
      <c r="B159" s="792" t="s">
        <v>617</v>
      </c>
      <c r="C159" s="841" t="s">
        <v>1750</v>
      </c>
      <c r="D159" s="842" t="s">
        <v>43</v>
      </c>
      <c r="E159" s="795">
        <v>0.45</v>
      </c>
      <c r="F159" s="795">
        <v>1.0999999999999999E-2</v>
      </c>
      <c r="G159" s="796" t="s">
        <v>2167</v>
      </c>
      <c r="H159" s="821" t="s">
        <v>1750</v>
      </c>
      <c r="I159" s="822" t="s">
        <v>43</v>
      </c>
      <c r="J159" s="799">
        <v>0.1039798</v>
      </c>
      <c r="K159" s="799">
        <v>1.2099999999999999E-5</v>
      </c>
      <c r="L159" s="800" t="s">
        <v>2367</v>
      </c>
      <c r="M159" s="801">
        <v>16000</v>
      </c>
      <c r="N159" s="836" t="s">
        <v>43</v>
      </c>
      <c r="O159" s="837" t="s">
        <v>1750</v>
      </c>
      <c r="P159" s="838" t="s">
        <v>43</v>
      </c>
      <c r="Q159" s="843" t="s">
        <v>1750</v>
      </c>
      <c r="R159" s="844" t="s">
        <v>43</v>
      </c>
      <c r="S159" s="527">
        <v>1E-3</v>
      </c>
      <c r="T159" s="528" t="s">
        <v>1797</v>
      </c>
    </row>
    <row r="160" spans="1:20" ht="15" customHeight="1">
      <c r="A160" s="791" t="s">
        <v>618</v>
      </c>
      <c r="B160" s="792" t="s">
        <v>619</v>
      </c>
      <c r="C160" s="793">
        <v>63.545999999999999</v>
      </c>
      <c r="D160" s="794" t="s">
        <v>1801</v>
      </c>
      <c r="E160" s="831" t="s">
        <v>1750</v>
      </c>
      <c r="F160" s="831" t="s">
        <v>1750</v>
      </c>
      <c r="G160" s="832" t="s">
        <v>43</v>
      </c>
      <c r="H160" s="797">
        <v>8.9600000000000009</v>
      </c>
      <c r="I160" s="798" t="s">
        <v>1796</v>
      </c>
      <c r="J160" s="833" t="s">
        <v>1750</v>
      </c>
      <c r="K160" s="833" t="s">
        <v>1750</v>
      </c>
      <c r="L160" s="834" t="s">
        <v>43</v>
      </c>
      <c r="M160" s="835" t="s">
        <v>1750</v>
      </c>
      <c r="N160" s="836" t="s">
        <v>43</v>
      </c>
      <c r="O160" s="837" t="s">
        <v>1750</v>
      </c>
      <c r="P160" s="838" t="s">
        <v>43</v>
      </c>
      <c r="Q160" s="804">
        <v>1E-3</v>
      </c>
      <c r="R160" s="805" t="s">
        <v>1797</v>
      </c>
      <c r="S160" s="527">
        <v>4.0000000000000002E-4</v>
      </c>
      <c r="T160" s="528" t="s">
        <v>1797</v>
      </c>
    </row>
    <row r="161" spans="1:20" ht="15" customHeight="1" thickBot="1">
      <c r="A161" s="806" t="s">
        <v>620</v>
      </c>
      <c r="B161" s="807" t="s">
        <v>621</v>
      </c>
      <c r="C161" s="808">
        <v>108.14</v>
      </c>
      <c r="D161" s="809" t="s">
        <v>1801</v>
      </c>
      <c r="E161" s="810">
        <v>3.4999999999999997E-5</v>
      </c>
      <c r="F161" s="810">
        <v>8.5600000000000004E-7</v>
      </c>
      <c r="G161" s="811" t="s">
        <v>1801</v>
      </c>
      <c r="H161" s="812">
        <v>1.0339</v>
      </c>
      <c r="I161" s="813" t="s">
        <v>1796</v>
      </c>
      <c r="J161" s="814">
        <v>7.2872099999999995E-2</v>
      </c>
      <c r="K161" s="814">
        <v>9.3232000000000008E-6</v>
      </c>
      <c r="L161" s="815" t="s">
        <v>2367</v>
      </c>
      <c r="M161" s="816">
        <v>300.39999999999998</v>
      </c>
      <c r="N161" s="816" t="s">
        <v>414</v>
      </c>
      <c r="O161" s="817">
        <v>22700</v>
      </c>
      <c r="P161" s="818" t="s">
        <v>1801</v>
      </c>
      <c r="Q161" s="819">
        <v>7.77E-3</v>
      </c>
      <c r="R161" s="820" t="s">
        <v>414</v>
      </c>
      <c r="S161" s="521">
        <v>1.49E-2</v>
      </c>
      <c r="T161" s="522" t="s">
        <v>414</v>
      </c>
    </row>
    <row r="162" spans="1:20" ht="15" customHeight="1">
      <c r="A162" s="791" t="s">
        <v>622</v>
      </c>
      <c r="B162" s="792" t="s">
        <v>623</v>
      </c>
      <c r="C162" s="793">
        <v>108.14</v>
      </c>
      <c r="D162" s="794" t="s">
        <v>1801</v>
      </c>
      <c r="E162" s="795">
        <v>4.9100000000000001E-5</v>
      </c>
      <c r="F162" s="795">
        <v>1.1999999999999999E-6</v>
      </c>
      <c r="G162" s="796" t="s">
        <v>1801</v>
      </c>
      <c r="H162" s="797">
        <v>1.0327</v>
      </c>
      <c r="I162" s="798" t="s">
        <v>1796</v>
      </c>
      <c r="J162" s="799">
        <v>7.2834999999999997E-2</v>
      </c>
      <c r="K162" s="799">
        <v>9.3168000000000003E-6</v>
      </c>
      <c r="L162" s="800" t="s">
        <v>2367</v>
      </c>
      <c r="M162" s="801">
        <v>306.5</v>
      </c>
      <c r="N162" s="801" t="s">
        <v>414</v>
      </c>
      <c r="O162" s="802">
        <v>25900</v>
      </c>
      <c r="P162" s="803" t="s">
        <v>1801</v>
      </c>
      <c r="Q162" s="804">
        <v>7.6600000000000001E-3</v>
      </c>
      <c r="R162" s="805" t="s">
        <v>414</v>
      </c>
      <c r="S162" s="527">
        <v>1E-3</v>
      </c>
      <c r="T162" s="528" t="s">
        <v>1797</v>
      </c>
    </row>
    <row r="163" spans="1:20" ht="15" customHeight="1">
      <c r="A163" s="791" t="s">
        <v>624</v>
      </c>
      <c r="B163" s="792" t="s">
        <v>625</v>
      </c>
      <c r="C163" s="793">
        <v>108.14</v>
      </c>
      <c r="D163" s="794" t="s">
        <v>1801</v>
      </c>
      <c r="E163" s="795">
        <v>4.0899999999999998E-5</v>
      </c>
      <c r="F163" s="795">
        <v>9.9999999999999995E-7</v>
      </c>
      <c r="G163" s="796" t="s">
        <v>1801</v>
      </c>
      <c r="H163" s="797">
        <v>1.0185</v>
      </c>
      <c r="I163" s="798" t="s">
        <v>1796</v>
      </c>
      <c r="J163" s="799">
        <v>7.2393799999999994E-2</v>
      </c>
      <c r="K163" s="799">
        <v>9.2397000000000007E-6</v>
      </c>
      <c r="L163" s="800" t="s">
        <v>2367</v>
      </c>
      <c r="M163" s="801">
        <v>300.39999999999998</v>
      </c>
      <c r="N163" s="801" t="s">
        <v>414</v>
      </c>
      <c r="O163" s="802">
        <v>21500</v>
      </c>
      <c r="P163" s="803" t="s">
        <v>1801</v>
      </c>
      <c r="Q163" s="804">
        <v>7.5399999999999998E-3</v>
      </c>
      <c r="R163" s="805" t="s">
        <v>414</v>
      </c>
      <c r="S163" s="527">
        <v>7.77E-3</v>
      </c>
      <c r="T163" s="528" t="s">
        <v>414</v>
      </c>
    </row>
    <row r="164" spans="1:20" ht="15" customHeight="1" thickBot="1">
      <c r="A164" s="806" t="s">
        <v>626</v>
      </c>
      <c r="B164" s="807" t="s">
        <v>627</v>
      </c>
      <c r="C164" s="808">
        <v>142.59</v>
      </c>
      <c r="D164" s="809" t="s">
        <v>1801</v>
      </c>
      <c r="E164" s="810">
        <v>1.002E-4</v>
      </c>
      <c r="F164" s="810">
        <v>2.4499999999999998E-6</v>
      </c>
      <c r="G164" s="811" t="s">
        <v>414</v>
      </c>
      <c r="H164" s="839" t="s">
        <v>1750</v>
      </c>
      <c r="I164" s="840" t="s">
        <v>43</v>
      </c>
      <c r="J164" s="814">
        <v>6.9613599999999998E-2</v>
      </c>
      <c r="K164" s="814">
        <v>8.1337999999999999E-6</v>
      </c>
      <c r="L164" s="815" t="s">
        <v>2367</v>
      </c>
      <c r="M164" s="816">
        <v>491.8</v>
      </c>
      <c r="N164" s="816" t="s">
        <v>414</v>
      </c>
      <c r="O164" s="817">
        <v>3834</v>
      </c>
      <c r="P164" s="818" t="s">
        <v>1801</v>
      </c>
      <c r="Q164" s="819">
        <v>2.8500000000000001E-2</v>
      </c>
      <c r="R164" s="820" t="s">
        <v>414</v>
      </c>
      <c r="S164" s="521">
        <v>7.6600000000000001E-3</v>
      </c>
      <c r="T164" s="522" t="s">
        <v>414</v>
      </c>
    </row>
    <row r="165" spans="1:20" ht="15" customHeight="1">
      <c r="A165" s="791" t="s">
        <v>628</v>
      </c>
      <c r="B165" s="792" t="s">
        <v>629</v>
      </c>
      <c r="C165" s="793">
        <v>324.42</v>
      </c>
      <c r="D165" s="794" t="s">
        <v>1801</v>
      </c>
      <c r="E165" s="795">
        <v>2.5299999999999998E-5</v>
      </c>
      <c r="F165" s="795">
        <v>6.1900000000000002E-7</v>
      </c>
      <c r="G165" s="796" t="s">
        <v>1801</v>
      </c>
      <c r="H165" s="821" t="s">
        <v>1750</v>
      </c>
      <c r="I165" s="822" t="s">
        <v>43</v>
      </c>
      <c r="J165" s="799">
        <v>4.0242199999999999E-2</v>
      </c>
      <c r="K165" s="799">
        <v>4.702E-6</v>
      </c>
      <c r="L165" s="800" t="s">
        <v>2367</v>
      </c>
      <c r="M165" s="801">
        <v>306.5</v>
      </c>
      <c r="N165" s="801" t="s">
        <v>414</v>
      </c>
      <c r="O165" s="802">
        <v>9066</v>
      </c>
      <c r="P165" s="803" t="s">
        <v>1801</v>
      </c>
      <c r="Q165" s="804">
        <v>7.6600000000000001E-3</v>
      </c>
      <c r="R165" s="805" t="s">
        <v>414</v>
      </c>
      <c r="S165" s="527">
        <v>7.5399999999999998E-3</v>
      </c>
      <c r="T165" s="528" t="s">
        <v>414</v>
      </c>
    </row>
    <row r="166" spans="1:20" ht="15" customHeight="1">
      <c r="A166" s="791" t="s">
        <v>630</v>
      </c>
      <c r="B166" s="792" t="s">
        <v>631</v>
      </c>
      <c r="C166" s="793">
        <v>70.091999999999999</v>
      </c>
      <c r="D166" s="794" t="s">
        <v>1801</v>
      </c>
      <c r="E166" s="795">
        <v>7.9310000000000003E-4</v>
      </c>
      <c r="F166" s="795">
        <v>1.9400000000000001E-5</v>
      </c>
      <c r="G166" s="796" t="s">
        <v>1801</v>
      </c>
      <c r="H166" s="797">
        <v>0.85160000000000002</v>
      </c>
      <c r="I166" s="798" t="s">
        <v>1796</v>
      </c>
      <c r="J166" s="799">
        <v>9.5923499999999995E-2</v>
      </c>
      <c r="K166" s="799">
        <v>1.08E-5</v>
      </c>
      <c r="L166" s="800" t="s">
        <v>2367</v>
      </c>
      <c r="M166" s="801">
        <v>1.7929999999999999</v>
      </c>
      <c r="N166" s="801" t="s">
        <v>414</v>
      </c>
      <c r="O166" s="802">
        <v>150000</v>
      </c>
      <c r="P166" s="803" t="s">
        <v>1801</v>
      </c>
      <c r="Q166" s="804">
        <v>1.5900000000000001E-3</v>
      </c>
      <c r="R166" s="805" t="s">
        <v>414</v>
      </c>
      <c r="S166" s="527">
        <v>2.8500000000000001E-2</v>
      </c>
      <c r="T166" s="528" t="s">
        <v>414</v>
      </c>
    </row>
    <row r="167" spans="1:20" ht="15" customHeight="1" thickBot="1">
      <c r="A167" s="806" t="s">
        <v>81</v>
      </c>
      <c r="B167" s="807" t="s">
        <v>632</v>
      </c>
      <c r="C167" s="808">
        <v>120.2</v>
      </c>
      <c r="D167" s="809" t="s">
        <v>1801</v>
      </c>
      <c r="E167" s="810">
        <v>0.4701554</v>
      </c>
      <c r="F167" s="810">
        <v>1.15E-2</v>
      </c>
      <c r="G167" s="811" t="s">
        <v>1801</v>
      </c>
      <c r="H167" s="812">
        <v>0.86399999999999999</v>
      </c>
      <c r="I167" s="813" t="s">
        <v>1796</v>
      </c>
      <c r="J167" s="814">
        <v>6.0304400000000001E-2</v>
      </c>
      <c r="K167" s="814">
        <v>7.8566000000000003E-6</v>
      </c>
      <c r="L167" s="815" t="s">
        <v>2367</v>
      </c>
      <c r="M167" s="816">
        <v>697.8</v>
      </c>
      <c r="N167" s="816" t="s">
        <v>414</v>
      </c>
      <c r="O167" s="817">
        <v>61.3</v>
      </c>
      <c r="P167" s="818" t="s">
        <v>1801</v>
      </c>
      <c r="Q167" s="819">
        <v>8.9700000000000002E-2</v>
      </c>
      <c r="R167" s="820" t="s">
        <v>414</v>
      </c>
      <c r="S167" s="521">
        <v>7.6600000000000001E-3</v>
      </c>
      <c r="T167" s="522" t="s">
        <v>414</v>
      </c>
    </row>
    <row r="168" spans="1:20" ht="15" customHeight="1">
      <c r="A168" s="791" t="s">
        <v>633</v>
      </c>
      <c r="B168" s="792" t="s">
        <v>634</v>
      </c>
      <c r="C168" s="793">
        <v>155.16</v>
      </c>
      <c r="D168" s="794" t="s">
        <v>1801</v>
      </c>
      <c r="E168" s="795">
        <v>1.48E-7</v>
      </c>
      <c r="F168" s="795">
        <v>3.6199999999999999E-9</v>
      </c>
      <c r="G168" s="796" t="s">
        <v>1801</v>
      </c>
      <c r="H168" s="821" t="s">
        <v>1750</v>
      </c>
      <c r="I168" s="822" t="s">
        <v>43</v>
      </c>
      <c r="J168" s="799">
        <v>6.5801200000000004E-2</v>
      </c>
      <c r="K168" s="799">
        <v>7.6883000000000006E-6</v>
      </c>
      <c r="L168" s="800" t="s">
        <v>2367</v>
      </c>
      <c r="M168" s="801">
        <v>762.4</v>
      </c>
      <c r="N168" s="801" t="s">
        <v>414</v>
      </c>
      <c r="O168" s="802">
        <v>608000</v>
      </c>
      <c r="P168" s="803" t="s">
        <v>1801</v>
      </c>
      <c r="Q168" s="804">
        <v>1.6700000000000001E-6</v>
      </c>
      <c r="R168" s="805" t="s">
        <v>414</v>
      </c>
      <c r="S168" s="527">
        <v>1.5900000000000001E-3</v>
      </c>
      <c r="T168" s="528" t="s">
        <v>414</v>
      </c>
    </row>
    <row r="169" spans="1:20" ht="15" customHeight="1">
      <c r="A169" s="791" t="s">
        <v>635</v>
      </c>
      <c r="B169" s="792" t="s">
        <v>636</v>
      </c>
      <c r="C169" s="793">
        <v>240.7</v>
      </c>
      <c r="D169" s="794" t="s">
        <v>1801</v>
      </c>
      <c r="E169" s="795">
        <v>1.051E-10</v>
      </c>
      <c r="F169" s="795">
        <v>2.5700000000000002E-12</v>
      </c>
      <c r="G169" s="796" t="s">
        <v>414</v>
      </c>
      <c r="H169" s="821" t="s">
        <v>1750</v>
      </c>
      <c r="I169" s="822" t="s">
        <v>43</v>
      </c>
      <c r="J169" s="799">
        <v>4.9102399999999997E-2</v>
      </c>
      <c r="K169" s="799">
        <v>5.7371999999999999E-6</v>
      </c>
      <c r="L169" s="800" t="s">
        <v>2367</v>
      </c>
      <c r="M169" s="801">
        <v>134.1</v>
      </c>
      <c r="N169" s="801" t="s">
        <v>414</v>
      </c>
      <c r="O169" s="802">
        <v>170</v>
      </c>
      <c r="P169" s="803" t="s">
        <v>1801</v>
      </c>
      <c r="Q169" s="804">
        <v>2.0899999999999998E-3</v>
      </c>
      <c r="R169" s="805" t="s">
        <v>414</v>
      </c>
      <c r="S169" s="527">
        <v>8.9700000000000002E-2</v>
      </c>
      <c r="T169" s="528" t="s">
        <v>414</v>
      </c>
    </row>
    <row r="170" spans="1:20" ht="15" customHeight="1" thickBot="1">
      <c r="A170" s="806" t="s">
        <v>637</v>
      </c>
      <c r="B170" s="807" t="s">
        <v>43</v>
      </c>
      <c r="C170" s="845" t="s">
        <v>1750</v>
      </c>
      <c r="D170" s="846" t="s">
        <v>43</v>
      </c>
      <c r="E170" s="823" t="s">
        <v>1750</v>
      </c>
      <c r="F170" s="823" t="s">
        <v>1750</v>
      </c>
      <c r="G170" s="824" t="s">
        <v>43</v>
      </c>
      <c r="H170" s="839" t="s">
        <v>1750</v>
      </c>
      <c r="I170" s="840" t="s">
        <v>43</v>
      </c>
      <c r="J170" s="825" t="s">
        <v>1750</v>
      </c>
      <c r="K170" s="825" t="s">
        <v>1750</v>
      </c>
      <c r="L170" s="826" t="s">
        <v>43</v>
      </c>
      <c r="M170" s="827" t="s">
        <v>1750</v>
      </c>
      <c r="N170" s="828" t="s">
        <v>43</v>
      </c>
      <c r="O170" s="829" t="s">
        <v>1750</v>
      </c>
      <c r="P170" s="830" t="s">
        <v>43</v>
      </c>
      <c r="Q170" s="847" t="s">
        <v>1750</v>
      </c>
      <c r="R170" s="848" t="s">
        <v>43</v>
      </c>
      <c r="S170" s="521">
        <v>1.6700000000000001E-6</v>
      </c>
      <c r="T170" s="522" t="s">
        <v>414</v>
      </c>
    </row>
    <row r="171" spans="1:20" ht="15" customHeight="1">
      <c r="A171" s="791" t="s">
        <v>638</v>
      </c>
      <c r="B171" s="792" t="s">
        <v>639</v>
      </c>
      <c r="C171" s="793">
        <v>92.116</v>
      </c>
      <c r="D171" s="794" t="s">
        <v>1801</v>
      </c>
      <c r="E171" s="831" t="s">
        <v>1750</v>
      </c>
      <c r="F171" s="831" t="s">
        <v>1750</v>
      </c>
      <c r="G171" s="832" t="s">
        <v>43</v>
      </c>
      <c r="H171" s="821" t="s">
        <v>1750</v>
      </c>
      <c r="I171" s="822" t="s">
        <v>43</v>
      </c>
      <c r="J171" s="833" t="s">
        <v>1750</v>
      </c>
      <c r="K171" s="833" t="s">
        <v>1750</v>
      </c>
      <c r="L171" s="834" t="s">
        <v>43</v>
      </c>
      <c r="M171" s="835" t="s">
        <v>1750</v>
      </c>
      <c r="N171" s="836" t="s">
        <v>43</v>
      </c>
      <c r="O171" s="837" t="s">
        <v>1750</v>
      </c>
      <c r="P171" s="838" t="s">
        <v>43</v>
      </c>
      <c r="Q171" s="804">
        <v>1E-3</v>
      </c>
      <c r="R171" s="805" t="s">
        <v>1797</v>
      </c>
      <c r="S171" s="527">
        <v>2.0899999999999998E-3</v>
      </c>
      <c r="T171" s="528" t="s">
        <v>414</v>
      </c>
    </row>
    <row r="172" spans="1:20" ht="15" customHeight="1">
      <c r="A172" s="791" t="s">
        <v>640</v>
      </c>
      <c r="B172" s="792" t="s">
        <v>641</v>
      </c>
      <c r="C172" s="793">
        <v>89.563999999999993</v>
      </c>
      <c r="D172" s="794" t="s">
        <v>1801</v>
      </c>
      <c r="E172" s="831" t="s">
        <v>1750</v>
      </c>
      <c r="F172" s="831" t="s">
        <v>1750</v>
      </c>
      <c r="G172" s="832" t="s">
        <v>43</v>
      </c>
      <c r="H172" s="797">
        <v>2.9</v>
      </c>
      <c r="I172" s="798" t="s">
        <v>1796</v>
      </c>
      <c r="J172" s="833" t="s">
        <v>1750</v>
      </c>
      <c r="K172" s="833" t="s">
        <v>1750</v>
      </c>
      <c r="L172" s="834" t="s">
        <v>43</v>
      </c>
      <c r="M172" s="835" t="s">
        <v>1750</v>
      </c>
      <c r="N172" s="836" t="s">
        <v>43</v>
      </c>
      <c r="O172" s="837" t="s">
        <v>1750</v>
      </c>
      <c r="P172" s="838" t="s">
        <v>43</v>
      </c>
      <c r="Q172" s="804">
        <v>1E-3</v>
      </c>
      <c r="R172" s="805" t="s">
        <v>1797</v>
      </c>
      <c r="S172" s="525" t="s">
        <v>1750</v>
      </c>
      <c r="T172" s="526" t="s">
        <v>43</v>
      </c>
    </row>
    <row r="173" spans="1:20" ht="15" customHeight="1" thickBot="1">
      <c r="A173" s="806" t="s">
        <v>642</v>
      </c>
      <c r="B173" s="807" t="s">
        <v>643</v>
      </c>
      <c r="C173" s="808">
        <v>26.018000000000001</v>
      </c>
      <c r="D173" s="809" t="s">
        <v>1801</v>
      </c>
      <c r="E173" s="810">
        <v>4.15E-3</v>
      </c>
      <c r="F173" s="810">
        <v>1.01E-4</v>
      </c>
      <c r="G173" s="811" t="s">
        <v>2368</v>
      </c>
      <c r="H173" s="812">
        <v>0.69499999999999995</v>
      </c>
      <c r="I173" s="813" t="s">
        <v>2136</v>
      </c>
      <c r="J173" s="814">
        <v>0.2109549</v>
      </c>
      <c r="K173" s="814">
        <v>2.4600000000000002E-5</v>
      </c>
      <c r="L173" s="815" t="s">
        <v>2367</v>
      </c>
      <c r="M173" s="827" t="s">
        <v>1750</v>
      </c>
      <c r="N173" s="828" t="s">
        <v>43</v>
      </c>
      <c r="O173" s="817">
        <v>95400</v>
      </c>
      <c r="P173" s="818" t="s">
        <v>1801</v>
      </c>
      <c r="Q173" s="819">
        <v>1E-3</v>
      </c>
      <c r="R173" s="820" t="s">
        <v>1797</v>
      </c>
      <c r="S173" s="521">
        <v>1E-3</v>
      </c>
      <c r="T173" s="522" t="s">
        <v>1797</v>
      </c>
    </row>
    <row r="174" spans="1:20" ht="15" customHeight="1">
      <c r="A174" s="791" t="s">
        <v>644</v>
      </c>
      <c r="B174" s="792" t="s">
        <v>645</v>
      </c>
      <c r="C174" s="793">
        <v>52.036000000000001</v>
      </c>
      <c r="D174" s="794" t="s">
        <v>1801</v>
      </c>
      <c r="E174" s="795">
        <v>0.22076860000000001</v>
      </c>
      <c r="F174" s="795">
        <v>5.4000000000000003E-3</v>
      </c>
      <c r="G174" s="796" t="s">
        <v>414</v>
      </c>
      <c r="H174" s="797">
        <v>0.95369999999999999</v>
      </c>
      <c r="I174" s="798" t="s">
        <v>1796</v>
      </c>
      <c r="J174" s="799">
        <v>0.1237533</v>
      </c>
      <c r="K174" s="799">
        <v>1.38E-5</v>
      </c>
      <c r="L174" s="800" t="s">
        <v>2367</v>
      </c>
      <c r="M174" s="835" t="s">
        <v>1750</v>
      </c>
      <c r="N174" s="836" t="s">
        <v>43</v>
      </c>
      <c r="O174" s="802">
        <v>8000</v>
      </c>
      <c r="P174" s="803" t="s">
        <v>1796</v>
      </c>
      <c r="Q174" s="804">
        <v>8.8999999999999995E-4</v>
      </c>
      <c r="R174" s="805" t="s">
        <v>1797</v>
      </c>
      <c r="S174" s="527">
        <v>1E-3</v>
      </c>
      <c r="T174" s="528" t="s">
        <v>1797</v>
      </c>
    </row>
    <row r="175" spans="1:20" ht="15" customHeight="1">
      <c r="A175" s="791" t="s">
        <v>646</v>
      </c>
      <c r="B175" s="792" t="s">
        <v>647</v>
      </c>
      <c r="C175" s="793">
        <v>105.93</v>
      </c>
      <c r="D175" s="794" t="s">
        <v>1801</v>
      </c>
      <c r="E175" s="795">
        <v>1</v>
      </c>
      <c r="F175" s="795">
        <v>2.4500000000000001E-2</v>
      </c>
      <c r="G175" s="796" t="s">
        <v>414</v>
      </c>
      <c r="H175" s="797">
        <v>2.0150000000000001</v>
      </c>
      <c r="I175" s="798" t="s">
        <v>1796</v>
      </c>
      <c r="J175" s="799">
        <v>9.8406499999999994E-2</v>
      </c>
      <c r="K175" s="799">
        <v>1.4100000000000001E-5</v>
      </c>
      <c r="L175" s="800" t="s">
        <v>2367</v>
      </c>
      <c r="M175" s="835" t="s">
        <v>1750</v>
      </c>
      <c r="N175" s="836" t="s">
        <v>43</v>
      </c>
      <c r="O175" s="837" t="s">
        <v>1750</v>
      </c>
      <c r="P175" s="838" t="s">
        <v>43</v>
      </c>
      <c r="Q175" s="804">
        <v>2.5500000000000002E-4</v>
      </c>
      <c r="R175" s="805" t="s">
        <v>1797</v>
      </c>
      <c r="S175" s="527">
        <v>1E-3</v>
      </c>
      <c r="T175" s="528" t="s">
        <v>1797</v>
      </c>
    </row>
    <row r="176" spans="1:20" ht="15" customHeight="1" thickBot="1">
      <c r="A176" s="806" t="s">
        <v>648</v>
      </c>
      <c r="B176" s="807" t="s">
        <v>649</v>
      </c>
      <c r="C176" s="808">
        <v>61.470999999999997</v>
      </c>
      <c r="D176" s="809" t="s">
        <v>1801</v>
      </c>
      <c r="E176" s="810">
        <v>7.87186E-2</v>
      </c>
      <c r="F176" s="810">
        <v>1.9411999999999999E-3</v>
      </c>
      <c r="G176" s="811" t="s">
        <v>1816</v>
      </c>
      <c r="H176" s="812">
        <v>1.1859999999999999</v>
      </c>
      <c r="I176" s="813" t="s">
        <v>1796</v>
      </c>
      <c r="J176" s="814">
        <v>0.1207454</v>
      </c>
      <c r="K176" s="814">
        <v>1.42E-5</v>
      </c>
      <c r="L176" s="815" t="s">
        <v>2367</v>
      </c>
      <c r="M176" s="827" t="s">
        <v>1750</v>
      </c>
      <c r="N176" s="828" t="s">
        <v>43</v>
      </c>
      <c r="O176" s="817">
        <v>60000</v>
      </c>
      <c r="P176" s="818" t="s">
        <v>1801</v>
      </c>
      <c r="Q176" s="819">
        <v>3.9399999999999998E-4</v>
      </c>
      <c r="R176" s="820" t="s">
        <v>1797</v>
      </c>
      <c r="S176" s="521">
        <v>8.8999999999999995E-4</v>
      </c>
      <c r="T176" s="522" t="s">
        <v>1797</v>
      </c>
    </row>
    <row r="177" spans="1:20" ht="15" customHeight="1">
      <c r="A177" s="791" t="s">
        <v>650</v>
      </c>
      <c r="B177" s="792" t="s">
        <v>651</v>
      </c>
      <c r="C177" s="793">
        <v>27.026</v>
      </c>
      <c r="D177" s="794" t="s">
        <v>1801</v>
      </c>
      <c r="E177" s="795">
        <v>5.4374000000000002E-3</v>
      </c>
      <c r="F177" s="795">
        <v>1.3300000000000001E-4</v>
      </c>
      <c r="G177" s="796" t="s">
        <v>1801</v>
      </c>
      <c r="H177" s="797">
        <v>0.68759999999999999</v>
      </c>
      <c r="I177" s="798" t="s">
        <v>1796</v>
      </c>
      <c r="J177" s="799">
        <v>0.1678036</v>
      </c>
      <c r="K177" s="799">
        <v>1.6799999999999998E-5</v>
      </c>
      <c r="L177" s="800" t="s">
        <v>2367</v>
      </c>
      <c r="M177" s="835" t="s">
        <v>1750</v>
      </c>
      <c r="N177" s="836" t="s">
        <v>43</v>
      </c>
      <c r="O177" s="802">
        <v>1000000</v>
      </c>
      <c r="P177" s="803" t="s">
        <v>1801</v>
      </c>
      <c r="Q177" s="804">
        <v>1E-3</v>
      </c>
      <c r="R177" s="805" t="s">
        <v>1797</v>
      </c>
      <c r="S177" s="527">
        <v>2.5500000000000002E-4</v>
      </c>
      <c r="T177" s="528" t="s">
        <v>1797</v>
      </c>
    </row>
    <row r="178" spans="1:20" ht="15" customHeight="1">
      <c r="A178" s="791" t="s">
        <v>652</v>
      </c>
      <c r="B178" s="792" t="s">
        <v>653</v>
      </c>
      <c r="C178" s="793">
        <v>65.12</v>
      </c>
      <c r="D178" s="794" t="s">
        <v>1801</v>
      </c>
      <c r="E178" s="831" t="s">
        <v>1750</v>
      </c>
      <c r="F178" s="831" t="s">
        <v>1750</v>
      </c>
      <c r="G178" s="832" t="s">
        <v>43</v>
      </c>
      <c r="H178" s="797">
        <v>1.55</v>
      </c>
      <c r="I178" s="798" t="s">
        <v>1796</v>
      </c>
      <c r="J178" s="833" t="s">
        <v>1750</v>
      </c>
      <c r="K178" s="833" t="s">
        <v>1750</v>
      </c>
      <c r="L178" s="834" t="s">
        <v>43</v>
      </c>
      <c r="M178" s="835" t="s">
        <v>1750</v>
      </c>
      <c r="N178" s="836" t="s">
        <v>43</v>
      </c>
      <c r="O178" s="802">
        <v>720000</v>
      </c>
      <c r="P178" s="803" t="s">
        <v>1801</v>
      </c>
      <c r="Q178" s="804">
        <v>2E-3</v>
      </c>
      <c r="R178" s="805" t="s">
        <v>1797</v>
      </c>
      <c r="S178" s="527">
        <v>3.9399999999999998E-4</v>
      </c>
      <c r="T178" s="528" t="s">
        <v>1797</v>
      </c>
    </row>
    <row r="179" spans="1:20" ht="15" customHeight="1" thickBot="1">
      <c r="A179" s="806" t="s">
        <v>654</v>
      </c>
      <c r="B179" s="807" t="s">
        <v>655</v>
      </c>
      <c r="C179" s="808">
        <v>199.01</v>
      </c>
      <c r="D179" s="809" t="s">
        <v>1801</v>
      </c>
      <c r="E179" s="823" t="s">
        <v>1750</v>
      </c>
      <c r="F179" s="823" t="s">
        <v>1750</v>
      </c>
      <c r="G179" s="824" t="s">
        <v>43</v>
      </c>
      <c r="H179" s="839" t="s">
        <v>1750</v>
      </c>
      <c r="I179" s="840" t="s">
        <v>43</v>
      </c>
      <c r="J179" s="825" t="s">
        <v>1750</v>
      </c>
      <c r="K179" s="825" t="s">
        <v>1750</v>
      </c>
      <c r="L179" s="826" t="s">
        <v>43</v>
      </c>
      <c r="M179" s="827" t="s">
        <v>1750</v>
      </c>
      <c r="N179" s="828" t="s">
        <v>43</v>
      </c>
      <c r="O179" s="829" t="s">
        <v>1750</v>
      </c>
      <c r="P179" s="830" t="s">
        <v>43</v>
      </c>
      <c r="Q179" s="819">
        <v>2E-3</v>
      </c>
      <c r="R179" s="820" t="s">
        <v>1797</v>
      </c>
      <c r="S179" s="521">
        <v>1E-3</v>
      </c>
      <c r="T179" s="522" t="s">
        <v>1797</v>
      </c>
    </row>
    <row r="180" spans="1:20" ht="15" customHeight="1">
      <c r="A180" s="791" t="s">
        <v>656</v>
      </c>
      <c r="B180" s="792" t="s">
        <v>657</v>
      </c>
      <c r="C180" s="793">
        <v>133.88999999999999</v>
      </c>
      <c r="D180" s="794" t="s">
        <v>1801</v>
      </c>
      <c r="E180" s="831" t="s">
        <v>1750</v>
      </c>
      <c r="F180" s="831" t="s">
        <v>1750</v>
      </c>
      <c r="G180" s="832" t="s">
        <v>43</v>
      </c>
      <c r="H180" s="797">
        <v>3.95</v>
      </c>
      <c r="I180" s="798" t="s">
        <v>1796</v>
      </c>
      <c r="J180" s="833" t="s">
        <v>1750</v>
      </c>
      <c r="K180" s="833" t="s">
        <v>1750</v>
      </c>
      <c r="L180" s="834" t="s">
        <v>43</v>
      </c>
      <c r="M180" s="835" t="s">
        <v>1750</v>
      </c>
      <c r="N180" s="836" t="s">
        <v>43</v>
      </c>
      <c r="O180" s="802">
        <v>23</v>
      </c>
      <c r="P180" s="803" t="s">
        <v>1801</v>
      </c>
      <c r="Q180" s="804">
        <v>1E-3</v>
      </c>
      <c r="R180" s="805" t="s">
        <v>1797</v>
      </c>
      <c r="S180" s="527">
        <v>2E-3</v>
      </c>
      <c r="T180" s="528" t="s">
        <v>1797</v>
      </c>
    </row>
    <row r="181" spans="1:20" ht="15" customHeight="1">
      <c r="A181" s="791" t="s">
        <v>658</v>
      </c>
      <c r="B181" s="792" t="s">
        <v>659</v>
      </c>
      <c r="C181" s="793">
        <v>49.008000000000003</v>
      </c>
      <c r="D181" s="794" t="s">
        <v>1801</v>
      </c>
      <c r="E181" s="831" t="s">
        <v>1750</v>
      </c>
      <c r="F181" s="831" t="s">
        <v>1750</v>
      </c>
      <c r="G181" s="832" t="s">
        <v>43</v>
      </c>
      <c r="H181" s="797">
        <v>1.6</v>
      </c>
      <c r="I181" s="798" t="s">
        <v>1796</v>
      </c>
      <c r="J181" s="833" t="s">
        <v>1750</v>
      </c>
      <c r="K181" s="833" t="s">
        <v>1750</v>
      </c>
      <c r="L181" s="834" t="s">
        <v>43</v>
      </c>
      <c r="M181" s="835" t="s">
        <v>1750</v>
      </c>
      <c r="N181" s="836" t="s">
        <v>43</v>
      </c>
      <c r="O181" s="802">
        <v>582000</v>
      </c>
      <c r="P181" s="803" t="s">
        <v>1796</v>
      </c>
      <c r="Q181" s="804">
        <v>1E-3</v>
      </c>
      <c r="R181" s="805" t="s">
        <v>1797</v>
      </c>
      <c r="S181" s="527">
        <v>2E-3</v>
      </c>
      <c r="T181" s="528" t="s">
        <v>1797</v>
      </c>
    </row>
    <row r="182" spans="1:20" ht="15" customHeight="1" thickBot="1">
      <c r="A182" s="806" t="s">
        <v>2053</v>
      </c>
      <c r="B182" s="807" t="s">
        <v>2404</v>
      </c>
      <c r="C182" s="845" t="s">
        <v>1750</v>
      </c>
      <c r="D182" s="846" t="s">
        <v>43</v>
      </c>
      <c r="E182" s="823" t="s">
        <v>1750</v>
      </c>
      <c r="F182" s="823" t="s">
        <v>1750</v>
      </c>
      <c r="G182" s="824" t="s">
        <v>43</v>
      </c>
      <c r="H182" s="839" t="s">
        <v>1750</v>
      </c>
      <c r="I182" s="840" t="s">
        <v>43</v>
      </c>
      <c r="J182" s="825" t="s">
        <v>1750</v>
      </c>
      <c r="K182" s="825" t="s">
        <v>1750</v>
      </c>
      <c r="L182" s="826" t="s">
        <v>43</v>
      </c>
      <c r="M182" s="827" t="s">
        <v>1750</v>
      </c>
      <c r="N182" s="828" t="s">
        <v>43</v>
      </c>
      <c r="O182" s="829" t="s">
        <v>1750</v>
      </c>
      <c r="P182" s="830" t="s">
        <v>43</v>
      </c>
      <c r="Q182" s="819">
        <v>1E-3</v>
      </c>
      <c r="R182" s="820" t="s">
        <v>1797</v>
      </c>
      <c r="S182" s="521">
        <v>1E-3</v>
      </c>
      <c r="T182" s="522" t="s">
        <v>1797</v>
      </c>
    </row>
    <row r="183" spans="1:20" ht="15" customHeight="1">
      <c r="A183" s="791" t="s">
        <v>2054</v>
      </c>
      <c r="B183" s="792" t="s">
        <v>660</v>
      </c>
      <c r="C183" s="793">
        <v>59.09</v>
      </c>
      <c r="D183" s="794" t="s">
        <v>1801</v>
      </c>
      <c r="E183" s="831" t="s">
        <v>1750</v>
      </c>
      <c r="F183" s="831" t="s">
        <v>1750</v>
      </c>
      <c r="G183" s="832" t="s">
        <v>43</v>
      </c>
      <c r="H183" s="797">
        <v>1.1259999999999999</v>
      </c>
      <c r="I183" s="798" t="s">
        <v>2058</v>
      </c>
      <c r="J183" s="799">
        <v>0.1214751</v>
      </c>
      <c r="K183" s="799">
        <v>1.4100000000000001E-5</v>
      </c>
      <c r="L183" s="800" t="s">
        <v>2367</v>
      </c>
      <c r="M183" s="835" t="s">
        <v>1750</v>
      </c>
      <c r="N183" s="836" t="s">
        <v>43</v>
      </c>
      <c r="O183" s="837" t="s">
        <v>1750</v>
      </c>
      <c r="P183" s="838" t="s">
        <v>43</v>
      </c>
      <c r="Q183" s="804">
        <v>1E-3</v>
      </c>
      <c r="R183" s="805" t="s">
        <v>1797</v>
      </c>
      <c r="S183" s="527">
        <v>1E-3</v>
      </c>
      <c r="T183" s="528" t="s">
        <v>1797</v>
      </c>
    </row>
    <row r="184" spans="1:20" ht="15" customHeight="1">
      <c r="A184" s="791" t="s">
        <v>661</v>
      </c>
      <c r="B184" s="792" t="s">
        <v>662</v>
      </c>
      <c r="C184" s="793">
        <v>117.41</v>
      </c>
      <c r="D184" s="794" t="s">
        <v>1801</v>
      </c>
      <c r="E184" s="831" t="s">
        <v>1750</v>
      </c>
      <c r="F184" s="831" t="s">
        <v>1750</v>
      </c>
      <c r="G184" s="832" t="s">
        <v>43</v>
      </c>
      <c r="H184" s="797">
        <v>1.8520000000000001</v>
      </c>
      <c r="I184" s="798" t="s">
        <v>1796</v>
      </c>
      <c r="J184" s="833" t="s">
        <v>1750</v>
      </c>
      <c r="K184" s="833" t="s">
        <v>1750</v>
      </c>
      <c r="L184" s="834" t="s">
        <v>43</v>
      </c>
      <c r="M184" s="835" t="s">
        <v>1750</v>
      </c>
      <c r="N184" s="836" t="s">
        <v>43</v>
      </c>
      <c r="O184" s="802">
        <v>4.7</v>
      </c>
      <c r="P184" s="803" t="s">
        <v>1796</v>
      </c>
      <c r="Q184" s="804">
        <v>5.9999999999999995E-4</v>
      </c>
      <c r="R184" s="805" t="s">
        <v>1797</v>
      </c>
      <c r="S184" s="527">
        <v>1E-3</v>
      </c>
      <c r="T184" s="528" t="s">
        <v>1797</v>
      </c>
    </row>
    <row r="185" spans="1:20" ht="15" customHeight="1" thickBot="1">
      <c r="A185" s="806" t="s">
        <v>663</v>
      </c>
      <c r="B185" s="807" t="s">
        <v>664</v>
      </c>
      <c r="C185" s="808">
        <v>84.162999999999997</v>
      </c>
      <c r="D185" s="809" t="s">
        <v>1801</v>
      </c>
      <c r="E185" s="810">
        <v>6.1324611999999998</v>
      </c>
      <c r="F185" s="810">
        <v>0.15</v>
      </c>
      <c r="G185" s="811" t="s">
        <v>1801</v>
      </c>
      <c r="H185" s="812">
        <v>0.77390000000000003</v>
      </c>
      <c r="I185" s="813" t="s">
        <v>1796</v>
      </c>
      <c r="J185" s="814">
        <v>7.99729E-2</v>
      </c>
      <c r="K185" s="814">
        <v>9.1076999999999992E-6</v>
      </c>
      <c r="L185" s="815" t="s">
        <v>2367</v>
      </c>
      <c r="M185" s="816">
        <v>145.80000000000001</v>
      </c>
      <c r="N185" s="816" t="s">
        <v>414</v>
      </c>
      <c r="O185" s="817">
        <v>55</v>
      </c>
      <c r="P185" s="818" t="s">
        <v>1801</v>
      </c>
      <c r="Q185" s="819">
        <v>0.10199999999999999</v>
      </c>
      <c r="R185" s="820" t="s">
        <v>414</v>
      </c>
      <c r="S185" s="521">
        <v>1E-3</v>
      </c>
      <c r="T185" s="522" t="s">
        <v>1797</v>
      </c>
    </row>
    <row r="186" spans="1:20" ht="15" customHeight="1">
      <c r="A186" s="791" t="s">
        <v>665</v>
      </c>
      <c r="B186" s="792" t="s">
        <v>666</v>
      </c>
      <c r="C186" s="793">
        <v>513.09</v>
      </c>
      <c r="D186" s="794" t="s">
        <v>1801</v>
      </c>
      <c r="E186" s="795">
        <v>3.9199999999999997E-5</v>
      </c>
      <c r="F186" s="795">
        <v>9.5900000000000005E-7</v>
      </c>
      <c r="G186" s="796" t="s">
        <v>1801</v>
      </c>
      <c r="H186" s="821" t="s">
        <v>1750</v>
      </c>
      <c r="I186" s="822" t="s">
        <v>43</v>
      </c>
      <c r="J186" s="799">
        <v>2.9645399999999999E-2</v>
      </c>
      <c r="K186" s="799">
        <v>3.4638000000000002E-6</v>
      </c>
      <c r="L186" s="800" t="s">
        <v>2367</v>
      </c>
      <c r="M186" s="801">
        <v>2807</v>
      </c>
      <c r="N186" s="801" t="s">
        <v>414</v>
      </c>
      <c r="O186" s="802">
        <v>5.4960000000000002E-2</v>
      </c>
      <c r="P186" s="803" t="s">
        <v>1801</v>
      </c>
      <c r="Q186" s="804">
        <v>2.8300000000000001E-3</v>
      </c>
      <c r="R186" s="805" t="s">
        <v>414</v>
      </c>
      <c r="S186" s="527">
        <v>5.9999999999999995E-4</v>
      </c>
      <c r="T186" s="528" t="s">
        <v>1797</v>
      </c>
    </row>
    <row r="187" spans="1:20" ht="15" customHeight="1">
      <c r="A187" s="791" t="s">
        <v>667</v>
      </c>
      <c r="B187" s="792" t="s">
        <v>668</v>
      </c>
      <c r="C187" s="793">
        <v>98.146000000000001</v>
      </c>
      <c r="D187" s="794" t="s">
        <v>1801</v>
      </c>
      <c r="E187" s="795">
        <v>3.679E-4</v>
      </c>
      <c r="F187" s="795">
        <v>9.0000000000000002E-6</v>
      </c>
      <c r="G187" s="796" t="s">
        <v>1801</v>
      </c>
      <c r="H187" s="797">
        <v>0.94779999999999998</v>
      </c>
      <c r="I187" s="798" t="s">
        <v>1796</v>
      </c>
      <c r="J187" s="799">
        <v>7.6759900000000006E-2</v>
      </c>
      <c r="K187" s="799">
        <v>9.3795000000000006E-6</v>
      </c>
      <c r="L187" s="800" t="s">
        <v>2367</v>
      </c>
      <c r="M187" s="801">
        <v>17.38</v>
      </c>
      <c r="N187" s="801" t="s">
        <v>414</v>
      </c>
      <c r="O187" s="802">
        <v>25000</v>
      </c>
      <c r="P187" s="803" t="s">
        <v>1801</v>
      </c>
      <c r="Q187" s="804">
        <v>1.5200000000000001E-3</v>
      </c>
      <c r="R187" s="805" t="s">
        <v>414</v>
      </c>
      <c r="S187" s="527">
        <v>0.10199999999999999</v>
      </c>
      <c r="T187" s="528" t="s">
        <v>414</v>
      </c>
    </row>
    <row r="188" spans="1:20" ht="15" customHeight="1" thickBot="1">
      <c r="A188" s="806" t="s">
        <v>1817</v>
      </c>
      <c r="B188" s="807" t="s">
        <v>1818</v>
      </c>
      <c r="C188" s="808">
        <v>82.147000000000006</v>
      </c>
      <c r="D188" s="809" t="s">
        <v>1801</v>
      </c>
      <c r="E188" s="810">
        <v>1.8601799000000001</v>
      </c>
      <c r="F188" s="810">
        <v>4.5499999999999999E-2</v>
      </c>
      <c r="G188" s="811" t="s">
        <v>1801</v>
      </c>
      <c r="H188" s="812">
        <v>0.81</v>
      </c>
      <c r="I188" s="813" t="s">
        <v>2170</v>
      </c>
      <c r="J188" s="814">
        <v>8.31876E-2</v>
      </c>
      <c r="K188" s="814">
        <v>9.4975000000000001E-6</v>
      </c>
      <c r="L188" s="815" t="s">
        <v>2367</v>
      </c>
      <c r="M188" s="816">
        <v>145.80000000000001</v>
      </c>
      <c r="N188" s="816" t="s">
        <v>414</v>
      </c>
      <c r="O188" s="817">
        <v>213</v>
      </c>
      <c r="P188" s="818" t="s">
        <v>1801</v>
      </c>
      <c r="Q188" s="819">
        <v>4.3099999999999999E-2</v>
      </c>
      <c r="R188" s="820" t="s">
        <v>414</v>
      </c>
      <c r="S188" s="521">
        <v>2.8300000000000001E-3</v>
      </c>
      <c r="T188" s="522" t="s">
        <v>414</v>
      </c>
    </row>
    <row r="189" spans="1:20" ht="15" customHeight="1">
      <c r="A189" s="791" t="s">
        <v>669</v>
      </c>
      <c r="B189" s="792" t="s">
        <v>670</v>
      </c>
      <c r="C189" s="793">
        <v>99.177000000000007</v>
      </c>
      <c r="D189" s="794" t="s">
        <v>1801</v>
      </c>
      <c r="E189" s="795">
        <v>1.7009999999999999E-4</v>
      </c>
      <c r="F189" s="795">
        <v>4.16E-6</v>
      </c>
      <c r="G189" s="796" t="s">
        <v>1801</v>
      </c>
      <c r="H189" s="797">
        <v>0.81910000000000005</v>
      </c>
      <c r="I189" s="798" t="s">
        <v>1796</v>
      </c>
      <c r="J189" s="799">
        <v>7.1294499999999997E-2</v>
      </c>
      <c r="K189" s="799">
        <v>8.5393999999999999E-6</v>
      </c>
      <c r="L189" s="800" t="s">
        <v>2367</v>
      </c>
      <c r="M189" s="801">
        <v>32.17</v>
      </c>
      <c r="N189" s="801" t="s">
        <v>414</v>
      </c>
      <c r="O189" s="802">
        <v>1000000</v>
      </c>
      <c r="P189" s="803" t="s">
        <v>1801</v>
      </c>
      <c r="Q189" s="804">
        <v>4.2500000000000003E-3</v>
      </c>
      <c r="R189" s="805" t="s">
        <v>414</v>
      </c>
      <c r="S189" s="527">
        <v>1.5200000000000001E-3</v>
      </c>
      <c r="T189" s="528" t="s">
        <v>414</v>
      </c>
    </row>
    <row r="190" spans="1:20" ht="15" customHeight="1">
      <c r="A190" s="791" t="s">
        <v>2217</v>
      </c>
      <c r="B190" s="792" t="s">
        <v>440</v>
      </c>
      <c r="C190" s="793">
        <v>434.3</v>
      </c>
      <c r="D190" s="794" t="s">
        <v>1801</v>
      </c>
      <c r="E190" s="795">
        <v>1.1855999999999999E-6</v>
      </c>
      <c r="F190" s="795">
        <v>2.9000000000000002E-8</v>
      </c>
      <c r="G190" s="796" t="s">
        <v>414</v>
      </c>
      <c r="H190" s="821" t="s">
        <v>1750</v>
      </c>
      <c r="I190" s="822" t="s">
        <v>43</v>
      </c>
      <c r="J190" s="799">
        <v>3.3130399999999997E-2</v>
      </c>
      <c r="K190" s="799">
        <v>3.8709999999999999E-6</v>
      </c>
      <c r="L190" s="800" t="s">
        <v>2367</v>
      </c>
      <c r="M190" s="801">
        <v>130600</v>
      </c>
      <c r="N190" s="801" t="s">
        <v>414</v>
      </c>
      <c r="O190" s="802">
        <v>3.0000000000000001E-3</v>
      </c>
      <c r="P190" s="803" t="s">
        <v>1801</v>
      </c>
      <c r="Q190" s="804">
        <v>5.1499999999999997E-2</v>
      </c>
      <c r="R190" s="805" t="s">
        <v>414</v>
      </c>
      <c r="S190" s="527">
        <v>4.3099999999999999E-2</v>
      </c>
      <c r="T190" s="528" t="s">
        <v>414</v>
      </c>
    </row>
    <row r="191" spans="1:20" ht="15" customHeight="1" thickBot="1">
      <c r="A191" s="806" t="s">
        <v>2218</v>
      </c>
      <c r="B191" s="807" t="s">
        <v>671</v>
      </c>
      <c r="C191" s="808">
        <v>449.86</v>
      </c>
      <c r="D191" s="809" t="s">
        <v>1801</v>
      </c>
      <c r="E191" s="810">
        <v>6.05E-5</v>
      </c>
      <c r="F191" s="810">
        <v>1.48E-6</v>
      </c>
      <c r="G191" s="811" t="s">
        <v>414</v>
      </c>
      <c r="H191" s="839" t="s">
        <v>1750</v>
      </c>
      <c r="I191" s="840" t="s">
        <v>43</v>
      </c>
      <c r="J191" s="814">
        <v>3.2362000000000002E-2</v>
      </c>
      <c r="K191" s="814">
        <v>3.7811999999999999E-6</v>
      </c>
      <c r="L191" s="815" t="s">
        <v>2367</v>
      </c>
      <c r="M191" s="816">
        <v>341300</v>
      </c>
      <c r="N191" s="816" t="s">
        <v>414</v>
      </c>
      <c r="O191" s="817">
        <v>5.0000000000000001E-3</v>
      </c>
      <c r="P191" s="818" t="s">
        <v>1801</v>
      </c>
      <c r="Q191" s="819">
        <v>0.21</v>
      </c>
      <c r="R191" s="820" t="s">
        <v>414</v>
      </c>
      <c r="S191" s="521">
        <v>4.2500000000000003E-3</v>
      </c>
      <c r="T191" s="522" t="s">
        <v>414</v>
      </c>
    </row>
    <row r="192" spans="1:20" ht="15" customHeight="1">
      <c r="A192" s="791" t="s">
        <v>672</v>
      </c>
      <c r="B192" s="792" t="s">
        <v>673</v>
      </c>
      <c r="C192" s="793">
        <v>416.31</v>
      </c>
      <c r="D192" s="794" t="s">
        <v>1801</v>
      </c>
      <c r="E192" s="795">
        <v>1.7200000000000001E-5</v>
      </c>
      <c r="F192" s="795">
        <v>4.2E-7</v>
      </c>
      <c r="G192" s="796" t="s">
        <v>414</v>
      </c>
      <c r="H192" s="797">
        <v>1.25</v>
      </c>
      <c r="I192" s="798" t="s">
        <v>1796</v>
      </c>
      <c r="J192" s="799">
        <v>1.8904600000000001E-2</v>
      </c>
      <c r="K192" s="799">
        <v>4.6534000000000002E-6</v>
      </c>
      <c r="L192" s="800" t="s">
        <v>2367</v>
      </c>
      <c r="M192" s="801">
        <v>79750</v>
      </c>
      <c r="N192" s="801" t="s">
        <v>414</v>
      </c>
      <c r="O192" s="802">
        <v>4.0000000000000001E-3</v>
      </c>
      <c r="P192" s="803" t="s">
        <v>1801</v>
      </c>
      <c r="Q192" s="804">
        <v>7.6899999999999996E-2</v>
      </c>
      <c r="R192" s="805" t="s">
        <v>414</v>
      </c>
      <c r="S192" s="527">
        <v>0.21</v>
      </c>
      <c r="T192" s="528" t="s">
        <v>414</v>
      </c>
    </row>
    <row r="193" spans="1:20" ht="15" customHeight="1">
      <c r="A193" s="791" t="s">
        <v>674</v>
      </c>
      <c r="B193" s="792" t="s">
        <v>675</v>
      </c>
      <c r="C193" s="793">
        <v>166.19</v>
      </c>
      <c r="D193" s="794" t="s">
        <v>1801</v>
      </c>
      <c r="E193" s="795">
        <v>2.3100000000000001E-12</v>
      </c>
      <c r="F193" s="795">
        <v>5.6499999999999999E-14</v>
      </c>
      <c r="G193" s="796" t="s">
        <v>414</v>
      </c>
      <c r="H193" s="821" t="s">
        <v>1750</v>
      </c>
      <c r="I193" s="822" t="s">
        <v>43</v>
      </c>
      <c r="J193" s="799">
        <v>6.2856499999999996E-2</v>
      </c>
      <c r="K193" s="799">
        <v>7.3443000000000001E-6</v>
      </c>
      <c r="L193" s="800" t="s">
        <v>2367</v>
      </c>
      <c r="M193" s="801">
        <v>28.73</v>
      </c>
      <c r="N193" s="801" t="s">
        <v>414</v>
      </c>
      <c r="O193" s="802">
        <v>13000</v>
      </c>
      <c r="P193" s="803" t="s">
        <v>1801</v>
      </c>
      <c r="Q193" s="804">
        <v>7.9699999999999997E-4</v>
      </c>
      <c r="R193" s="805" t="s">
        <v>414</v>
      </c>
      <c r="S193" s="527">
        <v>7.6899999999999996E-2</v>
      </c>
      <c r="T193" s="528" t="s">
        <v>414</v>
      </c>
    </row>
    <row r="194" spans="1:20" ht="15" customHeight="1" thickBot="1">
      <c r="A194" s="806" t="s">
        <v>676</v>
      </c>
      <c r="B194" s="807" t="s">
        <v>677</v>
      </c>
      <c r="C194" s="808">
        <v>320.05</v>
      </c>
      <c r="D194" s="809" t="s">
        <v>1801</v>
      </c>
      <c r="E194" s="810">
        <v>2.698E-4</v>
      </c>
      <c r="F194" s="810">
        <v>6.6000000000000003E-6</v>
      </c>
      <c r="G194" s="811" t="s">
        <v>1801</v>
      </c>
      <c r="H194" s="839" t="s">
        <v>1750</v>
      </c>
      <c r="I194" s="840" t="s">
        <v>43</v>
      </c>
      <c r="J194" s="814">
        <v>4.0607699999999997E-2</v>
      </c>
      <c r="K194" s="814">
        <v>4.7446999999999997E-6</v>
      </c>
      <c r="L194" s="815" t="s">
        <v>2367</v>
      </c>
      <c r="M194" s="816">
        <v>117500</v>
      </c>
      <c r="N194" s="816" t="s">
        <v>414</v>
      </c>
      <c r="O194" s="817">
        <v>0.09</v>
      </c>
      <c r="P194" s="818" t="s">
        <v>1801</v>
      </c>
      <c r="Q194" s="819">
        <v>0.251</v>
      </c>
      <c r="R194" s="820" t="s">
        <v>414</v>
      </c>
      <c r="S194" s="521">
        <v>7.9699999999999997E-4</v>
      </c>
      <c r="T194" s="522" t="s">
        <v>414</v>
      </c>
    </row>
    <row r="195" spans="1:20" ht="15" customHeight="1">
      <c r="A195" s="791" t="s">
        <v>678</v>
      </c>
      <c r="B195" s="792" t="s">
        <v>679</v>
      </c>
      <c r="C195" s="793">
        <v>318.02999999999997</v>
      </c>
      <c r="D195" s="794" t="s">
        <v>1801</v>
      </c>
      <c r="E195" s="795">
        <v>1.7007000000000001E-3</v>
      </c>
      <c r="F195" s="795">
        <v>4.1600000000000002E-5</v>
      </c>
      <c r="G195" s="796" t="s">
        <v>1801</v>
      </c>
      <c r="H195" s="797">
        <v>1.4019999999999999</v>
      </c>
      <c r="I195" s="798" t="s">
        <v>2400</v>
      </c>
      <c r="J195" s="799">
        <v>2.29959E-2</v>
      </c>
      <c r="K195" s="799">
        <v>5.8591999999999997E-6</v>
      </c>
      <c r="L195" s="800" t="s">
        <v>2367</v>
      </c>
      <c r="M195" s="801">
        <v>117500</v>
      </c>
      <c r="N195" s="801" t="s">
        <v>414</v>
      </c>
      <c r="O195" s="802">
        <v>0.04</v>
      </c>
      <c r="P195" s="803" t="s">
        <v>1801</v>
      </c>
      <c r="Q195" s="804">
        <v>0.54500000000000004</v>
      </c>
      <c r="R195" s="805" t="s">
        <v>414</v>
      </c>
      <c r="S195" s="527">
        <v>0.251</v>
      </c>
      <c r="T195" s="528" t="s">
        <v>414</v>
      </c>
    </row>
    <row r="196" spans="1:20" ht="15" customHeight="1">
      <c r="A196" s="791" t="s">
        <v>680</v>
      </c>
      <c r="B196" s="792" t="s">
        <v>681</v>
      </c>
      <c r="C196" s="793">
        <v>354.49</v>
      </c>
      <c r="D196" s="794" t="s">
        <v>1801</v>
      </c>
      <c r="E196" s="795">
        <v>3.4010000000000003E-4</v>
      </c>
      <c r="F196" s="795">
        <v>8.32E-6</v>
      </c>
      <c r="G196" s="796" t="s">
        <v>1801</v>
      </c>
      <c r="H196" s="821" t="s">
        <v>1750</v>
      </c>
      <c r="I196" s="822" t="s">
        <v>43</v>
      </c>
      <c r="J196" s="799">
        <v>3.7933000000000001E-2</v>
      </c>
      <c r="K196" s="799">
        <v>4.4321999999999997E-6</v>
      </c>
      <c r="L196" s="800" t="s">
        <v>2367</v>
      </c>
      <c r="M196" s="801">
        <v>168600</v>
      </c>
      <c r="N196" s="801" t="s">
        <v>414</v>
      </c>
      <c r="O196" s="802">
        <v>5.4999999999999997E-3</v>
      </c>
      <c r="P196" s="803" t="s">
        <v>1801</v>
      </c>
      <c r="Q196" s="804">
        <v>0.628</v>
      </c>
      <c r="R196" s="805" t="s">
        <v>414</v>
      </c>
      <c r="S196" s="527">
        <v>0.54500000000000004</v>
      </c>
      <c r="T196" s="528" t="s">
        <v>414</v>
      </c>
    </row>
    <row r="197" spans="1:20" ht="15" customHeight="1" thickBot="1">
      <c r="A197" s="806" t="s">
        <v>683</v>
      </c>
      <c r="B197" s="807" t="s">
        <v>684</v>
      </c>
      <c r="C197" s="808">
        <v>142.97</v>
      </c>
      <c r="D197" s="809" t="s">
        <v>1801</v>
      </c>
      <c r="E197" s="810">
        <v>2.3140000000000002E-6</v>
      </c>
      <c r="F197" s="810">
        <v>5.6599999999999997E-8</v>
      </c>
      <c r="G197" s="811" t="s">
        <v>414</v>
      </c>
      <c r="H197" s="812">
        <v>1.389</v>
      </c>
      <c r="I197" s="813" t="s">
        <v>1796</v>
      </c>
      <c r="J197" s="814">
        <v>6.0081299999999997E-2</v>
      </c>
      <c r="K197" s="814">
        <v>9.4134000000000004E-6</v>
      </c>
      <c r="L197" s="815" t="s">
        <v>2367</v>
      </c>
      <c r="M197" s="816">
        <v>3.2309999999999999</v>
      </c>
      <c r="N197" s="816" t="s">
        <v>414</v>
      </c>
      <c r="O197" s="817">
        <v>502000</v>
      </c>
      <c r="P197" s="818" t="s">
        <v>1801</v>
      </c>
      <c r="Q197" s="819">
        <v>8.1499999999999997E-4</v>
      </c>
      <c r="R197" s="820" t="s">
        <v>414</v>
      </c>
      <c r="S197" s="521">
        <v>0.628</v>
      </c>
      <c r="T197" s="522" t="s">
        <v>414</v>
      </c>
    </row>
    <row r="198" spans="1:20" ht="15" customHeight="1">
      <c r="A198" s="791" t="s">
        <v>2219</v>
      </c>
      <c r="B198" s="792" t="s">
        <v>355</v>
      </c>
      <c r="C198" s="793">
        <v>160.16999999999999</v>
      </c>
      <c r="D198" s="794" t="s">
        <v>1801</v>
      </c>
      <c r="E198" s="795">
        <v>1.7293999999999999E-8</v>
      </c>
      <c r="F198" s="795">
        <v>4.2299999999999999E-10</v>
      </c>
      <c r="G198" s="796" t="s">
        <v>414</v>
      </c>
      <c r="H198" s="821" t="s">
        <v>1750</v>
      </c>
      <c r="I198" s="822" t="s">
        <v>43</v>
      </c>
      <c r="J198" s="799">
        <v>6.4421800000000001E-2</v>
      </c>
      <c r="K198" s="799">
        <v>7.5271999999999997E-6</v>
      </c>
      <c r="L198" s="800" t="s">
        <v>2367</v>
      </c>
      <c r="M198" s="801">
        <v>10</v>
      </c>
      <c r="N198" s="801" t="s">
        <v>414</v>
      </c>
      <c r="O198" s="802">
        <v>100000</v>
      </c>
      <c r="P198" s="803" t="s">
        <v>1801</v>
      </c>
      <c r="Q198" s="804">
        <v>1.9899999999999999E-5</v>
      </c>
      <c r="R198" s="805" t="s">
        <v>414</v>
      </c>
      <c r="S198" s="527">
        <v>1.4999999999999999E-2</v>
      </c>
      <c r="T198" s="528" t="s">
        <v>414</v>
      </c>
    </row>
    <row r="199" spans="1:20" ht="15" customHeight="1">
      <c r="A199" s="791" t="s">
        <v>685</v>
      </c>
      <c r="B199" s="792" t="s">
        <v>686</v>
      </c>
      <c r="C199" s="793">
        <v>959.17</v>
      </c>
      <c r="D199" s="794" t="s">
        <v>1801</v>
      </c>
      <c r="E199" s="795">
        <v>4.8650999999999998E-7</v>
      </c>
      <c r="F199" s="795">
        <v>1.1900000000000001E-8</v>
      </c>
      <c r="G199" s="796" t="s">
        <v>1801</v>
      </c>
      <c r="H199" s="797">
        <v>3</v>
      </c>
      <c r="I199" s="798" t="s">
        <v>2405</v>
      </c>
      <c r="J199" s="799">
        <v>1.8924099999999999E-2</v>
      </c>
      <c r="K199" s="799">
        <v>4.7688E-6</v>
      </c>
      <c r="L199" s="800" t="s">
        <v>2367</v>
      </c>
      <c r="M199" s="801">
        <v>276200</v>
      </c>
      <c r="N199" s="801" t="s">
        <v>414</v>
      </c>
      <c r="O199" s="802">
        <v>1E-4</v>
      </c>
      <c r="P199" s="803" t="s">
        <v>1801</v>
      </c>
      <c r="Q199" s="804">
        <v>0.72499999999999998</v>
      </c>
      <c r="R199" s="805" t="s">
        <v>414</v>
      </c>
      <c r="S199" s="527">
        <v>8.1499999999999997E-4</v>
      </c>
      <c r="T199" s="528" t="s">
        <v>414</v>
      </c>
    </row>
    <row r="200" spans="1:20" ht="15" customHeight="1" thickBot="1">
      <c r="A200" s="806" t="s">
        <v>687</v>
      </c>
      <c r="B200" s="807" t="s">
        <v>688</v>
      </c>
      <c r="C200" s="808">
        <v>516.67999999999995</v>
      </c>
      <c r="D200" s="809" t="s">
        <v>1801</v>
      </c>
      <c r="E200" s="810">
        <v>1.562E-4</v>
      </c>
      <c r="F200" s="810">
        <v>3.8199999999999998E-6</v>
      </c>
      <c r="G200" s="811" t="s">
        <v>1801</v>
      </c>
      <c r="H200" s="812">
        <v>1.1200000000000001</v>
      </c>
      <c r="I200" s="813" t="s">
        <v>2168</v>
      </c>
      <c r="J200" s="814">
        <v>1.5964200000000001E-2</v>
      </c>
      <c r="K200" s="814">
        <v>3.8271000000000002E-6</v>
      </c>
      <c r="L200" s="815" t="s">
        <v>2367</v>
      </c>
      <c r="M200" s="827" t="s">
        <v>1750</v>
      </c>
      <c r="N200" s="828" t="s">
        <v>43</v>
      </c>
      <c r="O200" s="817">
        <v>666</v>
      </c>
      <c r="P200" s="818" t="s">
        <v>1801</v>
      </c>
      <c r="Q200" s="819">
        <v>7.5598000000000002E-3</v>
      </c>
      <c r="R200" s="820" t="s">
        <v>1797</v>
      </c>
      <c r="S200" s="521">
        <v>0.72499999999999998</v>
      </c>
      <c r="T200" s="522" t="s">
        <v>414</v>
      </c>
    </row>
    <row r="201" spans="1:20" ht="15" customHeight="1">
      <c r="A201" s="791" t="s">
        <v>689</v>
      </c>
      <c r="B201" s="792" t="s">
        <v>690</v>
      </c>
      <c r="C201" s="793">
        <v>370.58</v>
      </c>
      <c r="D201" s="794" t="s">
        <v>1801</v>
      </c>
      <c r="E201" s="795">
        <v>1.77E-5</v>
      </c>
      <c r="F201" s="795">
        <v>4.34E-7</v>
      </c>
      <c r="G201" s="796" t="s">
        <v>1801</v>
      </c>
      <c r="H201" s="797">
        <v>0.92200000000000004</v>
      </c>
      <c r="I201" s="798" t="s">
        <v>1796</v>
      </c>
      <c r="J201" s="799">
        <v>1.7290799999999999E-2</v>
      </c>
      <c r="K201" s="799">
        <v>4.1570000000000002E-6</v>
      </c>
      <c r="L201" s="800" t="s">
        <v>2367</v>
      </c>
      <c r="M201" s="801">
        <v>36000</v>
      </c>
      <c r="N201" s="801" t="s">
        <v>414</v>
      </c>
      <c r="O201" s="802">
        <v>0.78</v>
      </c>
      <c r="P201" s="803" t="s">
        <v>1801</v>
      </c>
      <c r="Q201" s="804">
        <v>3.23</v>
      </c>
      <c r="R201" s="805" t="s">
        <v>414</v>
      </c>
      <c r="S201" s="527">
        <v>7.6099999999999996E-3</v>
      </c>
      <c r="T201" s="528" t="s">
        <v>414</v>
      </c>
    </row>
    <row r="202" spans="1:20" ht="15" customHeight="1">
      <c r="A202" s="791" t="s">
        <v>691</v>
      </c>
      <c r="B202" s="792" t="s">
        <v>692</v>
      </c>
      <c r="C202" s="793">
        <v>270.22000000000003</v>
      </c>
      <c r="D202" s="794" t="s">
        <v>1801</v>
      </c>
      <c r="E202" s="795">
        <v>1.5540000000000001E-4</v>
      </c>
      <c r="F202" s="795">
        <v>3.8E-6</v>
      </c>
      <c r="G202" s="796" t="s">
        <v>414</v>
      </c>
      <c r="H202" s="821" t="s">
        <v>1750</v>
      </c>
      <c r="I202" s="822" t="s">
        <v>43</v>
      </c>
      <c r="J202" s="799">
        <v>4.54578E-2</v>
      </c>
      <c r="K202" s="799">
        <v>5.3113999999999997E-6</v>
      </c>
      <c r="L202" s="800" t="s">
        <v>2367</v>
      </c>
      <c r="M202" s="801">
        <v>644.29999999999995</v>
      </c>
      <c r="N202" s="801" t="s">
        <v>414</v>
      </c>
      <c r="O202" s="802">
        <v>14</v>
      </c>
      <c r="P202" s="803" t="s">
        <v>1801</v>
      </c>
      <c r="Q202" s="804">
        <v>4.5999999999999999E-2</v>
      </c>
      <c r="R202" s="805" t="s">
        <v>414</v>
      </c>
      <c r="S202" s="527">
        <v>3.23</v>
      </c>
      <c r="T202" s="528" t="s">
        <v>414</v>
      </c>
    </row>
    <row r="203" spans="1:20" ht="15" customHeight="1" thickBot="1">
      <c r="A203" s="806" t="s">
        <v>693</v>
      </c>
      <c r="B203" s="807" t="s">
        <v>694</v>
      </c>
      <c r="C203" s="808">
        <v>304.35000000000002</v>
      </c>
      <c r="D203" s="809" t="s">
        <v>1801</v>
      </c>
      <c r="E203" s="810">
        <v>4.6198000000000002E-6</v>
      </c>
      <c r="F203" s="810">
        <v>1.1300000000000001E-7</v>
      </c>
      <c r="G203" s="811" t="s">
        <v>1801</v>
      </c>
      <c r="H203" s="812">
        <v>1.1088</v>
      </c>
      <c r="I203" s="813" t="s">
        <v>1796</v>
      </c>
      <c r="J203" s="814">
        <v>2.1026400000000001E-2</v>
      </c>
      <c r="K203" s="814">
        <v>5.2259000000000002E-6</v>
      </c>
      <c r="L203" s="815" t="s">
        <v>2367</v>
      </c>
      <c r="M203" s="816">
        <v>3034</v>
      </c>
      <c r="N203" s="816" t="s">
        <v>414</v>
      </c>
      <c r="O203" s="817">
        <v>40</v>
      </c>
      <c r="P203" s="818" t="s">
        <v>1801</v>
      </c>
      <c r="Q203" s="819">
        <v>1.04E-2</v>
      </c>
      <c r="R203" s="820" t="s">
        <v>414</v>
      </c>
      <c r="S203" s="521">
        <v>4.5999999999999999E-2</v>
      </c>
      <c r="T203" s="522" t="s">
        <v>414</v>
      </c>
    </row>
    <row r="204" spans="1:20" ht="15" customHeight="1">
      <c r="A204" s="791" t="s">
        <v>2108</v>
      </c>
      <c r="B204" s="792" t="s">
        <v>2109</v>
      </c>
      <c r="C204" s="793">
        <v>184.26</v>
      </c>
      <c r="D204" s="794" t="s">
        <v>1801</v>
      </c>
      <c r="E204" s="795">
        <v>1.3818000000000001E-3</v>
      </c>
      <c r="F204" s="795">
        <v>3.3800000000000002E-5</v>
      </c>
      <c r="G204" s="796" t="s">
        <v>414</v>
      </c>
      <c r="H204" s="797">
        <v>1.252</v>
      </c>
      <c r="I204" s="798" t="s">
        <v>2399</v>
      </c>
      <c r="J204" s="799">
        <v>3.5547500000000003E-2</v>
      </c>
      <c r="K204" s="799">
        <v>7.5958000000000002E-6</v>
      </c>
      <c r="L204" s="800" t="s">
        <v>2367</v>
      </c>
      <c r="M204" s="801">
        <v>9161</v>
      </c>
      <c r="N204" s="801" t="s">
        <v>414</v>
      </c>
      <c r="O204" s="802">
        <v>1.47</v>
      </c>
      <c r="P204" s="803" t="s">
        <v>1801</v>
      </c>
      <c r="Q204" s="804">
        <v>0.11799999999999999</v>
      </c>
      <c r="R204" s="805" t="s">
        <v>414</v>
      </c>
      <c r="S204" s="527">
        <v>1.04E-2</v>
      </c>
      <c r="T204" s="528" t="s">
        <v>414</v>
      </c>
    </row>
    <row r="205" spans="1:20" ht="15" customHeight="1">
      <c r="A205" s="791" t="s">
        <v>695</v>
      </c>
      <c r="B205" s="792" t="s">
        <v>696</v>
      </c>
      <c r="C205" s="793">
        <v>236.33</v>
      </c>
      <c r="D205" s="794" t="s">
        <v>1801</v>
      </c>
      <c r="E205" s="795">
        <v>6.0098E-3</v>
      </c>
      <c r="F205" s="795">
        <v>1.47E-4</v>
      </c>
      <c r="G205" s="796" t="s">
        <v>414</v>
      </c>
      <c r="H205" s="797">
        <v>2.093</v>
      </c>
      <c r="I205" s="798" t="s">
        <v>1796</v>
      </c>
      <c r="J205" s="799">
        <v>3.21351E-2</v>
      </c>
      <c r="K205" s="799">
        <v>8.9047999999999999E-6</v>
      </c>
      <c r="L205" s="800" t="s">
        <v>2367</v>
      </c>
      <c r="M205" s="801">
        <v>115.8</v>
      </c>
      <c r="N205" s="801" t="s">
        <v>414</v>
      </c>
      <c r="O205" s="802">
        <v>1230</v>
      </c>
      <c r="P205" s="803" t="s">
        <v>1801</v>
      </c>
      <c r="Q205" s="804">
        <v>6.8500000000000002E-3</v>
      </c>
      <c r="R205" s="805" t="s">
        <v>414</v>
      </c>
      <c r="S205" s="527">
        <v>0.11799999999999999</v>
      </c>
      <c r="T205" s="528" t="s">
        <v>414</v>
      </c>
    </row>
    <row r="206" spans="1:20" ht="15" customHeight="1" thickBot="1">
      <c r="A206" s="806" t="s">
        <v>2157</v>
      </c>
      <c r="B206" s="807" t="s">
        <v>2163</v>
      </c>
      <c r="C206" s="808">
        <v>235.91</v>
      </c>
      <c r="D206" s="809" t="s">
        <v>1801</v>
      </c>
      <c r="E206" s="810">
        <v>5.0700000000000002E-2</v>
      </c>
      <c r="F206" s="810">
        <v>1.24E-3</v>
      </c>
      <c r="G206" s="811" t="s">
        <v>414</v>
      </c>
      <c r="H206" s="812">
        <v>1.9523200000000001</v>
      </c>
      <c r="I206" s="813" t="s">
        <v>1796</v>
      </c>
      <c r="J206" s="814">
        <v>3.1185399999999999E-2</v>
      </c>
      <c r="K206" s="814">
        <v>8.5498000000000007E-6</v>
      </c>
      <c r="L206" s="815" t="s">
        <v>2367</v>
      </c>
      <c r="M206" s="816">
        <v>375.3</v>
      </c>
      <c r="N206" s="816" t="s">
        <v>414</v>
      </c>
      <c r="O206" s="817">
        <v>67.5</v>
      </c>
      <c r="P206" s="818" t="s">
        <v>1801</v>
      </c>
      <c r="Q206" s="819">
        <v>2.3099999999999999E-2</v>
      </c>
      <c r="R206" s="820" t="s">
        <v>414</v>
      </c>
      <c r="S206" s="521">
        <v>6.8500000000000002E-3</v>
      </c>
      <c r="T206" s="522" t="s">
        <v>414</v>
      </c>
    </row>
    <row r="207" spans="1:20" ht="15" customHeight="1">
      <c r="A207" s="791" t="s">
        <v>697</v>
      </c>
      <c r="B207" s="792" t="s">
        <v>698</v>
      </c>
      <c r="C207" s="793">
        <v>235.91</v>
      </c>
      <c r="D207" s="794" t="s">
        <v>1801</v>
      </c>
      <c r="E207" s="795">
        <v>3.6508600000000002E-2</v>
      </c>
      <c r="F207" s="795">
        <v>8.9300000000000002E-4</v>
      </c>
      <c r="G207" s="796" t="s">
        <v>414</v>
      </c>
      <c r="H207" s="797">
        <v>2.2610000000000001</v>
      </c>
      <c r="I207" s="798" t="s">
        <v>1796</v>
      </c>
      <c r="J207" s="799">
        <v>3.32755E-2</v>
      </c>
      <c r="K207" s="799">
        <v>9.3369000000000003E-6</v>
      </c>
      <c r="L207" s="800" t="s">
        <v>2367</v>
      </c>
      <c r="M207" s="801">
        <v>375.3</v>
      </c>
      <c r="N207" s="801" t="s">
        <v>414</v>
      </c>
      <c r="O207" s="802">
        <v>20</v>
      </c>
      <c r="P207" s="803" t="s">
        <v>1801</v>
      </c>
      <c r="Q207" s="804">
        <v>2.4500000000000001E-2</v>
      </c>
      <c r="R207" s="805" t="s">
        <v>414</v>
      </c>
      <c r="S207" s="527">
        <v>2.4500000000000001E-2</v>
      </c>
      <c r="T207" s="528" t="s">
        <v>414</v>
      </c>
    </row>
    <row r="208" spans="1:20" ht="15" customHeight="1">
      <c r="A208" s="791" t="s">
        <v>699</v>
      </c>
      <c r="B208" s="792" t="s">
        <v>700</v>
      </c>
      <c r="C208" s="793">
        <v>208.28</v>
      </c>
      <c r="D208" s="794" t="s">
        <v>1801</v>
      </c>
      <c r="E208" s="795">
        <v>3.2011400000000002E-2</v>
      </c>
      <c r="F208" s="795">
        <v>7.8299999999999995E-4</v>
      </c>
      <c r="G208" s="796" t="s">
        <v>1801</v>
      </c>
      <c r="H208" s="797">
        <v>2.4510000000000001</v>
      </c>
      <c r="I208" s="798" t="s">
        <v>1796</v>
      </c>
      <c r="J208" s="799">
        <v>3.6635599999999997E-2</v>
      </c>
      <c r="K208" s="799">
        <v>1.06E-5</v>
      </c>
      <c r="L208" s="800" t="s">
        <v>2367</v>
      </c>
      <c r="M208" s="801">
        <v>31.82</v>
      </c>
      <c r="N208" s="801" t="s">
        <v>414</v>
      </c>
      <c r="O208" s="802">
        <v>2700</v>
      </c>
      <c r="P208" s="803" t="s">
        <v>1801</v>
      </c>
      <c r="Q208" s="804">
        <v>2.8900000000000002E-3</v>
      </c>
      <c r="R208" s="805" t="s">
        <v>414</v>
      </c>
      <c r="S208" s="527">
        <v>2.8900000000000002E-3</v>
      </c>
      <c r="T208" s="528" t="s">
        <v>414</v>
      </c>
    </row>
    <row r="209" spans="1:20" ht="15" customHeight="1" thickBot="1">
      <c r="A209" s="806" t="s">
        <v>701</v>
      </c>
      <c r="B209" s="807" t="s">
        <v>702</v>
      </c>
      <c r="C209" s="808">
        <v>187.86</v>
      </c>
      <c r="D209" s="809" t="s">
        <v>1801</v>
      </c>
      <c r="E209" s="810">
        <v>2.6574E-2</v>
      </c>
      <c r="F209" s="810">
        <v>6.4999999999999997E-4</v>
      </c>
      <c r="G209" s="811" t="s">
        <v>1801</v>
      </c>
      <c r="H209" s="812">
        <v>2.1682999999999999</v>
      </c>
      <c r="I209" s="813" t="s">
        <v>1796</v>
      </c>
      <c r="J209" s="814">
        <v>4.3034799999999998E-2</v>
      </c>
      <c r="K209" s="814">
        <v>1.04E-5</v>
      </c>
      <c r="L209" s="815" t="s">
        <v>2367</v>
      </c>
      <c r="M209" s="816">
        <v>39.6</v>
      </c>
      <c r="N209" s="816" t="s">
        <v>414</v>
      </c>
      <c r="O209" s="817">
        <v>3910</v>
      </c>
      <c r="P209" s="818" t="s">
        <v>1801</v>
      </c>
      <c r="Q209" s="819">
        <v>2.7799999999999999E-3</v>
      </c>
      <c r="R209" s="820" t="s">
        <v>414</v>
      </c>
      <c r="S209" s="521">
        <v>2.7799999999999999E-3</v>
      </c>
      <c r="T209" s="522" t="s">
        <v>414</v>
      </c>
    </row>
    <row r="210" spans="1:20" ht="15" customHeight="1">
      <c r="A210" s="791" t="s">
        <v>703</v>
      </c>
      <c r="B210" s="792" t="s">
        <v>704</v>
      </c>
      <c r="C210" s="793">
        <v>173.84</v>
      </c>
      <c r="D210" s="794" t="s">
        <v>1801</v>
      </c>
      <c r="E210" s="795">
        <v>3.3605900000000001E-2</v>
      </c>
      <c r="F210" s="795">
        <v>8.2200000000000003E-4</v>
      </c>
      <c r="G210" s="796" t="s">
        <v>1801</v>
      </c>
      <c r="H210" s="797">
        <v>2.4969000000000001</v>
      </c>
      <c r="I210" s="798" t="s">
        <v>1796</v>
      </c>
      <c r="J210" s="799">
        <v>5.51373E-2</v>
      </c>
      <c r="K210" s="799">
        <v>1.19E-5</v>
      </c>
      <c r="L210" s="800" t="s">
        <v>2367</v>
      </c>
      <c r="M210" s="801">
        <v>21.73</v>
      </c>
      <c r="N210" s="801" t="s">
        <v>414</v>
      </c>
      <c r="O210" s="802">
        <v>11900</v>
      </c>
      <c r="P210" s="803" t="s">
        <v>1801</v>
      </c>
      <c r="Q210" s="804">
        <v>2.2300000000000002E-3</v>
      </c>
      <c r="R210" s="805" t="s">
        <v>414</v>
      </c>
      <c r="S210" s="527">
        <v>2.2300000000000002E-3</v>
      </c>
      <c r="T210" s="528" t="s">
        <v>414</v>
      </c>
    </row>
    <row r="211" spans="1:20" ht="15" customHeight="1">
      <c r="A211" s="791" t="s">
        <v>706</v>
      </c>
      <c r="B211" s="792" t="s">
        <v>2406</v>
      </c>
      <c r="C211" s="841" t="s">
        <v>1750</v>
      </c>
      <c r="D211" s="842" t="s">
        <v>43</v>
      </c>
      <c r="E211" s="831" t="s">
        <v>1750</v>
      </c>
      <c r="F211" s="831" t="s">
        <v>1750</v>
      </c>
      <c r="G211" s="832" t="s">
        <v>43</v>
      </c>
      <c r="H211" s="821" t="s">
        <v>1750</v>
      </c>
      <c r="I211" s="822" t="s">
        <v>43</v>
      </c>
      <c r="J211" s="833" t="s">
        <v>1750</v>
      </c>
      <c r="K211" s="833" t="s">
        <v>1750</v>
      </c>
      <c r="L211" s="834" t="s">
        <v>43</v>
      </c>
      <c r="M211" s="835" t="s">
        <v>1750</v>
      </c>
      <c r="N211" s="836" t="s">
        <v>43</v>
      </c>
      <c r="O211" s="837" t="s">
        <v>1750</v>
      </c>
      <c r="P211" s="838" t="s">
        <v>43</v>
      </c>
      <c r="Q211" s="843" t="s">
        <v>1750</v>
      </c>
      <c r="R211" s="844" t="s">
        <v>43</v>
      </c>
      <c r="S211" s="525" t="s">
        <v>1750</v>
      </c>
      <c r="T211" s="526" t="s">
        <v>43</v>
      </c>
    </row>
    <row r="212" spans="1:20" ht="15" customHeight="1" thickBot="1">
      <c r="A212" s="806" t="s">
        <v>708</v>
      </c>
      <c r="B212" s="807" t="s">
        <v>709</v>
      </c>
      <c r="C212" s="808">
        <v>221.04</v>
      </c>
      <c r="D212" s="809" t="s">
        <v>1801</v>
      </c>
      <c r="E212" s="810">
        <v>8.9124999999999999E-8</v>
      </c>
      <c r="F212" s="810">
        <v>2.1799999999999999E-9</v>
      </c>
      <c r="G212" s="811" t="s">
        <v>414</v>
      </c>
      <c r="H212" s="812">
        <v>1.57</v>
      </c>
      <c r="I212" s="813" t="s">
        <v>1796</v>
      </c>
      <c r="J212" s="814">
        <v>2.9224300000000002E-2</v>
      </c>
      <c r="K212" s="814">
        <v>7.8005999999999995E-6</v>
      </c>
      <c r="L212" s="815" t="s">
        <v>2367</v>
      </c>
      <c r="M212" s="816">
        <v>29.01</v>
      </c>
      <c r="N212" s="816" t="s">
        <v>414</v>
      </c>
      <c r="O212" s="817">
        <v>8310</v>
      </c>
      <c r="P212" s="818" t="s">
        <v>1801</v>
      </c>
      <c r="Q212" s="819">
        <v>2.65E-3</v>
      </c>
      <c r="R212" s="820" t="s">
        <v>414</v>
      </c>
      <c r="S212" s="521">
        <v>2.65E-3</v>
      </c>
      <c r="T212" s="522" t="s">
        <v>414</v>
      </c>
    </row>
    <row r="213" spans="1:20" ht="15" customHeight="1">
      <c r="A213" s="791" t="s">
        <v>710</v>
      </c>
      <c r="B213" s="792" t="s">
        <v>711</v>
      </c>
      <c r="C213" s="793">
        <v>125</v>
      </c>
      <c r="D213" s="794" t="s">
        <v>1801</v>
      </c>
      <c r="E213" s="795">
        <v>0.34791499999999997</v>
      </c>
      <c r="F213" s="795">
        <v>8.5100000000000002E-3</v>
      </c>
      <c r="G213" s="796" t="s">
        <v>1801</v>
      </c>
      <c r="H213" s="797">
        <v>1.1879999999999999</v>
      </c>
      <c r="I213" s="798" t="s">
        <v>1798</v>
      </c>
      <c r="J213" s="799">
        <v>6.65047E-2</v>
      </c>
      <c r="K213" s="799">
        <v>9.2900000000000008E-6</v>
      </c>
      <c r="L213" s="800" t="s">
        <v>2367</v>
      </c>
      <c r="M213" s="801">
        <v>131.5</v>
      </c>
      <c r="N213" s="801" t="s">
        <v>414</v>
      </c>
      <c r="O213" s="802">
        <v>580</v>
      </c>
      <c r="P213" s="803" t="s">
        <v>1801</v>
      </c>
      <c r="Q213" s="804">
        <v>1.66E-2</v>
      </c>
      <c r="R213" s="805" t="s">
        <v>414</v>
      </c>
      <c r="S213" s="527">
        <v>1.66E-2</v>
      </c>
      <c r="T213" s="528" t="s">
        <v>414</v>
      </c>
    </row>
    <row r="214" spans="1:20" ht="15" customHeight="1">
      <c r="A214" s="791" t="s">
        <v>712</v>
      </c>
      <c r="B214" s="792" t="s">
        <v>713</v>
      </c>
      <c r="C214" s="793">
        <v>125</v>
      </c>
      <c r="D214" s="794" t="s">
        <v>1801</v>
      </c>
      <c r="E214" s="795">
        <v>2.7146400000000001E-2</v>
      </c>
      <c r="F214" s="795">
        <v>6.6399999999999999E-4</v>
      </c>
      <c r="G214" s="796" t="s">
        <v>414</v>
      </c>
      <c r="H214" s="797">
        <v>1.1879999999999999</v>
      </c>
      <c r="I214" s="798" t="s">
        <v>1796</v>
      </c>
      <c r="J214" s="799">
        <v>6.65047E-2</v>
      </c>
      <c r="K214" s="799">
        <v>9.2900000000000008E-6</v>
      </c>
      <c r="L214" s="800" t="s">
        <v>2367</v>
      </c>
      <c r="M214" s="801">
        <v>131.5</v>
      </c>
      <c r="N214" s="801" t="s">
        <v>414</v>
      </c>
      <c r="O214" s="802">
        <v>580.20000000000005</v>
      </c>
      <c r="P214" s="803" t="s">
        <v>1801</v>
      </c>
      <c r="Q214" s="804">
        <v>1.66E-2</v>
      </c>
      <c r="R214" s="805" t="s">
        <v>414</v>
      </c>
      <c r="S214" s="527">
        <v>1.66E-2</v>
      </c>
      <c r="T214" s="528" t="s">
        <v>414</v>
      </c>
    </row>
    <row r="215" spans="1:20" ht="15" customHeight="1" thickBot="1">
      <c r="A215" s="806" t="s">
        <v>714</v>
      </c>
      <c r="B215" s="807" t="s">
        <v>715</v>
      </c>
      <c r="C215" s="808">
        <v>125</v>
      </c>
      <c r="D215" s="809" t="s">
        <v>1801</v>
      </c>
      <c r="E215" s="810">
        <v>2.7146400000000001E-2</v>
      </c>
      <c r="F215" s="810">
        <v>6.6399999999999999E-4</v>
      </c>
      <c r="G215" s="811" t="s">
        <v>414</v>
      </c>
      <c r="H215" s="812">
        <v>1.1830000000000001</v>
      </c>
      <c r="I215" s="813" t="s">
        <v>1796</v>
      </c>
      <c r="J215" s="814">
        <v>6.6381800000000005E-2</v>
      </c>
      <c r="K215" s="814">
        <v>9.2665000000000001E-6</v>
      </c>
      <c r="L215" s="815" t="s">
        <v>2367</v>
      </c>
      <c r="M215" s="816">
        <v>131.5</v>
      </c>
      <c r="N215" s="816" t="s">
        <v>414</v>
      </c>
      <c r="O215" s="817">
        <v>850</v>
      </c>
      <c r="P215" s="818" t="s">
        <v>1801</v>
      </c>
      <c r="Q215" s="819">
        <v>1.66E-2</v>
      </c>
      <c r="R215" s="820" t="s">
        <v>414</v>
      </c>
      <c r="S215" s="521">
        <v>1.66E-2</v>
      </c>
      <c r="T215" s="522" t="s">
        <v>414</v>
      </c>
    </row>
    <row r="216" spans="1:20" ht="15" customHeight="1">
      <c r="A216" s="791" t="s">
        <v>716</v>
      </c>
      <c r="B216" s="792" t="s">
        <v>717</v>
      </c>
      <c r="C216" s="793">
        <v>128.94</v>
      </c>
      <c r="D216" s="794" t="s">
        <v>1801</v>
      </c>
      <c r="E216" s="795">
        <v>3.4260000000000001E-7</v>
      </c>
      <c r="F216" s="795">
        <v>8.3799999999999996E-9</v>
      </c>
      <c r="G216" s="796" t="s">
        <v>1801</v>
      </c>
      <c r="H216" s="797">
        <v>1.5633999999999999</v>
      </c>
      <c r="I216" s="798" t="s">
        <v>1796</v>
      </c>
      <c r="J216" s="799">
        <v>7.2234300000000001E-2</v>
      </c>
      <c r="K216" s="799">
        <v>1.08E-5</v>
      </c>
      <c r="L216" s="800" t="s">
        <v>2367</v>
      </c>
      <c r="M216" s="801">
        <v>2.2519999999999998</v>
      </c>
      <c r="N216" s="801" t="s">
        <v>414</v>
      </c>
      <c r="O216" s="802">
        <v>1000000</v>
      </c>
      <c r="P216" s="803" t="s">
        <v>1801</v>
      </c>
      <c r="Q216" s="804">
        <v>1.2099999999999999E-3</v>
      </c>
      <c r="R216" s="805" t="s">
        <v>414</v>
      </c>
      <c r="S216" s="527">
        <v>1.2099999999999999E-3</v>
      </c>
      <c r="T216" s="528" t="s">
        <v>414</v>
      </c>
    </row>
    <row r="217" spans="1:20" ht="15" customHeight="1">
      <c r="A217" s="791" t="s">
        <v>160</v>
      </c>
      <c r="B217" s="792" t="s">
        <v>718</v>
      </c>
      <c r="C217" s="793">
        <v>147</v>
      </c>
      <c r="D217" s="794" t="s">
        <v>1801</v>
      </c>
      <c r="E217" s="795">
        <v>7.8495499999999996E-2</v>
      </c>
      <c r="F217" s="795">
        <v>1.92E-3</v>
      </c>
      <c r="G217" s="796" t="s">
        <v>1801</v>
      </c>
      <c r="H217" s="797">
        <v>1.3059000000000001</v>
      </c>
      <c r="I217" s="798" t="s">
        <v>1796</v>
      </c>
      <c r="J217" s="799">
        <v>5.6170299999999999E-2</v>
      </c>
      <c r="K217" s="799">
        <v>8.9213000000000005E-6</v>
      </c>
      <c r="L217" s="800" t="s">
        <v>2367</v>
      </c>
      <c r="M217" s="801">
        <v>382.9</v>
      </c>
      <c r="N217" s="801" t="s">
        <v>414</v>
      </c>
      <c r="O217" s="802">
        <v>156</v>
      </c>
      <c r="P217" s="803" t="s">
        <v>1801</v>
      </c>
      <c r="Q217" s="804">
        <v>4.4600000000000001E-2</v>
      </c>
      <c r="R217" s="805" t="s">
        <v>414</v>
      </c>
      <c r="S217" s="527">
        <v>4.4600000000000001E-2</v>
      </c>
      <c r="T217" s="528" t="s">
        <v>414</v>
      </c>
    </row>
    <row r="218" spans="1:20" ht="15" customHeight="1" thickBot="1">
      <c r="A218" s="806" t="s">
        <v>166</v>
      </c>
      <c r="B218" s="807" t="s">
        <v>719</v>
      </c>
      <c r="C218" s="808">
        <v>147</v>
      </c>
      <c r="D218" s="809" t="s">
        <v>1801</v>
      </c>
      <c r="E218" s="810">
        <v>9.8528199999999996E-2</v>
      </c>
      <c r="F218" s="810">
        <v>2.4099999999999998E-3</v>
      </c>
      <c r="G218" s="811" t="s">
        <v>1801</v>
      </c>
      <c r="H218" s="812">
        <v>1.2475000000000001</v>
      </c>
      <c r="I218" s="813" t="s">
        <v>1796</v>
      </c>
      <c r="J218" s="814">
        <v>5.5042899999999999E-2</v>
      </c>
      <c r="K218" s="814">
        <v>8.6796999999999992E-6</v>
      </c>
      <c r="L218" s="815" t="s">
        <v>2367</v>
      </c>
      <c r="M218" s="816">
        <v>375.3</v>
      </c>
      <c r="N218" s="816" t="s">
        <v>414</v>
      </c>
      <c r="O218" s="817">
        <v>81.3</v>
      </c>
      <c r="P218" s="818" t="s">
        <v>1801</v>
      </c>
      <c r="Q218" s="819">
        <v>4.53E-2</v>
      </c>
      <c r="R218" s="820" t="s">
        <v>414</v>
      </c>
      <c r="S218" s="521">
        <v>4.53E-2</v>
      </c>
      <c r="T218" s="522" t="s">
        <v>414</v>
      </c>
    </row>
    <row r="219" spans="1:20" ht="15" customHeight="1">
      <c r="A219" s="791" t="s">
        <v>720</v>
      </c>
      <c r="B219" s="792" t="s">
        <v>721</v>
      </c>
      <c r="C219" s="793">
        <v>253.13</v>
      </c>
      <c r="D219" s="794" t="s">
        <v>1801</v>
      </c>
      <c r="E219" s="795">
        <v>1.1611000000000001E-9</v>
      </c>
      <c r="F219" s="795">
        <v>2.84E-11</v>
      </c>
      <c r="G219" s="796" t="s">
        <v>1801</v>
      </c>
      <c r="H219" s="821" t="s">
        <v>1750</v>
      </c>
      <c r="I219" s="822" t="s">
        <v>43</v>
      </c>
      <c r="J219" s="799">
        <v>4.7481500000000003E-2</v>
      </c>
      <c r="K219" s="799">
        <v>5.5477999999999996E-6</v>
      </c>
      <c r="L219" s="800" t="s">
        <v>2367</v>
      </c>
      <c r="M219" s="801">
        <v>3190</v>
      </c>
      <c r="N219" s="801" t="s">
        <v>414</v>
      </c>
      <c r="O219" s="802">
        <v>3.1</v>
      </c>
      <c r="P219" s="803" t="s">
        <v>1801</v>
      </c>
      <c r="Q219" s="804">
        <v>1.2800000000000001E-2</v>
      </c>
      <c r="R219" s="805" t="s">
        <v>414</v>
      </c>
      <c r="S219" s="527">
        <v>1.2800000000000001E-2</v>
      </c>
      <c r="T219" s="528" t="s">
        <v>414</v>
      </c>
    </row>
    <row r="220" spans="1:20" ht="15" customHeight="1">
      <c r="A220" s="791" t="s">
        <v>722</v>
      </c>
      <c r="B220" s="792" t="s">
        <v>723</v>
      </c>
      <c r="C220" s="793">
        <v>251.11</v>
      </c>
      <c r="D220" s="794" t="s">
        <v>1801</v>
      </c>
      <c r="E220" s="795">
        <v>4.3699999999999998E-5</v>
      </c>
      <c r="F220" s="795">
        <v>1.0699999999999999E-6</v>
      </c>
      <c r="G220" s="796" t="s">
        <v>1801</v>
      </c>
      <c r="H220" s="797">
        <v>1.45</v>
      </c>
      <c r="I220" s="798" t="s">
        <v>1796</v>
      </c>
      <c r="J220" s="799">
        <v>2.63929E-2</v>
      </c>
      <c r="K220" s="799">
        <v>6.8893000000000003E-6</v>
      </c>
      <c r="L220" s="800" t="s">
        <v>2367</v>
      </c>
      <c r="M220" s="801">
        <v>2927</v>
      </c>
      <c r="N220" s="801" t="s">
        <v>414</v>
      </c>
      <c r="O220" s="802">
        <v>0.82930000000000004</v>
      </c>
      <c r="P220" s="803" t="s">
        <v>1801</v>
      </c>
      <c r="Q220" s="804">
        <v>5.4199999999999998E-2</v>
      </c>
      <c r="R220" s="805" t="s">
        <v>414</v>
      </c>
      <c r="S220" s="527">
        <v>5.4199999999999998E-2</v>
      </c>
      <c r="T220" s="528" t="s">
        <v>414</v>
      </c>
    </row>
    <row r="221" spans="1:20" ht="15" customHeight="1" thickBot="1">
      <c r="A221" s="806" t="s">
        <v>62</v>
      </c>
      <c r="B221" s="807" t="s">
        <v>724</v>
      </c>
      <c r="C221" s="808">
        <v>120.91</v>
      </c>
      <c r="D221" s="809" t="s">
        <v>1801</v>
      </c>
      <c r="E221" s="810">
        <v>14.022895</v>
      </c>
      <c r="F221" s="810">
        <v>0.34300000000000003</v>
      </c>
      <c r="G221" s="811" t="s">
        <v>1801</v>
      </c>
      <c r="H221" s="812">
        <v>1.486</v>
      </c>
      <c r="I221" s="813" t="s">
        <v>1802</v>
      </c>
      <c r="J221" s="814">
        <v>7.6029299999999994E-2</v>
      </c>
      <c r="K221" s="814">
        <v>1.08E-5</v>
      </c>
      <c r="L221" s="815" t="s">
        <v>2367</v>
      </c>
      <c r="M221" s="816">
        <v>43.89</v>
      </c>
      <c r="N221" s="816" t="s">
        <v>414</v>
      </c>
      <c r="O221" s="817">
        <v>280</v>
      </c>
      <c r="P221" s="818" t="s">
        <v>1801</v>
      </c>
      <c r="Q221" s="819">
        <v>8.9499999999999996E-3</v>
      </c>
      <c r="R221" s="820" t="s">
        <v>414</v>
      </c>
      <c r="S221" s="521">
        <v>8.9499999999999996E-3</v>
      </c>
      <c r="T221" s="522" t="s">
        <v>414</v>
      </c>
    </row>
    <row r="222" spans="1:20" ht="15" customHeight="1">
      <c r="A222" s="791" t="s">
        <v>155</v>
      </c>
      <c r="B222" s="792" t="s">
        <v>725</v>
      </c>
      <c r="C222" s="793">
        <v>98.96</v>
      </c>
      <c r="D222" s="794" t="s">
        <v>1801</v>
      </c>
      <c r="E222" s="795">
        <v>0.22976289999999999</v>
      </c>
      <c r="F222" s="795">
        <v>5.62E-3</v>
      </c>
      <c r="G222" s="796" t="s">
        <v>1801</v>
      </c>
      <c r="H222" s="797">
        <v>1.1757</v>
      </c>
      <c r="I222" s="798" t="s">
        <v>1796</v>
      </c>
      <c r="J222" s="799">
        <v>8.36446E-2</v>
      </c>
      <c r="K222" s="799">
        <v>1.06E-5</v>
      </c>
      <c r="L222" s="800" t="s">
        <v>2367</v>
      </c>
      <c r="M222" s="801">
        <v>31.82</v>
      </c>
      <c r="N222" s="801" t="s">
        <v>414</v>
      </c>
      <c r="O222" s="802">
        <v>5040</v>
      </c>
      <c r="P222" s="803" t="s">
        <v>1801</v>
      </c>
      <c r="Q222" s="804">
        <v>6.7499999999999999E-3</v>
      </c>
      <c r="R222" s="805" t="s">
        <v>414</v>
      </c>
      <c r="S222" s="527">
        <v>6.7499999999999999E-3</v>
      </c>
      <c r="T222" s="528" t="s">
        <v>414</v>
      </c>
    </row>
    <row r="223" spans="1:20" ht="15" customHeight="1">
      <c r="A223" s="791" t="s">
        <v>161</v>
      </c>
      <c r="B223" s="792" t="s">
        <v>726</v>
      </c>
      <c r="C223" s="793">
        <v>98.96</v>
      </c>
      <c r="D223" s="794" t="s">
        <v>1801</v>
      </c>
      <c r="E223" s="795">
        <v>4.8242E-2</v>
      </c>
      <c r="F223" s="795">
        <v>1.1800000000000001E-3</v>
      </c>
      <c r="G223" s="796" t="s">
        <v>1801</v>
      </c>
      <c r="H223" s="797">
        <v>1.2454000000000001</v>
      </c>
      <c r="I223" s="798" t="s">
        <v>1796</v>
      </c>
      <c r="J223" s="799">
        <v>8.5722099999999996E-2</v>
      </c>
      <c r="K223" s="799">
        <v>1.1E-5</v>
      </c>
      <c r="L223" s="800" t="s">
        <v>2367</v>
      </c>
      <c r="M223" s="801">
        <v>39.6</v>
      </c>
      <c r="N223" s="801" t="s">
        <v>414</v>
      </c>
      <c r="O223" s="802">
        <v>8600</v>
      </c>
      <c r="P223" s="803" t="s">
        <v>1801</v>
      </c>
      <c r="Q223" s="804">
        <v>4.1999999999999997E-3</v>
      </c>
      <c r="R223" s="805" t="s">
        <v>414</v>
      </c>
      <c r="S223" s="527">
        <v>4.1999999999999997E-3</v>
      </c>
      <c r="T223" s="528" t="s">
        <v>414</v>
      </c>
    </row>
    <row r="224" spans="1:20" ht="15" customHeight="1" thickBot="1">
      <c r="A224" s="806" t="s">
        <v>156</v>
      </c>
      <c r="B224" s="807" t="s">
        <v>727</v>
      </c>
      <c r="C224" s="808">
        <v>96.944000000000003</v>
      </c>
      <c r="D224" s="809" t="s">
        <v>1801</v>
      </c>
      <c r="E224" s="810">
        <v>1.0670481999999999</v>
      </c>
      <c r="F224" s="810">
        <v>2.6100000000000002E-2</v>
      </c>
      <c r="G224" s="811" t="s">
        <v>1801</v>
      </c>
      <c r="H224" s="812">
        <v>1.2130000000000001</v>
      </c>
      <c r="I224" s="813" t="s">
        <v>1796</v>
      </c>
      <c r="J224" s="814">
        <v>8.6310700000000004E-2</v>
      </c>
      <c r="K224" s="814">
        <v>1.1E-5</v>
      </c>
      <c r="L224" s="815" t="s">
        <v>2367</v>
      </c>
      <c r="M224" s="816">
        <v>31.82</v>
      </c>
      <c r="N224" s="816" t="s">
        <v>414</v>
      </c>
      <c r="O224" s="817">
        <v>2420</v>
      </c>
      <c r="P224" s="818" t="s">
        <v>1801</v>
      </c>
      <c r="Q224" s="819">
        <v>1.17E-2</v>
      </c>
      <c r="R224" s="820" t="s">
        <v>414</v>
      </c>
      <c r="S224" s="521">
        <v>1.17E-2</v>
      </c>
      <c r="T224" s="522" t="s">
        <v>414</v>
      </c>
    </row>
    <row r="225" spans="1:20" ht="15" customHeight="1">
      <c r="A225" s="791" t="s">
        <v>728</v>
      </c>
      <c r="B225" s="792" t="s">
        <v>729</v>
      </c>
      <c r="C225" s="793">
        <v>96.944000000000003</v>
      </c>
      <c r="D225" s="794" t="s">
        <v>1801</v>
      </c>
      <c r="E225" s="795">
        <v>0.1668029</v>
      </c>
      <c r="F225" s="795">
        <v>4.0800000000000003E-3</v>
      </c>
      <c r="G225" s="796" t="s">
        <v>1801</v>
      </c>
      <c r="H225" s="797">
        <v>1.2837000000000001</v>
      </c>
      <c r="I225" s="798" t="s">
        <v>1796</v>
      </c>
      <c r="J225" s="799">
        <v>8.8405600000000001E-2</v>
      </c>
      <c r="K225" s="799">
        <v>1.13E-5</v>
      </c>
      <c r="L225" s="800" t="s">
        <v>2367</v>
      </c>
      <c r="M225" s="801">
        <v>39.6</v>
      </c>
      <c r="N225" s="801" t="s">
        <v>414</v>
      </c>
      <c r="O225" s="802">
        <v>6410</v>
      </c>
      <c r="P225" s="803" t="s">
        <v>1801</v>
      </c>
      <c r="Q225" s="804">
        <v>1.0999999999999999E-2</v>
      </c>
      <c r="R225" s="805" t="s">
        <v>414</v>
      </c>
      <c r="S225" s="527">
        <v>1.0999999999999999E-2</v>
      </c>
      <c r="T225" s="528" t="s">
        <v>414</v>
      </c>
    </row>
    <row r="226" spans="1:20" ht="15" customHeight="1">
      <c r="A226" s="791" t="s">
        <v>730</v>
      </c>
      <c r="B226" s="792" t="s">
        <v>731</v>
      </c>
      <c r="C226" s="793">
        <v>96.944000000000003</v>
      </c>
      <c r="D226" s="794" t="s">
        <v>1801</v>
      </c>
      <c r="E226" s="795">
        <v>0.38348320000000002</v>
      </c>
      <c r="F226" s="795">
        <v>9.3799999999999994E-3</v>
      </c>
      <c r="G226" s="796" t="s">
        <v>1801</v>
      </c>
      <c r="H226" s="797">
        <v>1.2565</v>
      </c>
      <c r="I226" s="798" t="s">
        <v>1796</v>
      </c>
      <c r="J226" s="799">
        <v>8.7609400000000004E-2</v>
      </c>
      <c r="K226" s="799">
        <v>1.1199999999999999E-5</v>
      </c>
      <c r="L226" s="800" t="s">
        <v>2367</v>
      </c>
      <c r="M226" s="801">
        <v>39.6</v>
      </c>
      <c r="N226" s="801" t="s">
        <v>414</v>
      </c>
      <c r="O226" s="802">
        <v>4520</v>
      </c>
      <c r="P226" s="803" t="s">
        <v>1801</v>
      </c>
      <c r="Q226" s="804">
        <v>1.0999999999999999E-2</v>
      </c>
      <c r="R226" s="805" t="s">
        <v>414</v>
      </c>
      <c r="S226" s="527">
        <v>1.0999999999999999E-2</v>
      </c>
      <c r="T226" s="528" t="s">
        <v>414</v>
      </c>
    </row>
    <row r="227" spans="1:20" ht="15" customHeight="1" thickBot="1">
      <c r="A227" s="806" t="s">
        <v>732</v>
      </c>
      <c r="B227" s="807" t="s">
        <v>733</v>
      </c>
      <c r="C227" s="808">
        <v>163</v>
      </c>
      <c r="D227" s="809" t="s">
        <v>1801</v>
      </c>
      <c r="E227" s="810">
        <v>1.7540000000000001E-4</v>
      </c>
      <c r="F227" s="810">
        <v>4.2899999999999996E-6</v>
      </c>
      <c r="G227" s="811" t="s">
        <v>414</v>
      </c>
      <c r="H227" s="812">
        <v>1.383</v>
      </c>
      <c r="I227" s="813" t="s">
        <v>1802</v>
      </c>
      <c r="J227" s="814">
        <v>4.8576800000000003E-2</v>
      </c>
      <c r="K227" s="814">
        <v>8.6787000000000004E-6</v>
      </c>
      <c r="L227" s="815" t="s">
        <v>2367</v>
      </c>
      <c r="M227" s="816">
        <v>147</v>
      </c>
      <c r="N227" s="816" t="s">
        <v>1078</v>
      </c>
      <c r="O227" s="817">
        <v>5550</v>
      </c>
      <c r="P227" s="818" t="s">
        <v>1801</v>
      </c>
      <c r="Q227" s="819">
        <v>2.06E-2</v>
      </c>
      <c r="R227" s="820" t="s">
        <v>414</v>
      </c>
      <c r="S227" s="521">
        <v>2.06E-2</v>
      </c>
      <c r="T227" s="522" t="s">
        <v>414</v>
      </c>
    </row>
    <row r="228" spans="1:20" ht="15" customHeight="1">
      <c r="A228" s="791" t="s">
        <v>734</v>
      </c>
      <c r="B228" s="792" t="s">
        <v>735</v>
      </c>
      <c r="C228" s="793">
        <v>221.04</v>
      </c>
      <c r="D228" s="794" t="s">
        <v>1801</v>
      </c>
      <c r="E228" s="795">
        <v>1.4473000000000001E-6</v>
      </c>
      <c r="F228" s="795">
        <v>3.5399999999999999E-8</v>
      </c>
      <c r="G228" s="796" t="s">
        <v>414</v>
      </c>
      <c r="H228" s="797">
        <v>1.42</v>
      </c>
      <c r="I228" s="798" t="s">
        <v>2168</v>
      </c>
      <c r="J228" s="799">
        <v>2.7917899999999999E-2</v>
      </c>
      <c r="K228" s="799">
        <v>7.3444999999999997E-6</v>
      </c>
      <c r="L228" s="800" t="s">
        <v>2367</v>
      </c>
      <c r="M228" s="801">
        <v>29.63</v>
      </c>
      <c r="N228" s="801" t="s">
        <v>414</v>
      </c>
      <c r="O228" s="802">
        <v>677</v>
      </c>
      <c r="P228" s="803" t="s">
        <v>1801</v>
      </c>
      <c r="Q228" s="804">
        <v>6.6400000000000001E-3</v>
      </c>
      <c r="R228" s="805" t="s">
        <v>414</v>
      </c>
      <c r="S228" s="527">
        <v>6.6400000000000001E-3</v>
      </c>
      <c r="T228" s="528" t="s">
        <v>414</v>
      </c>
    </row>
    <row r="229" spans="1:20" ht="15" customHeight="1">
      <c r="A229" s="791" t="s">
        <v>162</v>
      </c>
      <c r="B229" s="792" t="s">
        <v>737</v>
      </c>
      <c r="C229" s="793">
        <v>112.99</v>
      </c>
      <c r="D229" s="794" t="s">
        <v>1801</v>
      </c>
      <c r="E229" s="795">
        <v>0.1152903</v>
      </c>
      <c r="F229" s="795">
        <v>2.82E-3</v>
      </c>
      <c r="G229" s="796" t="s">
        <v>1801</v>
      </c>
      <c r="H229" s="797">
        <v>1.159</v>
      </c>
      <c r="I229" s="798" t="s">
        <v>1802</v>
      </c>
      <c r="J229" s="799">
        <v>7.3340199999999994E-2</v>
      </c>
      <c r="K229" s="799">
        <v>9.7251999999999997E-6</v>
      </c>
      <c r="L229" s="800" t="s">
        <v>2367</v>
      </c>
      <c r="M229" s="801">
        <v>60.7</v>
      </c>
      <c r="N229" s="801" t="s">
        <v>414</v>
      </c>
      <c r="O229" s="802">
        <v>2800</v>
      </c>
      <c r="P229" s="803" t="s">
        <v>1801</v>
      </c>
      <c r="Q229" s="804">
        <v>7.5300000000000002E-3</v>
      </c>
      <c r="R229" s="805" t="s">
        <v>414</v>
      </c>
      <c r="S229" s="527">
        <v>1.3899999999999999E-2</v>
      </c>
      <c r="T229" s="528" t="s">
        <v>414</v>
      </c>
    </row>
    <row r="230" spans="1:20" ht="15" customHeight="1" thickBot="1">
      <c r="A230" s="806" t="s">
        <v>738</v>
      </c>
      <c r="B230" s="807" t="s">
        <v>739</v>
      </c>
      <c r="C230" s="808">
        <v>112.99</v>
      </c>
      <c r="D230" s="809" t="s">
        <v>1801</v>
      </c>
      <c r="E230" s="810">
        <v>3.9901899999999997E-2</v>
      </c>
      <c r="F230" s="810">
        <v>9.7599999999999998E-4</v>
      </c>
      <c r="G230" s="811" t="s">
        <v>1801</v>
      </c>
      <c r="H230" s="812">
        <v>1.1785000000000001</v>
      </c>
      <c r="I230" s="813" t="s">
        <v>1796</v>
      </c>
      <c r="J230" s="814">
        <v>7.3873800000000003E-2</v>
      </c>
      <c r="K230" s="814">
        <v>9.8230000000000006E-6</v>
      </c>
      <c r="L230" s="815" t="s">
        <v>2367</v>
      </c>
      <c r="M230" s="816">
        <v>72.17</v>
      </c>
      <c r="N230" s="816" t="s">
        <v>414</v>
      </c>
      <c r="O230" s="817">
        <v>2750</v>
      </c>
      <c r="P230" s="818" t="s">
        <v>1801</v>
      </c>
      <c r="Q230" s="819">
        <v>7.7600000000000004E-3</v>
      </c>
      <c r="R230" s="820" t="s">
        <v>414</v>
      </c>
      <c r="S230" s="521">
        <v>7.5300000000000002E-3</v>
      </c>
      <c r="T230" s="522" t="s">
        <v>414</v>
      </c>
    </row>
    <row r="231" spans="1:20" ht="15" customHeight="1">
      <c r="A231" s="791" t="s">
        <v>740</v>
      </c>
      <c r="B231" s="792" t="s">
        <v>741</v>
      </c>
      <c r="C231" s="793">
        <v>128.99</v>
      </c>
      <c r="D231" s="794" t="s">
        <v>1801</v>
      </c>
      <c r="E231" s="795">
        <v>1.4718E-7</v>
      </c>
      <c r="F231" s="795">
        <v>3.6E-9</v>
      </c>
      <c r="G231" s="796" t="s">
        <v>1801</v>
      </c>
      <c r="H231" s="797">
        <v>1.3607</v>
      </c>
      <c r="I231" s="798" t="s">
        <v>1796</v>
      </c>
      <c r="J231" s="799">
        <v>6.8016599999999997E-2</v>
      </c>
      <c r="K231" s="799">
        <v>9.8900000000000002E-6</v>
      </c>
      <c r="L231" s="800" t="s">
        <v>2367</v>
      </c>
      <c r="M231" s="801">
        <v>5.5679999999999996</v>
      </c>
      <c r="N231" s="801" t="s">
        <v>414</v>
      </c>
      <c r="O231" s="802">
        <v>64220</v>
      </c>
      <c r="P231" s="803" t="s">
        <v>1801</v>
      </c>
      <c r="Q231" s="804">
        <v>9.8299999999999993E-4</v>
      </c>
      <c r="R231" s="805" t="s">
        <v>414</v>
      </c>
      <c r="S231" s="527">
        <v>7.7600000000000004E-3</v>
      </c>
      <c r="T231" s="528" t="s">
        <v>414</v>
      </c>
    </row>
    <row r="232" spans="1:20" ht="15" customHeight="1">
      <c r="A232" s="791" t="s">
        <v>165</v>
      </c>
      <c r="B232" s="792" t="s">
        <v>742</v>
      </c>
      <c r="C232" s="793">
        <v>110.97</v>
      </c>
      <c r="D232" s="794" t="s">
        <v>1801</v>
      </c>
      <c r="E232" s="795">
        <v>0.14513490000000001</v>
      </c>
      <c r="F232" s="795">
        <v>3.5500000000000002E-3</v>
      </c>
      <c r="G232" s="796" t="s">
        <v>1801</v>
      </c>
      <c r="H232" s="797">
        <v>1.2170000000000001</v>
      </c>
      <c r="I232" s="798" t="s">
        <v>1798</v>
      </c>
      <c r="J232" s="799">
        <v>7.6272499999999993E-2</v>
      </c>
      <c r="K232" s="799">
        <v>1.01E-5</v>
      </c>
      <c r="L232" s="800" t="s">
        <v>2367</v>
      </c>
      <c r="M232" s="801">
        <v>72.17</v>
      </c>
      <c r="N232" s="801" t="s">
        <v>414</v>
      </c>
      <c r="O232" s="802">
        <v>2800</v>
      </c>
      <c r="P232" s="803" t="s">
        <v>1801</v>
      </c>
      <c r="Q232" s="804">
        <v>8.3400000000000002E-3</v>
      </c>
      <c r="R232" s="805" t="s">
        <v>414</v>
      </c>
      <c r="S232" s="527">
        <v>9.8299999999999993E-4</v>
      </c>
      <c r="T232" s="528" t="s">
        <v>414</v>
      </c>
    </row>
    <row r="233" spans="1:20" ht="15" customHeight="1">
      <c r="A233" s="791" t="s">
        <v>2516</v>
      </c>
      <c r="B233" s="792" t="s">
        <v>2520</v>
      </c>
      <c r="C233" s="793">
        <v>110.97</v>
      </c>
      <c r="D233" s="794" t="s">
        <v>1801</v>
      </c>
      <c r="E233" s="795">
        <v>0.14513490000000001</v>
      </c>
      <c r="F233" s="795">
        <v>3.5500000000000002E-3</v>
      </c>
      <c r="G233" s="796" t="s">
        <v>1801</v>
      </c>
      <c r="H233" s="797">
        <v>1.2170000000000001</v>
      </c>
      <c r="I233" s="798" t="s">
        <v>1798</v>
      </c>
      <c r="J233" s="799">
        <v>7.6272499999999993E-2</v>
      </c>
      <c r="K233" s="799">
        <v>1.01E-5</v>
      </c>
      <c r="L233" s="800" t="s">
        <v>2367</v>
      </c>
      <c r="M233" s="801">
        <v>72.17</v>
      </c>
      <c r="N233" s="801" t="s">
        <v>414</v>
      </c>
      <c r="O233" s="802">
        <v>2800</v>
      </c>
      <c r="P233" s="803" t="s">
        <v>1801</v>
      </c>
      <c r="Q233" s="804">
        <v>8.3400000000000002E-3</v>
      </c>
      <c r="R233" s="805" t="s">
        <v>414</v>
      </c>
      <c r="S233" s="527">
        <v>9.8299999999999993E-4</v>
      </c>
      <c r="T233" s="528" t="s">
        <v>414</v>
      </c>
    </row>
    <row r="234" spans="1:20" ht="15" customHeight="1">
      <c r="A234" s="791" t="s">
        <v>2517</v>
      </c>
      <c r="B234" s="792" t="s">
        <v>2521</v>
      </c>
      <c r="C234" s="793">
        <v>110.97</v>
      </c>
      <c r="D234" s="794" t="s">
        <v>1801</v>
      </c>
      <c r="E234" s="795">
        <v>0.14513490000000001</v>
      </c>
      <c r="F234" s="795">
        <v>3.5500000000000002E-3</v>
      </c>
      <c r="G234" s="796" t="s">
        <v>1801</v>
      </c>
      <c r="H234" s="797">
        <v>1.2170000000000001</v>
      </c>
      <c r="I234" s="798" t="s">
        <v>1798</v>
      </c>
      <c r="J234" s="799">
        <v>7.6272499999999993E-2</v>
      </c>
      <c r="K234" s="799">
        <v>1.01E-5</v>
      </c>
      <c r="L234" s="800" t="s">
        <v>2367</v>
      </c>
      <c r="M234" s="801">
        <v>72.17</v>
      </c>
      <c r="N234" s="801" t="s">
        <v>414</v>
      </c>
      <c r="O234" s="802">
        <v>2800</v>
      </c>
      <c r="P234" s="803" t="s">
        <v>1801</v>
      </c>
      <c r="Q234" s="804">
        <v>8.3400000000000002E-3</v>
      </c>
      <c r="R234" s="805" t="s">
        <v>414</v>
      </c>
      <c r="S234" s="527">
        <v>9.8299999999999993E-4</v>
      </c>
      <c r="T234" s="528" t="s">
        <v>414</v>
      </c>
    </row>
    <row r="235" spans="1:20" ht="15" customHeight="1" thickBot="1">
      <c r="A235" s="806" t="s">
        <v>743</v>
      </c>
      <c r="B235" s="807" t="s">
        <v>744</v>
      </c>
      <c r="C235" s="808">
        <v>220.98</v>
      </c>
      <c r="D235" s="809" t="s">
        <v>1801</v>
      </c>
      <c r="E235" s="810">
        <v>2.3499999999999999E-5</v>
      </c>
      <c r="F235" s="810">
        <v>5.7400000000000003E-7</v>
      </c>
      <c r="G235" s="811" t="s">
        <v>414</v>
      </c>
      <c r="H235" s="812">
        <v>1.415</v>
      </c>
      <c r="I235" s="813" t="s">
        <v>1796</v>
      </c>
      <c r="J235" s="814">
        <v>2.78768E-2</v>
      </c>
      <c r="K235" s="814">
        <v>7.3301999999999997E-6</v>
      </c>
      <c r="L235" s="815" t="s">
        <v>2367</v>
      </c>
      <c r="M235" s="816">
        <v>53.96</v>
      </c>
      <c r="N235" s="816" t="s">
        <v>414</v>
      </c>
      <c r="O235" s="817">
        <v>8000</v>
      </c>
      <c r="P235" s="818" t="s">
        <v>1801</v>
      </c>
      <c r="Q235" s="819">
        <v>8.0400000000000003E-4</v>
      </c>
      <c r="R235" s="820" t="s">
        <v>414</v>
      </c>
      <c r="S235" s="521">
        <v>8.3400000000000002E-3</v>
      </c>
      <c r="T235" s="522" t="s">
        <v>414</v>
      </c>
    </row>
    <row r="236" spans="1:20" ht="15" customHeight="1">
      <c r="A236" s="791" t="s">
        <v>2220</v>
      </c>
      <c r="B236" s="792" t="s">
        <v>462</v>
      </c>
      <c r="C236" s="793">
        <v>237.19</v>
      </c>
      <c r="D236" s="794" t="s">
        <v>1801</v>
      </c>
      <c r="E236" s="795">
        <v>2.0564000000000001E-9</v>
      </c>
      <c r="F236" s="795">
        <v>5.0299999999999997E-11</v>
      </c>
      <c r="G236" s="796" t="s">
        <v>1801</v>
      </c>
      <c r="H236" s="797">
        <v>1.216</v>
      </c>
      <c r="I236" s="798" t="s">
        <v>1796</v>
      </c>
      <c r="J236" s="799">
        <v>2.5047400000000001E-2</v>
      </c>
      <c r="K236" s="799">
        <v>6.4146999999999998E-6</v>
      </c>
      <c r="L236" s="800" t="s">
        <v>2367</v>
      </c>
      <c r="M236" s="801">
        <v>16.579999999999998</v>
      </c>
      <c r="N236" s="801" t="s">
        <v>414</v>
      </c>
      <c r="O236" s="802">
        <v>1000000</v>
      </c>
      <c r="P236" s="803" t="s">
        <v>1801</v>
      </c>
      <c r="Q236" s="804">
        <v>7.3100000000000001E-5</v>
      </c>
      <c r="R236" s="805" t="s">
        <v>414</v>
      </c>
      <c r="S236" s="527">
        <v>8.0400000000000003E-4</v>
      </c>
      <c r="T236" s="528" t="s">
        <v>414</v>
      </c>
    </row>
    <row r="237" spans="1:20" ht="15" customHeight="1">
      <c r="A237" s="791" t="s">
        <v>745</v>
      </c>
      <c r="B237" s="792" t="s">
        <v>746</v>
      </c>
      <c r="C237" s="793">
        <v>132.21</v>
      </c>
      <c r="D237" s="794" t="s">
        <v>1801</v>
      </c>
      <c r="E237" s="795">
        <v>2.5551922</v>
      </c>
      <c r="F237" s="795">
        <v>6.25E-2</v>
      </c>
      <c r="G237" s="796" t="s">
        <v>1801</v>
      </c>
      <c r="H237" s="797">
        <v>0.93</v>
      </c>
      <c r="I237" s="798" t="s">
        <v>1798</v>
      </c>
      <c r="J237" s="799">
        <v>5.5745500000000003E-2</v>
      </c>
      <c r="K237" s="799">
        <v>7.7554000000000003E-6</v>
      </c>
      <c r="L237" s="800" t="s">
        <v>2367</v>
      </c>
      <c r="M237" s="801">
        <v>1513</v>
      </c>
      <c r="N237" s="801" t="s">
        <v>414</v>
      </c>
      <c r="O237" s="802">
        <v>26.47</v>
      </c>
      <c r="P237" s="803" t="s">
        <v>1801</v>
      </c>
      <c r="Q237" s="804">
        <v>3.5999999999999997E-2</v>
      </c>
      <c r="R237" s="805" t="s">
        <v>414</v>
      </c>
      <c r="S237" s="527">
        <v>3.5999999999999997E-2</v>
      </c>
      <c r="T237" s="528" t="s">
        <v>414</v>
      </c>
    </row>
    <row r="238" spans="1:20" ht="15" customHeight="1" thickBot="1">
      <c r="A238" s="806" t="s">
        <v>45</v>
      </c>
      <c r="B238" s="807" t="s">
        <v>747</v>
      </c>
      <c r="C238" s="808">
        <v>380.91</v>
      </c>
      <c r="D238" s="809" t="s">
        <v>1801</v>
      </c>
      <c r="E238" s="810">
        <v>4.0880000000000002E-4</v>
      </c>
      <c r="F238" s="810">
        <v>1.0000000000000001E-5</v>
      </c>
      <c r="G238" s="811" t="s">
        <v>1801</v>
      </c>
      <c r="H238" s="812">
        <v>1.75</v>
      </c>
      <c r="I238" s="813" t="s">
        <v>1796</v>
      </c>
      <c r="J238" s="814">
        <v>2.3286500000000002E-2</v>
      </c>
      <c r="K238" s="814">
        <v>6.0062000000000002E-6</v>
      </c>
      <c r="L238" s="815" t="s">
        <v>2367</v>
      </c>
      <c r="M238" s="816">
        <v>20090</v>
      </c>
      <c r="N238" s="816" t="s">
        <v>414</v>
      </c>
      <c r="O238" s="817">
        <v>0.19500000000000001</v>
      </c>
      <c r="P238" s="818" t="s">
        <v>1801</v>
      </c>
      <c r="Q238" s="819">
        <v>3.2599999999999997E-2</v>
      </c>
      <c r="R238" s="820" t="s">
        <v>414</v>
      </c>
      <c r="S238" s="521">
        <v>3.2599999999999997E-2</v>
      </c>
      <c r="T238" s="522" t="s">
        <v>414</v>
      </c>
    </row>
    <row r="239" spans="1:20" ht="15" customHeight="1">
      <c r="A239" s="791" t="s">
        <v>748</v>
      </c>
      <c r="B239" s="792" t="s">
        <v>2407</v>
      </c>
      <c r="C239" s="841" t="s">
        <v>1750</v>
      </c>
      <c r="D239" s="842" t="s">
        <v>43</v>
      </c>
      <c r="E239" s="831" t="s">
        <v>1750</v>
      </c>
      <c r="F239" s="831" t="s">
        <v>1750</v>
      </c>
      <c r="G239" s="832" t="s">
        <v>43</v>
      </c>
      <c r="H239" s="821" t="s">
        <v>1750</v>
      </c>
      <c r="I239" s="822" t="s">
        <v>43</v>
      </c>
      <c r="J239" s="833" t="s">
        <v>1750</v>
      </c>
      <c r="K239" s="833" t="s">
        <v>1750</v>
      </c>
      <c r="L239" s="834" t="s">
        <v>43</v>
      </c>
      <c r="M239" s="835" t="s">
        <v>1750</v>
      </c>
      <c r="N239" s="836" t="s">
        <v>43</v>
      </c>
      <c r="O239" s="837" t="s">
        <v>1750</v>
      </c>
      <c r="P239" s="838" t="s">
        <v>43</v>
      </c>
      <c r="Q239" s="843" t="s">
        <v>1750</v>
      </c>
      <c r="R239" s="844" t="s">
        <v>43</v>
      </c>
      <c r="S239" s="525" t="s">
        <v>1750</v>
      </c>
      <c r="T239" s="526" t="s">
        <v>43</v>
      </c>
    </row>
    <row r="240" spans="1:20" ht="15" customHeight="1">
      <c r="A240" s="791" t="s">
        <v>749</v>
      </c>
      <c r="B240" s="792" t="s">
        <v>750</v>
      </c>
      <c r="C240" s="793">
        <v>105.14</v>
      </c>
      <c r="D240" s="794" t="s">
        <v>1801</v>
      </c>
      <c r="E240" s="795">
        <v>1.5822E-9</v>
      </c>
      <c r="F240" s="795">
        <v>3.8699999999999999E-11</v>
      </c>
      <c r="G240" s="796" t="s">
        <v>414</v>
      </c>
      <c r="H240" s="797">
        <v>1.0966</v>
      </c>
      <c r="I240" s="798" t="s">
        <v>1796</v>
      </c>
      <c r="J240" s="799">
        <v>7.6805399999999996E-2</v>
      </c>
      <c r="K240" s="799">
        <v>9.8229000000000004E-6</v>
      </c>
      <c r="L240" s="800" t="s">
        <v>2367</v>
      </c>
      <c r="M240" s="801">
        <v>1</v>
      </c>
      <c r="N240" s="801" t="s">
        <v>414</v>
      </c>
      <c r="O240" s="802">
        <v>1000000</v>
      </c>
      <c r="P240" s="803" t="s">
        <v>1801</v>
      </c>
      <c r="Q240" s="804">
        <v>4.5099999999999998E-5</v>
      </c>
      <c r="R240" s="805" t="s">
        <v>414</v>
      </c>
      <c r="S240" s="527">
        <v>4.5099999999999998E-5</v>
      </c>
      <c r="T240" s="528" t="s">
        <v>414</v>
      </c>
    </row>
    <row r="241" spans="1:20" ht="15" customHeight="1" thickBot="1">
      <c r="A241" s="806" t="s">
        <v>752</v>
      </c>
      <c r="B241" s="807" t="s">
        <v>753</v>
      </c>
      <c r="C241" s="808">
        <v>162.22999999999999</v>
      </c>
      <c r="D241" s="809" t="s">
        <v>1801</v>
      </c>
      <c r="E241" s="810">
        <v>2.9436E-7</v>
      </c>
      <c r="F241" s="810">
        <v>7.2E-9</v>
      </c>
      <c r="G241" s="811" t="s">
        <v>1801</v>
      </c>
      <c r="H241" s="812">
        <v>0.95530000000000004</v>
      </c>
      <c r="I241" s="813" t="s">
        <v>1796</v>
      </c>
      <c r="J241" s="814">
        <v>4.14384E-2</v>
      </c>
      <c r="K241" s="814">
        <v>6.9707E-6</v>
      </c>
      <c r="L241" s="815" t="s">
        <v>2367</v>
      </c>
      <c r="M241" s="816">
        <v>10</v>
      </c>
      <c r="N241" s="816" t="s">
        <v>414</v>
      </c>
      <c r="O241" s="817">
        <v>1000000</v>
      </c>
      <c r="P241" s="818" t="s">
        <v>1801</v>
      </c>
      <c r="Q241" s="819">
        <v>4.5399999999999998E-4</v>
      </c>
      <c r="R241" s="820" t="s">
        <v>414</v>
      </c>
      <c r="S241" s="521">
        <v>4.5399999999999998E-4</v>
      </c>
      <c r="T241" s="522" t="s">
        <v>414</v>
      </c>
    </row>
    <row r="242" spans="1:20" ht="15" customHeight="1">
      <c r="A242" s="791" t="s">
        <v>754</v>
      </c>
      <c r="B242" s="792" t="s">
        <v>755</v>
      </c>
      <c r="C242" s="793">
        <v>134.18</v>
      </c>
      <c r="D242" s="794" t="s">
        <v>1801</v>
      </c>
      <c r="E242" s="795">
        <v>9.1169000000000003E-7</v>
      </c>
      <c r="F242" s="795">
        <v>2.2300000000000001E-8</v>
      </c>
      <c r="G242" s="796" t="s">
        <v>414</v>
      </c>
      <c r="H242" s="797">
        <v>0.98850000000000005</v>
      </c>
      <c r="I242" s="798" t="s">
        <v>1796</v>
      </c>
      <c r="J242" s="799">
        <v>5.6240499999999999E-2</v>
      </c>
      <c r="K242" s="799">
        <v>7.9734000000000006E-6</v>
      </c>
      <c r="L242" s="800" t="s">
        <v>2367</v>
      </c>
      <c r="M242" s="801">
        <v>1</v>
      </c>
      <c r="N242" s="801" t="s">
        <v>414</v>
      </c>
      <c r="O242" s="802">
        <v>1000000</v>
      </c>
      <c r="P242" s="803" t="s">
        <v>1801</v>
      </c>
      <c r="Q242" s="804">
        <v>1.21E-4</v>
      </c>
      <c r="R242" s="805" t="s">
        <v>414</v>
      </c>
      <c r="S242" s="527">
        <v>1.21E-4</v>
      </c>
      <c r="T242" s="528" t="s">
        <v>414</v>
      </c>
    </row>
    <row r="243" spans="1:20" ht="15" customHeight="1">
      <c r="A243" s="791" t="s">
        <v>756</v>
      </c>
      <c r="B243" s="792" t="s">
        <v>757</v>
      </c>
      <c r="C243" s="793">
        <v>101.15</v>
      </c>
      <c r="D243" s="794" t="s">
        <v>1801</v>
      </c>
      <c r="E243" s="795">
        <v>5.3148000000000003E-6</v>
      </c>
      <c r="F243" s="795">
        <v>1.3E-7</v>
      </c>
      <c r="G243" s="796" t="s">
        <v>1801</v>
      </c>
      <c r="H243" s="797">
        <v>0.90800000000000003</v>
      </c>
      <c r="I243" s="798" t="s">
        <v>1796</v>
      </c>
      <c r="J243" s="799">
        <v>7.3301000000000005E-2</v>
      </c>
      <c r="K243" s="799">
        <v>8.9772999999999996E-6</v>
      </c>
      <c r="L243" s="800" t="s">
        <v>2367</v>
      </c>
      <c r="M243" s="801">
        <v>2.06</v>
      </c>
      <c r="N243" s="801" t="s">
        <v>414</v>
      </c>
      <c r="O243" s="802">
        <v>1000000</v>
      </c>
      <c r="P243" s="803" t="s">
        <v>1801</v>
      </c>
      <c r="Q243" s="804">
        <v>4.57E-4</v>
      </c>
      <c r="R243" s="805" t="s">
        <v>414</v>
      </c>
      <c r="S243" s="527">
        <v>4.57E-4</v>
      </c>
      <c r="T243" s="528" t="s">
        <v>414</v>
      </c>
    </row>
    <row r="244" spans="1:20" ht="15" customHeight="1" thickBot="1">
      <c r="A244" s="806" t="s">
        <v>758</v>
      </c>
      <c r="B244" s="807" t="s">
        <v>759</v>
      </c>
      <c r="C244" s="808">
        <v>268.36</v>
      </c>
      <c r="D244" s="809" t="s">
        <v>1801</v>
      </c>
      <c r="E244" s="810">
        <v>2.3709999999999999E-10</v>
      </c>
      <c r="F244" s="810">
        <v>5.8000000000000003E-12</v>
      </c>
      <c r="G244" s="811" t="s">
        <v>1801</v>
      </c>
      <c r="H244" s="839" t="s">
        <v>1750</v>
      </c>
      <c r="I244" s="840" t="s">
        <v>43</v>
      </c>
      <c r="J244" s="814">
        <v>4.5667600000000003E-2</v>
      </c>
      <c r="K244" s="814">
        <v>5.3359E-6</v>
      </c>
      <c r="L244" s="815" t="s">
        <v>2367</v>
      </c>
      <c r="M244" s="816">
        <v>274100</v>
      </c>
      <c r="N244" s="816" t="s">
        <v>414</v>
      </c>
      <c r="O244" s="817">
        <v>12</v>
      </c>
      <c r="P244" s="818" t="s">
        <v>1801</v>
      </c>
      <c r="Q244" s="819">
        <v>0.114</v>
      </c>
      <c r="R244" s="820" t="s">
        <v>414</v>
      </c>
      <c r="S244" s="521">
        <v>0.114</v>
      </c>
      <c r="T244" s="522" t="s">
        <v>414</v>
      </c>
    </row>
    <row r="245" spans="1:20" ht="15" customHeight="1">
      <c r="A245" s="791" t="s">
        <v>760</v>
      </c>
      <c r="B245" s="792" t="s">
        <v>761</v>
      </c>
      <c r="C245" s="793">
        <v>360.44</v>
      </c>
      <c r="D245" s="794" t="s">
        <v>1801</v>
      </c>
      <c r="E245" s="831" t="s">
        <v>1750</v>
      </c>
      <c r="F245" s="831" t="s">
        <v>1750</v>
      </c>
      <c r="G245" s="832" t="s">
        <v>43</v>
      </c>
      <c r="H245" s="821" t="s">
        <v>1750</v>
      </c>
      <c r="I245" s="822" t="s">
        <v>43</v>
      </c>
      <c r="J245" s="799">
        <v>3.7514400000000003E-2</v>
      </c>
      <c r="K245" s="799">
        <v>4.3833E-6</v>
      </c>
      <c r="L245" s="800" t="s">
        <v>2367</v>
      </c>
      <c r="M245" s="801">
        <v>78380</v>
      </c>
      <c r="N245" s="801" t="s">
        <v>414</v>
      </c>
      <c r="O245" s="802">
        <v>817000</v>
      </c>
      <c r="P245" s="803" t="s">
        <v>1801</v>
      </c>
      <c r="Q245" s="804">
        <v>4.0200000000000001E-5</v>
      </c>
      <c r="R245" s="805" t="s">
        <v>414</v>
      </c>
      <c r="S245" s="527">
        <v>4.0200000000000001E-5</v>
      </c>
      <c r="T245" s="528" t="s">
        <v>414</v>
      </c>
    </row>
    <row r="246" spans="1:20" ht="15" customHeight="1">
      <c r="A246" s="791" t="s">
        <v>762</v>
      </c>
      <c r="B246" s="792" t="s">
        <v>763</v>
      </c>
      <c r="C246" s="793">
        <v>310.69</v>
      </c>
      <c r="D246" s="794" t="s">
        <v>1801</v>
      </c>
      <c r="E246" s="795">
        <v>1.8806E-7</v>
      </c>
      <c r="F246" s="795">
        <v>4.5999999999999998E-9</v>
      </c>
      <c r="G246" s="796" t="s">
        <v>414</v>
      </c>
      <c r="H246" s="821" t="s">
        <v>1750</v>
      </c>
      <c r="I246" s="822" t="s">
        <v>43</v>
      </c>
      <c r="J246" s="799">
        <v>4.1419200000000003E-2</v>
      </c>
      <c r="K246" s="799">
        <v>4.8395E-6</v>
      </c>
      <c r="L246" s="800" t="s">
        <v>2367</v>
      </c>
      <c r="M246" s="801">
        <v>463.2</v>
      </c>
      <c r="N246" s="801" t="s">
        <v>414</v>
      </c>
      <c r="O246" s="802">
        <v>0.08</v>
      </c>
      <c r="P246" s="803" t="s">
        <v>1801</v>
      </c>
      <c r="Q246" s="804">
        <v>1.0699999999999999E-2</v>
      </c>
      <c r="R246" s="805" t="s">
        <v>414</v>
      </c>
      <c r="S246" s="527">
        <v>1.0699999999999999E-2</v>
      </c>
      <c r="T246" s="528" t="s">
        <v>414</v>
      </c>
    </row>
    <row r="247" spans="1:20" ht="15" customHeight="1" thickBot="1">
      <c r="A247" s="806" t="s">
        <v>764</v>
      </c>
      <c r="B247" s="807" t="s">
        <v>765</v>
      </c>
      <c r="C247" s="808">
        <v>66.051000000000002</v>
      </c>
      <c r="D247" s="809" t="s">
        <v>1801</v>
      </c>
      <c r="E247" s="810">
        <v>0.82992639999999995</v>
      </c>
      <c r="F247" s="810">
        <v>2.0299999999999999E-2</v>
      </c>
      <c r="G247" s="811" t="s">
        <v>1801</v>
      </c>
      <c r="H247" s="812">
        <v>0.89600000000000002</v>
      </c>
      <c r="I247" s="813" t="s">
        <v>1796</v>
      </c>
      <c r="J247" s="814">
        <v>0.1023145</v>
      </c>
      <c r="K247" s="814">
        <v>1.15E-5</v>
      </c>
      <c r="L247" s="815" t="s">
        <v>2367</v>
      </c>
      <c r="M247" s="816">
        <v>31.82</v>
      </c>
      <c r="N247" s="816" t="s">
        <v>414</v>
      </c>
      <c r="O247" s="817">
        <v>3200</v>
      </c>
      <c r="P247" s="818" t="s">
        <v>1801</v>
      </c>
      <c r="Q247" s="819">
        <v>2.0999999999999999E-3</v>
      </c>
      <c r="R247" s="820" t="s">
        <v>414</v>
      </c>
      <c r="S247" s="521">
        <v>2.0999999999999999E-3</v>
      </c>
      <c r="T247" s="522" t="s">
        <v>414</v>
      </c>
    </row>
    <row r="248" spans="1:20" ht="15" customHeight="1">
      <c r="A248" s="791" t="s">
        <v>766</v>
      </c>
      <c r="B248" s="792" t="s">
        <v>767</v>
      </c>
      <c r="C248" s="793">
        <v>164.21</v>
      </c>
      <c r="D248" s="794" t="s">
        <v>1801</v>
      </c>
      <c r="E248" s="795">
        <v>4.9879999999999998E-4</v>
      </c>
      <c r="F248" s="795">
        <v>1.22E-5</v>
      </c>
      <c r="G248" s="796" t="s">
        <v>1801</v>
      </c>
      <c r="H248" s="797">
        <v>1.0649999999999999</v>
      </c>
      <c r="I248" s="798" t="s">
        <v>2168</v>
      </c>
      <c r="J248" s="799">
        <v>4.25858E-2</v>
      </c>
      <c r="K248" s="799">
        <v>7.3865999999999997E-6</v>
      </c>
      <c r="L248" s="800" t="s">
        <v>2367</v>
      </c>
      <c r="M248" s="801">
        <v>207.2</v>
      </c>
      <c r="N248" s="801" t="s">
        <v>414</v>
      </c>
      <c r="O248" s="802">
        <v>56.87</v>
      </c>
      <c r="P248" s="803" t="s">
        <v>1801</v>
      </c>
      <c r="Q248" s="804">
        <v>4.5199999999999997E-2</v>
      </c>
      <c r="R248" s="805" t="s">
        <v>414</v>
      </c>
      <c r="S248" s="527">
        <v>4.5199999999999997E-2</v>
      </c>
      <c r="T248" s="528" t="s">
        <v>414</v>
      </c>
    </row>
    <row r="249" spans="1:20" ht="15" customHeight="1">
      <c r="A249" s="791" t="s">
        <v>768</v>
      </c>
      <c r="B249" s="792" t="s">
        <v>769</v>
      </c>
      <c r="C249" s="793">
        <v>102.18</v>
      </c>
      <c r="D249" s="794" t="s">
        <v>1801</v>
      </c>
      <c r="E249" s="795">
        <v>0.1046607</v>
      </c>
      <c r="F249" s="795">
        <v>2.5600000000000002E-3</v>
      </c>
      <c r="G249" s="796" t="s">
        <v>1801</v>
      </c>
      <c r="H249" s="797">
        <v>0.71919999999999995</v>
      </c>
      <c r="I249" s="798" t="s">
        <v>1796</v>
      </c>
      <c r="J249" s="799">
        <v>6.5422599999999997E-2</v>
      </c>
      <c r="K249" s="799">
        <v>7.7581999999999997E-6</v>
      </c>
      <c r="L249" s="800" t="s">
        <v>2367</v>
      </c>
      <c r="M249" s="801">
        <v>22.79</v>
      </c>
      <c r="N249" s="801" t="s">
        <v>414</v>
      </c>
      <c r="O249" s="802">
        <v>8800</v>
      </c>
      <c r="P249" s="803" t="s">
        <v>1801</v>
      </c>
      <c r="Q249" s="804">
        <v>4.28E-3</v>
      </c>
      <c r="R249" s="805" t="s">
        <v>414</v>
      </c>
      <c r="S249" s="527">
        <v>4.28E-3</v>
      </c>
      <c r="T249" s="528" t="s">
        <v>414</v>
      </c>
    </row>
    <row r="250" spans="1:20" ht="15" customHeight="1" thickBot="1">
      <c r="A250" s="806" t="s">
        <v>770</v>
      </c>
      <c r="B250" s="807" t="s">
        <v>771</v>
      </c>
      <c r="C250" s="808">
        <v>180.19</v>
      </c>
      <c r="D250" s="809" t="s">
        <v>1801</v>
      </c>
      <c r="E250" s="810">
        <v>1.7907000000000001E-3</v>
      </c>
      <c r="F250" s="810">
        <v>4.3800000000000001E-5</v>
      </c>
      <c r="G250" s="811" t="s">
        <v>414</v>
      </c>
      <c r="H250" s="812">
        <v>0.97599999999999998</v>
      </c>
      <c r="I250" s="813" t="s">
        <v>2171</v>
      </c>
      <c r="J250" s="814">
        <v>3.3527500000000002E-2</v>
      </c>
      <c r="K250" s="814">
        <v>6.6297999999999996E-6</v>
      </c>
      <c r="L250" s="815" t="s">
        <v>2367</v>
      </c>
      <c r="M250" s="816">
        <v>42.2</v>
      </c>
      <c r="N250" s="816" t="s">
        <v>414</v>
      </c>
      <c r="O250" s="817">
        <v>1500</v>
      </c>
      <c r="P250" s="818" t="s">
        <v>1801</v>
      </c>
      <c r="Q250" s="819">
        <v>7.3800000000000005E-4</v>
      </c>
      <c r="R250" s="820" t="s">
        <v>414</v>
      </c>
      <c r="S250" s="521">
        <v>7.3800000000000005E-4</v>
      </c>
      <c r="T250" s="522" t="s">
        <v>414</v>
      </c>
    </row>
    <row r="251" spans="1:20" ht="15" customHeight="1">
      <c r="A251" s="791" t="s">
        <v>772</v>
      </c>
      <c r="B251" s="792" t="s">
        <v>773</v>
      </c>
      <c r="C251" s="793">
        <v>210.27</v>
      </c>
      <c r="D251" s="794" t="s">
        <v>1801</v>
      </c>
      <c r="E251" s="795">
        <v>9.4029999999999995E-10</v>
      </c>
      <c r="F251" s="795">
        <v>2.3000000000000001E-11</v>
      </c>
      <c r="G251" s="796" t="s">
        <v>414</v>
      </c>
      <c r="H251" s="821" t="s">
        <v>1750</v>
      </c>
      <c r="I251" s="822" t="s">
        <v>43</v>
      </c>
      <c r="J251" s="799">
        <v>5.3732299999999997E-2</v>
      </c>
      <c r="K251" s="799">
        <v>6.2782000000000003E-6</v>
      </c>
      <c r="L251" s="800" t="s">
        <v>2367</v>
      </c>
      <c r="M251" s="801">
        <v>10</v>
      </c>
      <c r="N251" s="801" t="s">
        <v>414</v>
      </c>
      <c r="O251" s="802">
        <v>4600</v>
      </c>
      <c r="P251" s="803" t="s">
        <v>1801</v>
      </c>
      <c r="Q251" s="804">
        <v>7.9800000000000002E-5</v>
      </c>
      <c r="R251" s="805" t="s">
        <v>414</v>
      </c>
      <c r="S251" s="527">
        <v>7.9800000000000002E-5</v>
      </c>
      <c r="T251" s="528" t="s">
        <v>414</v>
      </c>
    </row>
    <row r="252" spans="1:20" ht="15" customHeight="1">
      <c r="A252" s="791" t="s">
        <v>774</v>
      </c>
      <c r="B252" s="792" t="s">
        <v>775</v>
      </c>
      <c r="C252" s="793">
        <v>229.26</v>
      </c>
      <c r="D252" s="794" t="s">
        <v>1801</v>
      </c>
      <c r="E252" s="795">
        <v>9.9345999999999992E-9</v>
      </c>
      <c r="F252" s="795">
        <v>2.4299999999999999E-10</v>
      </c>
      <c r="G252" s="796" t="s">
        <v>414</v>
      </c>
      <c r="H252" s="797">
        <v>1.2769999999999999</v>
      </c>
      <c r="I252" s="798" t="s">
        <v>1796</v>
      </c>
      <c r="J252" s="799">
        <v>2.6085199999999999E-2</v>
      </c>
      <c r="K252" s="799">
        <v>6.742E-6</v>
      </c>
      <c r="L252" s="800" t="s">
        <v>2367</v>
      </c>
      <c r="M252" s="801">
        <v>12.77</v>
      </c>
      <c r="N252" s="801" t="s">
        <v>414</v>
      </c>
      <c r="O252" s="802">
        <v>23300</v>
      </c>
      <c r="P252" s="803" t="s">
        <v>1801</v>
      </c>
      <c r="Q252" s="804">
        <v>2.6699999999999998E-4</v>
      </c>
      <c r="R252" s="805" t="s">
        <v>414</v>
      </c>
      <c r="S252" s="527">
        <v>2.6699999999999998E-4</v>
      </c>
      <c r="T252" s="528" t="s">
        <v>414</v>
      </c>
    </row>
    <row r="253" spans="1:20" ht="15" customHeight="1" thickBot="1">
      <c r="A253" s="806" t="s">
        <v>776</v>
      </c>
      <c r="B253" s="807" t="s">
        <v>777</v>
      </c>
      <c r="C253" s="808">
        <v>244.3</v>
      </c>
      <c r="D253" s="809" t="s">
        <v>1801</v>
      </c>
      <c r="E253" s="810">
        <v>1.9215E-9</v>
      </c>
      <c r="F253" s="810">
        <v>4.6999999999999999E-11</v>
      </c>
      <c r="G253" s="811" t="s">
        <v>1801</v>
      </c>
      <c r="H253" s="839" t="s">
        <v>1750</v>
      </c>
      <c r="I253" s="840" t="s">
        <v>43</v>
      </c>
      <c r="J253" s="814">
        <v>4.8618799999999997E-2</v>
      </c>
      <c r="K253" s="814">
        <v>5.6806999999999997E-6</v>
      </c>
      <c r="L253" s="815" t="s">
        <v>2367</v>
      </c>
      <c r="M253" s="816">
        <v>508.8</v>
      </c>
      <c r="N253" s="816" t="s">
        <v>414</v>
      </c>
      <c r="O253" s="817">
        <v>60</v>
      </c>
      <c r="P253" s="818" t="s">
        <v>1801</v>
      </c>
      <c r="Q253" s="819">
        <v>1.06E-3</v>
      </c>
      <c r="R253" s="820" t="s">
        <v>414</v>
      </c>
      <c r="S253" s="521">
        <v>1.06E-3</v>
      </c>
      <c r="T253" s="522" t="s">
        <v>414</v>
      </c>
    </row>
    <row r="254" spans="1:20" ht="15" customHeight="1">
      <c r="A254" s="791" t="s">
        <v>778</v>
      </c>
      <c r="B254" s="792" t="s">
        <v>779</v>
      </c>
      <c r="C254" s="793">
        <v>124.08</v>
      </c>
      <c r="D254" s="794" t="s">
        <v>1801</v>
      </c>
      <c r="E254" s="795">
        <v>5.5601000000000003E-6</v>
      </c>
      <c r="F254" s="795">
        <v>1.36E-7</v>
      </c>
      <c r="G254" s="796" t="s">
        <v>1801</v>
      </c>
      <c r="H254" s="797">
        <v>1.1684000000000001</v>
      </c>
      <c r="I254" s="798" t="s">
        <v>1796</v>
      </c>
      <c r="J254" s="799">
        <v>6.6579600000000003E-2</v>
      </c>
      <c r="K254" s="799">
        <v>9.2385999999999999E-6</v>
      </c>
      <c r="L254" s="800" t="s">
        <v>2367</v>
      </c>
      <c r="M254" s="801">
        <v>5.407</v>
      </c>
      <c r="N254" s="801" t="s">
        <v>414</v>
      </c>
      <c r="O254" s="802">
        <v>1000000</v>
      </c>
      <c r="P254" s="803" t="s">
        <v>1801</v>
      </c>
      <c r="Q254" s="804">
        <v>1.2400000000000001E-4</v>
      </c>
      <c r="R254" s="805" t="s">
        <v>414</v>
      </c>
      <c r="S254" s="527">
        <v>1.2400000000000001E-4</v>
      </c>
      <c r="T254" s="528" t="s">
        <v>414</v>
      </c>
    </row>
    <row r="255" spans="1:20" ht="15" customHeight="1">
      <c r="A255" s="791" t="s">
        <v>780</v>
      </c>
      <c r="B255" s="792" t="s">
        <v>781</v>
      </c>
      <c r="C255" s="793">
        <v>225.3</v>
      </c>
      <c r="D255" s="794" t="s">
        <v>1801</v>
      </c>
      <c r="E255" s="795">
        <v>1.6353000000000001E-8</v>
      </c>
      <c r="F255" s="795">
        <v>4.0000000000000001E-10</v>
      </c>
      <c r="G255" s="796" t="s">
        <v>1801</v>
      </c>
      <c r="H255" s="821" t="s">
        <v>1750</v>
      </c>
      <c r="I255" s="822" t="s">
        <v>43</v>
      </c>
      <c r="J255" s="799">
        <v>5.1315199999999998E-2</v>
      </c>
      <c r="K255" s="799">
        <v>5.9958000000000003E-6</v>
      </c>
      <c r="L255" s="800" t="s">
        <v>2367</v>
      </c>
      <c r="M255" s="801">
        <v>2028</v>
      </c>
      <c r="N255" s="801" t="s">
        <v>414</v>
      </c>
      <c r="O255" s="802">
        <v>0.23</v>
      </c>
      <c r="P255" s="803" t="s">
        <v>1801</v>
      </c>
      <c r="Q255" s="804">
        <v>9.4299999999999995E-2</v>
      </c>
      <c r="R255" s="805" t="s">
        <v>414</v>
      </c>
      <c r="S255" s="527">
        <v>9.4299999999999995E-2</v>
      </c>
      <c r="T255" s="528" t="s">
        <v>414</v>
      </c>
    </row>
    <row r="256" spans="1:20" ht="15" customHeight="1" thickBot="1">
      <c r="A256" s="806" t="s">
        <v>782</v>
      </c>
      <c r="B256" s="807" t="s">
        <v>783</v>
      </c>
      <c r="C256" s="808">
        <v>121.18</v>
      </c>
      <c r="D256" s="809" t="s">
        <v>1801</v>
      </c>
      <c r="E256" s="810">
        <v>9.48E-5</v>
      </c>
      <c r="F256" s="810">
        <v>2.3199999999999998E-6</v>
      </c>
      <c r="G256" s="811" t="s">
        <v>1801</v>
      </c>
      <c r="H256" s="839" t="s">
        <v>1750</v>
      </c>
      <c r="I256" s="840" t="s">
        <v>43</v>
      </c>
      <c r="J256" s="814">
        <v>7.7588900000000002E-2</v>
      </c>
      <c r="K256" s="814">
        <v>9.0657000000000003E-6</v>
      </c>
      <c r="L256" s="815" t="s">
        <v>2367</v>
      </c>
      <c r="M256" s="816">
        <v>351.9</v>
      </c>
      <c r="N256" s="816" t="s">
        <v>414</v>
      </c>
      <c r="O256" s="817">
        <v>3650</v>
      </c>
      <c r="P256" s="818" t="s">
        <v>1801</v>
      </c>
      <c r="Q256" s="819">
        <v>2.02E-5</v>
      </c>
      <c r="R256" s="820" t="s">
        <v>414</v>
      </c>
      <c r="S256" s="521">
        <v>2.02E-5</v>
      </c>
      <c r="T256" s="522" t="s">
        <v>414</v>
      </c>
    </row>
    <row r="257" spans="1:20" ht="15" customHeight="1">
      <c r="A257" s="791" t="s">
        <v>784</v>
      </c>
      <c r="B257" s="792" t="s">
        <v>785</v>
      </c>
      <c r="C257" s="793">
        <v>121.18</v>
      </c>
      <c r="D257" s="794" t="s">
        <v>1801</v>
      </c>
      <c r="E257" s="795">
        <v>1.022E-4</v>
      </c>
      <c r="F257" s="795">
        <v>2.5000000000000002E-6</v>
      </c>
      <c r="G257" s="796" t="s">
        <v>1801</v>
      </c>
      <c r="H257" s="797">
        <v>0.97230000000000005</v>
      </c>
      <c r="I257" s="798" t="s">
        <v>1796</v>
      </c>
      <c r="J257" s="799">
        <v>6.3024899999999995E-2</v>
      </c>
      <c r="K257" s="799">
        <v>8.3924999999999997E-6</v>
      </c>
      <c r="L257" s="800" t="s">
        <v>2367</v>
      </c>
      <c r="M257" s="801">
        <v>184.5</v>
      </c>
      <c r="N257" s="801" t="s">
        <v>414</v>
      </c>
      <c r="O257" s="802">
        <v>6069</v>
      </c>
      <c r="P257" s="803" t="s">
        <v>1801</v>
      </c>
      <c r="Q257" s="804">
        <v>4.28E-3</v>
      </c>
      <c r="R257" s="805" t="s">
        <v>414</v>
      </c>
      <c r="S257" s="527">
        <v>4.28E-3</v>
      </c>
      <c r="T257" s="528" t="s">
        <v>414</v>
      </c>
    </row>
    <row r="258" spans="1:20" ht="15" customHeight="1">
      <c r="A258" s="791" t="s">
        <v>786</v>
      </c>
      <c r="B258" s="792" t="s">
        <v>787</v>
      </c>
      <c r="C258" s="793">
        <v>121.18</v>
      </c>
      <c r="D258" s="794" t="s">
        <v>1801</v>
      </c>
      <c r="E258" s="795">
        <v>2.3222E-3</v>
      </c>
      <c r="F258" s="795">
        <v>5.6799999999999998E-5</v>
      </c>
      <c r="G258" s="796" t="s">
        <v>414</v>
      </c>
      <c r="H258" s="797">
        <v>0.95569999999999999</v>
      </c>
      <c r="I258" s="798" t="s">
        <v>1796</v>
      </c>
      <c r="J258" s="799">
        <v>6.2541100000000002E-2</v>
      </c>
      <c r="K258" s="799">
        <v>8.3063000000000004E-6</v>
      </c>
      <c r="L258" s="800" t="s">
        <v>2367</v>
      </c>
      <c r="M258" s="801">
        <v>78.67</v>
      </c>
      <c r="N258" s="801" t="s">
        <v>414</v>
      </c>
      <c r="O258" s="802">
        <v>1450</v>
      </c>
      <c r="P258" s="803" t="s">
        <v>1801</v>
      </c>
      <c r="Q258" s="804">
        <v>1.12E-2</v>
      </c>
      <c r="R258" s="805" t="s">
        <v>414</v>
      </c>
      <c r="S258" s="527">
        <v>1.12E-2</v>
      </c>
      <c r="T258" s="528" t="s">
        <v>414</v>
      </c>
    </row>
    <row r="259" spans="1:20" ht="15" customHeight="1" thickBot="1">
      <c r="A259" s="806" t="s">
        <v>788</v>
      </c>
      <c r="B259" s="807" t="s">
        <v>789</v>
      </c>
      <c r="C259" s="808">
        <v>212.3</v>
      </c>
      <c r="D259" s="809" t="s">
        <v>1801</v>
      </c>
      <c r="E259" s="810">
        <v>2.5715000000000001E-9</v>
      </c>
      <c r="F259" s="810">
        <v>6.2899999999999997E-11</v>
      </c>
      <c r="G259" s="811" t="s">
        <v>1801</v>
      </c>
      <c r="H259" s="839" t="s">
        <v>1750</v>
      </c>
      <c r="I259" s="840" t="s">
        <v>43</v>
      </c>
      <c r="J259" s="814">
        <v>5.3389199999999998E-2</v>
      </c>
      <c r="K259" s="814">
        <v>6.2380999999999996E-6</v>
      </c>
      <c r="L259" s="815" t="s">
        <v>2367</v>
      </c>
      <c r="M259" s="816">
        <v>3190</v>
      </c>
      <c r="N259" s="816" t="s">
        <v>414</v>
      </c>
      <c r="O259" s="817">
        <v>1300</v>
      </c>
      <c r="P259" s="818" t="s">
        <v>1801</v>
      </c>
      <c r="Q259" s="819">
        <v>3.62E-3</v>
      </c>
      <c r="R259" s="820" t="s">
        <v>414</v>
      </c>
      <c r="S259" s="521">
        <v>3.62E-3</v>
      </c>
      <c r="T259" s="522" t="s">
        <v>414</v>
      </c>
    </row>
    <row r="260" spans="1:20" ht="15" customHeight="1">
      <c r="A260" s="791" t="s">
        <v>790</v>
      </c>
      <c r="B260" s="792" t="s">
        <v>791</v>
      </c>
      <c r="C260" s="793">
        <v>73.094999999999999</v>
      </c>
      <c r="D260" s="794" t="s">
        <v>1801</v>
      </c>
      <c r="E260" s="795">
        <v>3.0213000000000002E-6</v>
      </c>
      <c r="F260" s="795">
        <v>7.3900000000000007E-8</v>
      </c>
      <c r="G260" s="796" t="s">
        <v>1801</v>
      </c>
      <c r="H260" s="797">
        <v>0.94450000000000001</v>
      </c>
      <c r="I260" s="798" t="s">
        <v>1796</v>
      </c>
      <c r="J260" s="799">
        <v>9.7184599999999996E-2</v>
      </c>
      <c r="K260" s="799">
        <v>1.1199999999999999E-5</v>
      </c>
      <c r="L260" s="800" t="s">
        <v>2367</v>
      </c>
      <c r="M260" s="801">
        <v>1</v>
      </c>
      <c r="N260" s="801" t="s">
        <v>414</v>
      </c>
      <c r="O260" s="802">
        <v>1000000</v>
      </c>
      <c r="P260" s="803" t="s">
        <v>1801</v>
      </c>
      <c r="Q260" s="804">
        <v>1.2999999999999999E-4</v>
      </c>
      <c r="R260" s="805" t="s">
        <v>414</v>
      </c>
      <c r="S260" s="527">
        <v>1.2999999999999999E-4</v>
      </c>
      <c r="T260" s="528" t="s">
        <v>414</v>
      </c>
    </row>
    <row r="261" spans="1:20" ht="15" customHeight="1">
      <c r="A261" s="791" t="s">
        <v>792</v>
      </c>
      <c r="B261" s="792" t="s">
        <v>793</v>
      </c>
      <c r="C261" s="793">
        <v>60.098999999999997</v>
      </c>
      <c r="D261" s="794" t="s">
        <v>1801</v>
      </c>
      <c r="E261" s="795">
        <v>5.2740000000000003E-4</v>
      </c>
      <c r="F261" s="795">
        <v>1.29E-5</v>
      </c>
      <c r="G261" s="796" t="s">
        <v>1801</v>
      </c>
      <c r="H261" s="797">
        <v>0.79100000000000004</v>
      </c>
      <c r="I261" s="798" t="s">
        <v>1796</v>
      </c>
      <c r="J261" s="799">
        <v>0.10378569999999999</v>
      </c>
      <c r="K261" s="799">
        <v>1.13E-5</v>
      </c>
      <c r="L261" s="800" t="s">
        <v>2367</v>
      </c>
      <c r="M261" s="801">
        <v>11.95</v>
      </c>
      <c r="N261" s="801" t="s">
        <v>414</v>
      </c>
      <c r="O261" s="802">
        <v>1000000</v>
      </c>
      <c r="P261" s="803" t="s">
        <v>1801</v>
      </c>
      <c r="Q261" s="804">
        <v>7.2700000000000005E-5</v>
      </c>
      <c r="R261" s="805" t="s">
        <v>1797</v>
      </c>
      <c r="S261" s="527">
        <v>7.2700000000000005E-5</v>
      </c>
      <c r="T261" s="528" t="s">
        <v>1797</v>
      </c>
    </row>
    <row r="262" spans="1:20" ht="15" customHeight="1" thickBot="1">
      <c r="A262" s="806" t="s">
        <v>794</v>
      </c>
      <c r="B262" s="807" t="s">
        <v>795</v>
      </c>
      <c r="C262" s="808">
        <v>60.098999999999997</v>
      </c>
      <c r="D262" s="809" t="s">
        <v>1801</v>
      </c>
      <c r="E262" s="810">
        <v>2.8414E-6</v>
      </c>
      <c r="F262" s="810">
        <v>6.9499999999999994E-8</v>
      </c>
      <c r="G262" s="811" t="s">
        <v>1801</v>
      </c>
      <c r="H262" s="812">
        <v>0.82740000000000002</v>
      </c>
      <c r="I262" s="813" t="s">
        <v>1796</v>
      </c>
      <c r="J262" s="814">
        <v>0.1057704</v>
      </c>
      <c r="K262" s="814">
        <v>1.1600000000000001E-5</v>
      </c>
      <c r="L262" s="815" t="s">
        <v>2367</v>
      </c>
      <c r="M262" s="816">
        <v>14.87</v>
      </c>
      <c r="N262" s="816" t="s">
        <v>414</v>
      </c>
      <c r="O262" s="817">
        <v>1000000</v>
      </c>
      <c r="P262" s="818" t="s">
        <v>1801</v>
      </c>
      <c r="Q262" s="819">
        <v>3.1700000000000001E-4</v>
      </c>
      <c r="R262" s="820" t="s">
        <v>414</v>
      </c>
      <c r="S262" s="521">
        <v>3.1700000000000001E-4</v>
      </c>
      <c r="T262" s="522" t="s">
        <v>414</v>
      </c>
    </row>
    <row r="263" spans="1:20" ht="15" customHeight="1">
      <c r="A263" s="791" t="s">
        <v>796</v>
      </c>
      <c r="B263" s="792" t="s">
        <v>797</v>
      </c>
      <c r="C263" s="793">
        <v>122.17</v>
      </c>
      <c r="D263" s="794" t="s">
        <v>1801</v>
      </c>
      <c r="E263" s="795">
        <v>3.8899999999999997E-5</v>
      </c>
      <c r="F263" s="795">
        <v>9.5099999999999998E-7</v>
      </c>
      <c r="G263" s="796" t="s">
        <v>1801</v>
      </c>
      <c r="H263" s="797">
        <v>0.96499999999999997</v>
      </c>
      <c r="I263" s="798" t="s">
        <v>1796</v>
      </c>
      <c r="J263" s="799">
        <v>6.2245099999999998E-2</v>
      </c>
      <c r="K263" s="799">
        <v>8.3140000000000004E-6</v>
      </c>
      <c r="L263" s="800" t="s">
        <v>2367</v>
      </c>
      <c r="M263" s="801">
        <v>491.8</v>
      </c>
      <c r="N263" s="801" t="s">
        <v>414</v>
      </c>
      <c r="O263" s="802">
        <v>7870</v>
      </c>
      <c r="P263" s="803" t="s">
        <v>1801</v>
      </c>
      <c r="Q263" s="804">
        <v>1.09E-2</v>
      </c>
      <c r="R263" s="805" t="s">
        <v>414</v>
      </c>
      <c r="S263" s="527">
        <v>1.09E-2</v>
      </c>
      <c r="T263" s="528" t="s">
        <v>414</v>
      </c>
    </row>
    <row r="264" spans="1:20" ht="15" customHeight="1">
      <c r="A264" s="791" t="s">
        <v>798</v>
      </c>
      <c r="B264" s="792" t="s">
        <v>799</v>
      </c>
      <c r="C264" s="793">
        <v>122.17</v>
      </c>
      <c r="D264" s="794" t="s">
        <v>1801</v>
      </c>
      <c r="E264" s="795">
        <v>2.719E-4</v>
      </c>
      <c r="F264" s="795">
        <v>6.6499999999999999E-6</v>
      </c>
      <c r="G264" s="796" t="s">
        <v>1801</v>
      </c>
      <c r="H264" s="821" t="s">
        <v>1750</v>
      </c>
      <c r="I264" s="822" t="s">
        <v>43</v>
      </c>
      <c r="J264" s="799">
        <v>7.7169199999999993E-2</v>
      </c>
      <c r="K264" s="799">
        <v>9.0165999999999994E-6</v>
      </c>
      <c r="L264" s="800" t="s">
        <v>2367</v>
      </c>
      <c r="M264" s="801">
        <v>501.9</v>
      </c>
      <c r="N264" s="801" t="s">
        <v>414</v>
      </c>
      <c r="O264" s="802">
        <v>6050</v>
      </c>
      <c r="P264" s="803" t="s">
        <v>1801</v>
      </c>
      <c r="Q264" s="804">
        <v>1.2E-2</v>
      </c>
      <c r="R264" s="805" t="s">
        <v>414</v>
      </c>
      <c r="S264" s="527">
        <v>1.2E-2</v>
      </c>
      <c r="T264" s="528" t="s">
        <v>414</v>
      </c>
    </row>
    <row r="265" spans="1:20" ht="15" customHeight="1" thickBot="1">
      <c r="A265" s="806" t="s">
        <v>800</v>
      </c>
      <c r="B265" s="807" t="s">
        <v>801</v>
      </c>
      <c r="C265" s="808">
        <v>122.17</v>
      </c>
      <c r="D265" s="809" t="s">
        <v>1801</v>
      </c>
      <c r="E265" s="810">
        <v>1.7E-5</v>
      </c>
      <c r="F265" s="810">
        <v>4.15E-7</v>
      </c>
      <c r="G265" s="811" t="s">
        <v>1801</v>
      </c>
      <c r="H265" s="812">
        <v>0.98299999999999998</v>
      </c>
      <c r="I265" s="813" t="s">
        <v>1796</v>
      </c>
      <c r="J265" s="814">
        <v>6.2761800000000006E-2</v>
      </c>
      <c r="K265" s="814">
        <v>8.4067000000000003E-6</v>
      </c>
      <c r="L265" s="815" t="s">
        <v>2367</v>
      </c>
      <c r="M265" s="816">
        <v>491.8</v>
      </c>
      <c r="N265" s="816" t="s">
        <v>414</v>
      </c>
      <c r="O265" s="817">
        <v>4760</v>
      </c>
      <c r="P265" s="818" t="s">
        <v>1801</v>
      </c>
      <c r="Q265" s="819">
        <v>9.7999999999999997E-3</v>
      </c>
      <c r="R265" s="820" t="s">
        <v>414</v>
      </c>
      <c r="S265" s="521">
        <v>9.7999999999999997E-3</v>
      </c>
      <c r="T265" s="522" t="s">
        <v>414</v>
      </c>
    </row>
    <row r="266" spans="1:20" ht="15" customHeight="1">
      <c r="A266" s="791" t="s">
        <v>803</v>
      </c>
      <c r="B266" s="792" t="s">
        <v>804</v>
      </c>
      <c r="C266" s="793">
        <v>90.552999999999997</v>
      </c>
      <c r="D266" s="794" t="s">
        <v>1801</v>
      </c>
      <c r="E266" s="795">
        <v>4.8417000000000002E-2</v>
      </c>
      <c r="F266" s="795">
        <v>1.1842999999999999E-3</v>
      </c>
      <c r="G266" s="796" t="s">
        <v>1796</v>
      </c>
      <c r="H266" s="797">
        <v>0.91859999999999997</v>
      </c>
      <c r="I266" s="798" t="s">
        <v>1796</v>
      </c>
      <c r="J266" s="799">
        <v>8.1171599999999997E-2</v>
      </c>
      <c r="K266" s="799">
        <v>9.6606000000000003E-6</v>
      </c>
      <c r="L266" s="800" t="s">
        <v>2367</v>
      </c>
      <c r="M266" s="801">
        <v>60.7</v>
      </c>
      <c r="N266" s="801" t="s">
        <v>414</v>
      </c>
      <c r="O266" s="802">
        <v>1000</v>
      </c>
      <c r="P266" s="803" t="s">
        <v>1801</v>
      </c>
      <c r="Q266" s="804">
        <v>2.53E-2</v>
      </c>
      <c r="R266" s="805" t="s">
        <v>414</v>
      </c>
      <c r="S266" s="527">
        <v>2.53E-2</v>
      </c>
      <c r="T266" s="528" t="s">
        <v>414</v>
      </c>
    </row>
    <row r="267" spans="1:20" ht="15" customHeight="1">
      <c r="A267" s="791" t="s">
        <v>805</v>
      </c>
      <c r="B267" s="792" t="s">
        <v>806</v>
      </c>
      <c r="C267" s="793">
        <v>198.14</v>
      </c>
      <c r="D267" s="794" t="s">
        <v>1801</v>
      </c>
      <c r="E267" s="795">
        <v>5.7200000000000001E-5</v>
      </c>
      <c r="F267" s="795">
        <v>1.3999999999999999E-6</v>
      </c>
      <c r="G267" s="796" t="s">
        <v>1801</v>
      </c>
      <c r="H267" s="821" t="s">
        <v>1750</v>
      </c>
      <c r="I267" s="822" t="s">
        <v>43</v>
      </c>
      <c r="J267" s="799">
        <v>5.5903500000000002E-2</v>
      </c>
      <c r="K267" s="799">
        <v>6.5319000000000001E-6</v>
      </c>
      <c r="L267" s="800" t="s">
        <v>2367</v>
      </c>
      <c r="M267" s="801">
        <v>754.4</v>
      </c>
      <c r="N267" s="801" t="s">
        <v>414</v>
      </c>
      <c r="O267" s="802">
        <v>198</v>
      </c>
      <c r="P267" s="803" t="s">
        <v>1801</v>
      </c>
      <c r="Q267" s="804">
        <v>3.15E-3</v>
      </c>
      <c r="R267" s="805" t="s">
        <v>414</v>
      </c>
      <c r="S267" s="527">
        <v>3.15E-3</v>
      </c>
      <c r="T267" s="528" t="s">
        <v>414</v>
      </c>
    </row>
    <row r="268" spans="1:20" ht="15" customHeight="1" thickBot="1">
      <c r="A268" s="806" t="s">
        <v>807</v>
      </c>
      <c r="B268" s="807" t="s">
        <v>808</v>
      </c>
      <c r="C268" s="808">
        <v>266.26</v>
      </c>
      <c r="D268" s="809" t="s">
        <v>1801</v>
      </c>
      <c r="E268" s="810">
        <v>2.2649000000000001E-6</v>
      </c>
      <c r="F268" s="810">
        <v>5.54E-8</v>
      </c>
      <c r="G268" s="811" t="s">
        <v>1801</v>
      </c>
      <c r="H268" s="839" t="s">
        <v>1750</v>
      </c>
      <c r="I268" s="840" t="s">
        <v>43</v>
      </c>
      <c r="J268" s="814">
        <v>4.5907400000000001E-2</v>
      </c>
      <c r="K268" s="814">
        <v>5.3638999999999996E-6</v>
      </c>
      <c r="L268" s="815" t="s">
        <v>2367</v>
      </c>
      <c r="M268" s="816">
        <v>16540</v>
      </c>
      <c r="N268" s="816" t="s">
        <v>414</v>
      </c>
      <c r="O268" s="817">
        <v>15</v>
      </c>
      <c r="P268" s="818" t="s">
        <v>1801</v>
      </c>
      <c r="Q268" s="819">
        <v>2.75E-2</v>
      </c>
      <c r="R268" s="820" t="s">
        <v>414</v>
      </c>
      <c r="S268" s="521">
        <v>2.75E-2</v>
      </c>
      <c r="T268" s="522" t="s">
        <v>414</v>
      </c>
    </row>
    <row r="269" spans="1:20" ht="15" customHeight="1">
      <c r="A269" s="791" t="s">
        <v>809</v>
      </c>
      <c r="B269" s="792" t="s">
        <v>810</v>
      </c>
      <c r="C269" s="793">
        <v>168.11</v>
      </c>
      <c r="D269" s="794" t="s">
        <v>1801</v>
      </c>
      <c r="E269" s="795">
        <v>2.1791E-6</v>
      </c>
      <c r="F269" s="795">
        <v>5.3300000000000001E-8</v>
      </c>
      <c r="G269" s="796" t="s">
        <v>414</v>
      </c>
      <c r="H269" s="797">
        <v>1.3119000000000001</v>
      </c>
      <c r="I269" s="798" t="s">
        <v>1796</v>
      </c>
      <c r="J269" s="799">
        <v>4.4717600000000003E-2</v>
      </c>
      <c r="K269" s="799">
        <v>8.2538000000000005E-6</v>
      </c>
      <c r="L269" s="800" t="s">
        <v>2367</v>
      </c>
      <c r="M269" s="801">
        <v>358.8</v>
      </c>
      <c r="N269" s="801" t="s">
        <v>414</v>
      </c>
      <c r="O269" s="802">
        <v>133</v>
      </c>
      <c r="P269" s="803" t="s">
        <v>1801</v>
      </c>
      <c r="Q269" s="804">
        <v>2.3700000000000001E-3</v>
      </c>
      <c r="R269" s="805" t="s">
        <v>414</v>
      </c>
      <c r="S269" s="527">
        <v>2.3700000000000001E-3</v>
      </c>
      <c r="T269" s="528" t="s">
        <v>414</v>
      </c>
    </row>
    <row r="270" spans="1:20" ht="15" customHeight="1">
      <c r="A270" s="791" t="s">
        <v>811</v>
      </c>
      <c r="B270" s="792" t="s">
        <v>812</v>
      </c>
      <c r="C270" s="793">
        <v>168.11</v>
      </c>
      <c r="D270" s="794" t="s">
        <v>1801</v>
      </c>
      <c r="E270" s="795">
        <v>2.0032999999999999E-6</v>
      </c>
      <c r="F270" s="795">
        <v>4.9000000000000002E-8</v>
      </c>
      <c r="G270" s="796" t="s">
        <v>1801</v>
      </c>
      <c r="H270" s="797">
        <v>1.5750999999999999</v>
      </c>
      <c r="I270" s="798" t="s">
        <v>1796</v>
      </c>
      <c r="J270" s="799">
        <v>4.8498699999999999E-2</v>
      </c>
      <c r="K270" s="799">
        <v>9.2109000000000002E-6</v>
      </c>
      <c r="L270" s="800" t="s">
        <v>2367</v>
      </c>
      <c r="M270" s="801">
        <v>351.6</v>
      </c>
      <c r="N270" s="801" t="s">
        <v>414</v>
      </c>
      <c r="O270" s="802">
        <v>533</v>
      </c>
      <c r="P270" s="803" t="s">
        <v>1801</v>
      </c>
      <c r="Q270" s="804">
        <v>1.74E-3</v>
      </c>
      <c r="R270" s="805" t="s">
        <v>414</v>
      </c>
      <c r="S270" s="527">
        <v>1.74E-3</v>
      </c>
      <c r="T270" s="528" t="s">
        <v>414</v>
      </c>
    </row>
    <row r="271" spans="1:20" ht="15" customHeight="1" thickBot="1">
      <c r="A271" s="806" t="s">
        <v>813</v>
      </c>
      <c r="B271" s="807" t="s">
        <v>814</v>
      </c>
      <c r="C271" s="808">
        <v>168.11</v>
      </c>
      <c r="D271" s="809" t="s">
        <v>1801</v>
      </c>
      <c r="E271" s="810">
        <v>3.4301E-6</v>
      </c>
      <c r="F271" s="810">
        <v>8.3900000000000004E-8</v>
      </c>
      <c r="G271" s="811" t="s">
        <v>1801</v>
      </c>
      <c r="H271" s="812">
        <v>1.625</v>
      </c>
      <c r="I271" s="813" t="s">
        <v>1796</v>
      </c>
      <c r="J271" s="814">
        <v>4.9166799999999997E-2</v>
      </c>
      <c r="K271" s="814">
        <v>9.3849000000000006E-6</v>
      </c>
      <c r="L271" s="815" t="s">
        <v>2367</v>
      </c>
      <c r="M271" s="816">
        <v>351.6</v>
      </c>
      <c r="N271" s="816" t="s">
        <v>414</v>
      </c>
      <c r="O271" s="817">
        <v>69</v>
      </c>
      <c r="P271" s="818" t="s">
        <v>1801</v>
      </c>
      <c r="Q271" s="819">
        <v>1.67E-3</v>
      </c>
      <c r="R271" s="820" t="s">
        <v>414</v>
      </c>
      <c r="S271" s="521">
        <v>1.67E-3</v>
      </c>
      <c r="T271" s="522" t="s">
        <v>414</v>
      </c>
    </row>
    <row r="272" spans="1:20" ht="15" customHeight="1">
      <c r="A272" s="791" t="s">
        <v>815</v>
      </c>
      <c r="B272" s="792" t="s">
        <v>816</v>
      </c>
      <c r="C272" s="793">
        <v>184.11</v>
      </c>
      <c r="D272" s="794" t="s">
        <v>1801</v>
      </c>
      <c r="E272" s="795">
        <v>3.5159000000000001E-6</v>
      </c>
      <c r="F272" s="795">
        <v>8.6000000000000002E-8</v>
      </c>
      <c r="G272" s="796" t="s">
        <v>1801</v>
      </c>
      <c r="H272" s="797">
        <v>1.6830000000000001</v>
      </c>
      <c r="I272" s="798" t="s">
        <v>1796</v>
      </c>
      <c r="J272" s="799">
        <v>4.0669900000000002E-2</v>
      </c>
      <c r="K272" s="799">
        <v>9.0756E-6</v>
      </c>
      <c r="L272" s="800" t="s">
        <v>2367</v>
      </c>
      <c r="M272" s="801">
        <v>460.8</v>
      </c>
      <c r="N272" s="801" t="s">
        <v>414</v>
      </c>
      <c r="O272" s="802">
        <v>2790</v>
      </c>
      <c r="P272" s="803" t="s">
        <v>1801</v>
      </c>
      <c r="Q272" s="804">
        <v>1.8699999999999999E-3</v>
      </c>
      <c r="R272" s="805" t="s">
        <v>414</v>
      </c>
      <c r="S272" s="527">
        <v>1.8699999999999999E-3</v>
      </c>
      <c r="T272" s="528" t="s">
        <v>414</v>
      </c>
    </row>
    <row r="273" spans="1:20" ht="15" customHeight="1">
      <c r="A273" s="791" t="s">
        <v>817</v>
      </c>
      <c r="B273" s="792" t="s">
        <v>2408</v>
      </c>
      <c r="C273" s="793">
        <v>182.14</v>
      </c>
      <c r="D273" s="794" t="s">
        <v>414</v>
      </c>
      <c r="E273" s="795">
        <v>1.6200000000000001E-5</v>
      </c>
      <c r="F273" s="795">
        <v>3.9700000000000002E-7</v>
      </c>
      <c r="G273" s="796" t="s">
        <v>414</v>
      </c>
      <c r="H273" s="821" t="s">
        <v>1750</v>
      </c>
      <c r="I273" s="822" t="s">
        <v>43</v>
      </c>
      <c r="J273" s="799">
        <v>5.9131200000000002E-2</v>
      </c>
      <c r="K273" s="799">
        <v>6.9090000000000003E-6</v>
      </c>
      <c r="L273" s="800" t="s">
        <v>2367</v>
      </c>
      <c r="M273" s="801">
        <v>587.4</v>
      </c>
      <c r="N273" s="801" t="s">
        <v>414</v>
      </c>
      <c r="O273" s="802">
        <v>270</v>
      </c>
      <c r="P273" s="803" t="s">
        <v>414</v>
      </c>
      <c r="Q273" s="804">
        <v>4.1599999999999996E-3</v>
      </c>
      <c r="R273" s="805" t="s">
        <v>414</v>
      </c>
      <c r="S273" s="527">
        <v>4.1599999999999996E-3</v>
      </c>
      <c r="T273" s="528" t="s">
        <v>414</v>
      </c>
    </row>
    <row r="274" spans="1:20" ht="15" customHeight="1" thickBot="1">
      <c r="A274" s="806" t="s">
        <v>819</v>
      </c>
      <c r="B274" s="807" t="s">
        <v>820</v>
      </c>
      <c r="C274" s="808">
        <v>182.14</v>
      </c>
      <c r="D274" s="809" t="s">
        <v>1801</v>
      </c>
      <c r="E274" s="810">
        <v>2.2077000000000001E-6</v>
      </c>
      <c r="F274" s="810">
        <v>5.4E-8</v>
      </c>
      <c r="G274" s="811" t="s">
        <v>1801</v>
      </c>
      <c r="H274" s="812">
        <v>1.3208</v>
      </c>
      <c r="I274" s="813" t="s">
        <v>1796</v>
      </c>
      <c r="J274" s="814">
        <v>3.7511500000000003E-2</v>
      </c>
      <c r="K274" s="814">
        <v>7.8982E-6</v>
      </c>
      <c r="L274" s="815" t="s">
        <v>2367</v>
      </c>
      <c r="M274" s="816">
        <v>575.6</v>
      </c>
      <c r="N274" s="816" t="s">
        <v>414</v>
      </c>
      <c r="O274" s="817">
        <v>200</v>
      </c>
      <c r="P274" s="818" t="s">
        <v>1801</v>
      </c>
      <c r="Q274" s="819">
        <v>3.0799999999999998E-3</v>
      </c>
      <c r="R274" s="820" t="s">
        <v>414</v>
      </c>
      <c r="S274" s="521">
        <v>3.0799999999999998E-3</v>
      </c>
      <c r="T274" s="522" t="s">
        <v>414</v>
      </c>
    </row>
    <row r="275" spans="1:20" ht="15" customHeight="1">
      <c r="A275" s="791" t="s">
        <v>821</v>
      </c>
      <c r="B275" s="792" t="s">
        <v>822</v>
      </c>
      <c r="C275" s="793">
        <v>182.14</v>
      </c>
      <c r="D275" s="794" t="s">
        <v>1801</v>
      </c>
      <c r="E275" s="795">
        <v>3.0499999999999999E-5</v>
      </c>
      <c r="F275" s="795">
        <v>7.4700000000000001E-7</v>
      </c>
      <c r="G275" s="796" t="s">
        <v>414</v>
      </c>
      <c r="H275" s="797">
        <v>1.2833000000000001</v>
      </c>
      <c r="I275" s="798" t="s">
        <v>1796</v>
      </c>
      <c r="J275" s="799">
        <v>3.7025599999999999E-2</v>
      </c>
      <c r="K275" s="799">
        <v>7.7628999999999998E-6</v>
      </c>
      <c r="L275" s="800" t="s">
        <v>2367</v>
      </c>
      <c r="M275" s="801">
        <v>587.4</v>
      </c>
      <c r="N275" s="801" t="s">
        <v>414</v>
      </c>
      <c r="O275" s="802">
        <v>182</v>
      </c>
      <c r="P275" s="803" t="s">
        <v>1801</v>
      </c>
      <c r="Q275" s="804">
        <v>3.7000000000000002E-3</v>
      </c>
      <c r="R275" s="805" t="s">
        <v>414</v>
      </c>
      <c r="S275" s="527">
        <v>3.7000000000000002E-3</v>
      </c>
      <c r="T275" s="528" t="s">
        <v>414</v>
      </c>
    </row>
    <row r="276" spans="1:20" ht="15" customHeight="1">
      <c r="A276" s="791" t="s">
        <v>823</v>
      </c>
      <c r="B276" s="792" t="s">
        <v>824</v>
      </c>
      <c r="C276" s="793">
        <v>197.15</v>
      </c>
      <c r="D276" s="794" t="s">
        <v>1801</v>
      </c>
      <c r="E276" s="795">
        <v>1.3369E-9</v>
      </c>
      <c r="F276" s="795">
        <v>3.2700000000000001E-11</v>
      </c>
      <c r="G276" s="796" t="s">
        <v>1801</v>
      </c>
      <c r="H276" s="821" t="s">
        <v>1750</v>
      </c>
      <c r="I276" s="822" t="s">
        <v>43</v>
      </c>
      <c r="J276" s="799">
        <v>5.6090500000000001E-2</v>
      </c>
      <c r="K276" s="799">
        <v>6.5536999999999996E-6</v>
      </c>
      <c r="L276" s="800" t="s">
        <v>2367</v>
      </c>
      <c r="M276" s="801">
        <v>283</v>
      </c>
      <c r="N276" s="801" t="s">
        <v>414</v>
      </c>
      <c r="O276" s="802">
        <v>1220</v>
      </c>
      <c r="P276" s="803" t="s">
        <v>1801</v>
      </c>
      <c r="Q276" s="804">
        <v>2.0400000000000001E-3</v>
      </c>
      <c r="R276" s="805" t="s">
        <v>414</v>
      </c>
      <c r="S276" s="527">
        <v>2.0400000000000001E-3</v>
      </c>
      <c r="T276" s="528" t="s">
        <v>414</v>
      </c>
    </row>
    <row r="277" spans="1:20" ht="15" customHeight="1" thickBot="1">
      <c r="A277" s="806" t="s">
        <v>825</v>
      </c>
      <c r="B277" s="807" t="s">
        <v>826</v>
      </c>
      <c r="C277" s="808">
        <v>197.15</v>
      </c>
      <c r="D277" s="809" t="s">
        <v>1801</v>
      </c>
      <c r="E277" s="810">
        <v>1.3369E-9</v>
      </c>
      <c r="F277" s="810">
        <v>3.2700000000000001E-11</v>
      </c>
      <c r="G277" s="811" t="s">
        <v>1801</v>
      </c>
      <c r="H277" s="839" t="s">
        <v>1750</v>
      </c>
      <c r="I277" s="840" t="s">
        <v>43</v>
      </c>
      <c r="J277" s="814">
        <v>5.6090500000000001E-2</v>
      </c>
      <c r="K277" s="814">
        <v>6.5536999999999996E-6</v>
      </c>
      <c r="L277" s="815" t="s">
        <v>2367</v>
      </c>
      <c r="M277" s="816">
        <v>283</v>
      </c>
      <c r="N277" s="816" t="s">
        <v>414</v>
      </c>
      <c r="O277" s="817">
        <v>1220</v>
      </c>
      <c r="P277" s="818" t="s">
        <v>1801</v>
      </c>
      <c r="Q277" s="819">
        <v>2.0400000000000001E-3</v>
      </c>
      <c r="R277" s="820" t="s">
        <v>414</v>
      </c>
      <c r="S277" s="521">
        <v>2.0400000000000001E-3</v>
      </c>
      <c r="T277" s="522" t="s">
        <v>414</v>
      </c>
    </row>
    <row r="278" spans="1:20" ht="15" customHeight="1">
      <c r="A278" s="791" t="s">
        <v>2055</v>
      </c>
      <c r="B278" s="792" t="s">
        <v>818</v>
      </c>
      <c r="C278" s="793">
        <v>546.41</v>
      </c>
      <c r="D278" s="794" t="s">
        <v>1801</v>
      </c>
      <c r="E278" s="795">
        <v>3.7857999999999998E-6</v>
      </c>
      <c r="F278" s="795">
        <v>9.2599999999999995E-8</v>
      </c>
      <c r="G278" s="796" t="s">
        <v>1801</v>
      </c>
      <c r="H278" s="821" t="s">
        <v>1750</v>
      </c>
      <c r="I278" s="822" t="s">
        <v>43</v>
      </c>
      <c r="J278" s="799">
        <v>2.84277E-2</v>
      </c>
      <c r="K278" s="799">
        <v>3.3214999999999999E-6</v>
      </c>
      <c r="L278" s="800" t="s">
        <v>2367</v>
      </c>
      <c r="M278" s="801">
        <v>587.4</v>
      </c>
      <c r="N278" s="801" t="s">
        <v>414</v>
      </c>
      <c r="O278" s="802">
        <v>270</v>
      </c>
      <c r="P278" s="803" t="s">
        <v>1801</v>
      </c>
      <c r="Q278" s="804">
        <v>4.1599999999999996E-3</v>
      </c>
      <c r="R278" s="805" t="s">
        <v>414</v>
      </c>
      <c r="S278" s="527">
        <v>4.1599999999999996E-3</v>
      </c>
      <c r="T278" s="528" t="s">
        <v>414</v>
      </c>
    </row>
    <row r="279" spans="1:20" ht="15" customHeight="1">
      <c r="A279" s="791" t="s">
        <v>827</v>
      </c>
      <c r="B279" s="792" t="s">
        <v>828</v>
      </c>
      <c r="C279" s="793">
        <v>240.22</v>
      </c>
      <c r="D279" s="794" t="s">
        <v>1801</v>
      </c>
      <c r="E279" s="795">
        <v>1.8600000000000001E-5</v>
      </c>
      <c r="F279" s="795">
        <v>4.5600000000000001E-7</v>
      </c>
      <c r="G279" s="796" t="s">
        <v>414</v>
      </c>
      <c r="H279" s="797">
        <v>1.2649999999999999</v>
      </c>
      <c r="I279" s="798" t="s">
        <v>1796</v>
      </c>
      <c r="J279" s="799">
        <v>2.5345800000000002E-2</v>
      </c>
      <c r="K279" s="799">
        <v>6.5186999999999999E-6</v>
      </c>
      <c r="L279" s="800" t="s">
        <v>2367</v>
      </c>
      <c r="M279" s="801">
        <v>4294</v>
      </c>
      <c r="N279" s="801" t="s">
        <v>414</v>
      </c>
      <c r="O279" s="802">
        <v>52</v>
      </c>
      <c r="P279" s="803" t="s">
        <v>1801</v>
      </c>
      <c r="Q279" s="804">
        <v>1.6299999999999999E-2</v>
      </c>
      <c r="R279" s="805" t="s">
        <v>414</v>
      </c>
      <c r="S279" s="527">
        <v>1.6299999999999999E-2</v>
      </c>
      <c r="T279" s="528" t="s">
        <v>414</v>
      </c>
    </row>
    <row r="280" spans="1:20" ht="15" customHeight="1" thickBot="1">
      <c r="A280" s="806" t="s">
        <v>829</v>
      </c>
      <c r="B280" s="807" t="s">
        <v>830</v>
      </c>
      <c r="C280" s="808">
        <v>88.106999999999999</v>
      </c>
      <c r="D280" s="809" t="s">
        <v>1801</v>
      </c>
      <c r="E280" s="810">
        <v>1.962E-4</v>
      </c>
      <c r="F280" s="810">
        <v>4.7999999999999998E-6</v>
      </c>
      <c r="G280" s="811" t="s">
        <v>1801</v>
      </c>
      <c r="H280" s="812">
        <v>1.0337000000000001</v>
      </c>
      <c r="I280" s="813" t="s">
        <v>1796</v>
      </c>
      <c r="J280" s="814">
        <v>8.7373900000000004E-2</v>
      </c>
      <c r="K280" s="814">
        <v>1.0499999999999999E-5</v>
      </c>
      <c r="L280" s="815" t="s">
        <v>2367</v>
      </c>
      <c r="M280" s="816">
        <v>2.633</v>
      </c>
      <c r="N280" s="816" t="s">
        <v>414</v>
      </c>
      <c r="O280" s="817">
        <v>1000000</v>
      </c>
      <c r="P280" s="818" t="s">
        <v>1801</v>
      </c>
      <c r="Q280" s="819">
        <v>3.3199999999999999E-4</v>
      </c>
      <c r="R280" s="820" t="s">
        <v>414</v>
      </c>
      <c r="S280" s="521">
        <v>3.3199999999999999E-4</v>
      </c>
      <c r="T280" s="522" t="s">
        <v>414</v>
      </c>
    </row>
    <row r="281" spans="1:20" ht="15" customHeight="1">
      <c r="A281" s="791" t="s">
        <v>831</v>
      </c>
      <c r="B281" s="792" t="s">
        <v>43</v>
      </c>
      <c r="C281" s="841" t="s">
        <v>1750</v>
      </c>
      <c r="D281" s="842" t="s">
        <v>43</v>
      </c>
      <c r="E281" s="831" t="s">
        <v>1750</v>
      </c>
      <c r="F281" s="831" t="s">
        <v>1750</v>
      </c>
      <c r="G281" s="832" t="s">
        <v>43</v>
      </c>
      <c r="H281" s="821" t="s">
        <v>1750</v>
      </c>
      <c r="I281" s="822" t="s">
        <v>43</v>
      </c>
      <c r="J281" s="833" t="s">
        <v>1750</v>
      </c>
      <c r="K281" s="833" t="s">
        <v>1750</v>
      </c>
      <c r="L281" s="834" t="s">
        <v>43</v>
      </c>
      <c r="M281" s="835" t="s">
        <v>1750</v>
      </c>
      <c r="N281" s="836" t="s">
        <v>43</v>
      </c>
      <c r="O281" s="837" t="s">
        <v>1750</v>
      </c>
      <c r="P281" s="838" t="s">
        <v>43</v>
      </c>
      <c r="Q281" s="843" t="s">
        <v>1750</v>
      </c>
      <c r="R281" s="844" t="s">
        <v>43</v>
      </c>
      <c r="S281" s="525" t="s">
        <v>1750</v>
      </c>
      <c r="T281" s="526" t="s">
        <v>43</v>
      </c>
    </row>
    <row r="282" spans="1:20" ht="15" customHeight="1">
      <c r="A282" s="791" t="s">
        <v>832</v>
      </c>
      <c r="B282" s="792" t="s">
        <v>43</v>
      </c>
      <c r="C282" s="793">
        <v>390.87</v>
      </c>
      <c r="D282" s="794" t="s">
        <v>414</v>
      </c>
      <c r="E282" s="795">
        <v>2.33E-4</v>
      </c>
      <c r="F282" s="795">
        <v>5.6999999999999996E-6</v>
      </c>
      <c r="G282" s="796" t="s">
        <v>414</v>
      </c>
      <c r="H282" s="821" t="s">
        <v>1750</v>
      </c>
      <c r="I282" s="822" t="s">
        <v>43</v>
      </c>
      <c r="J282" s="799">
        <v>4.26828E-2</v>
      </c>
      <c r="K282" s="799">
        <v>4.1527000000000001E-6</v>
      </c>
      <c r="L282" s="800" t="s">
        <v>2367</v>
      </c>
      <c r="M282" s="801">
        <v>695200</v>
      </c>
      <c r="N282" s="801" t="s">
        <v>414</v>
      </c>
      <c r="O282" s="802">
        <v>3.9999999999999998E-6</v>
      </c>
      <c r="P282" s="803" t="s">
        <v>414</v>
      </c>
      <c r="Q282" s="804">
        <v>2.86</v>
      </c>
      <c r="R282" s="805" t="s">
        <v>414</v>
      </c>
      <c r="S282" s="527">
        <v>2.86</v>
      </c>
      <c r="T282" s="528" t="s">
        <v>414</v>
      </c>
    </row>
    <row r="283" spans="1:20" ht="15" customHeight="1" thickBot="1">
      <c r="A283" s="806" t="s">
        <v>833</v>
      </c>
      <c r="B283" s="807" t="s">
        <v>834</v>
      </c>
      <c r="C283" s="808">
        <v>321.98</v>
      </c>
      <c r="D283" s="809" t="s">
        <v>1801</v>
      </c>
      <c r="E283" s="810">
        <v>2.0441999999999999E-3</v>
      </c>
      <c r="F283" s="810">
        <v>5.0000000000000002E-5</v>
      </c>
      <c r="G283" s="811" t="s">
        <v>414</v>
      </c>
      <c r="H283" s="812">
        <v>1.8</v>
      </c>
      <c r="I283" s="813" t="s">
        <v>2168</v>
      </c>
      <c r="J283" s="814">
        <v>4.7027800000000002E-2</v>
      </c>
      <c r="K283" s="814">
        <v>6.7568000000000003E-6</v>
      </c>
      <c r="L283" s="815" t="s">
        <v>2367</v>
      </c>
      <c r="M283" s="816">
        <v>249100</v>
      </c>
      <c r="N283" s="816" t="s">
        <v>414</v>
      </c>
      <c r="O283" s="817">
        <v>2.0000000000000001E-4</v>
      </c>
      <c r="P283" s="818" t="s">
        <v>1801</v>
      </c>
      <c r="Q283" s="819">
        <v>0.80800000000000005</v>
      </c>
      <c r="R283" s="820" t="s">
        <v>414</v>
      </c>
      <c r="S283" s="521">
        <v>0.80800000000000005</v>
      </c>
      <c r="T283" s="522" t="s">
        <v>414</v>
      </c>
    </row>
    <row r="284" spans="1:20" ht="15" customHeight="1">
      <c r="A284" s="791" t="s">
        <v>835</v>
      </c>
      <c r="B284" s="792" t="s">
        <v>836</v>
      </c>
      <c r="C284" s="793">
        <v>239.32</v>
      </c>
      <c r="D284" s="794" t="s">
        <v>1801</v>
      </c>
      <c r="E284" s="795">
        <v>1.4841000000000001E-9</v>
      </c>
      <c r="F284" s="795">
        <v>3.63E-11</v>
      </c>
      <c r="G284" s="796" t="s">
        <v>414</v>
      </c>
      <c r="H284" s="797">
        <v>1.17</v>
      </c>
      <c r="I284" s="798" t="s">
        <v>1796</v>
      </c>
      <c r="J284" s="799">
        <v>2.4482899999999998E-2</v>
      </c>
      <c r="K284" s="799">
        <v>6.2344E-6</v>
      </c>
      <c r="L284" s="800" t="s">
        <v>2367</v>
      </c>
      <c r="M284" s="801">
        <v>4798</v>
      </c>
      <c r="N284" s="801" t="s">
        <v>414</v>
      </c>
      <c r="O284" s="802">
        <v>260</v>
      </c>
      <c r="P284" s="803" t="s">
        <v>1801</v>
      </c>
      <c r="Q284" s="804">
        <v>5.6299999999999996E-3</v>
      </c>
      <c r="R284" s="805" t="s">
        <v>414</v>
      </c>
      <c r="S284" s="527">
        <v>5.6299999999999996E-3</v>
      </c>
      <c r="T284" s="528" t="s">
        <v>414</v>
      </c>
    </row>
    <row r="285" spans="1:20" ht="15" customHeight="1">
      <c r="A285" s="791" t="s">
        <v>837</v>
      </c>
      <c r="B285" s="792" t="s">
        <v>838</v>
      </c>
      <c r="C285" s="793">
        <v>218.28</v>
      </c>
      <c r="D285" s="794" t="s">
        <v>1801</v>
      </c>
      <c r="E285" s="795">
        <v>1.0200000000000001E-5</v>
      </c>
      <c r="F285" s="795">
        <v>2.4900000000000002E-7</v>
      </c>
      <c r="G285" s="796" t="s">
        <v>1801</v>
      </c>
      <c r="H285" s="797">
        <v>1.252</v>
      </c>
      <c r="I285" s="798" t="s">
        <v>1796</v>
      </c>
      <c r="J285" s="799">
        <v>2.6517700000000002E-2</v>
      </c>
      <c r="K285" s="799">
        <v>6.8615999999999997E-6</v>
      </c>
      <c r="L285" s="800" t="s">
        <v>2367</v>
      </c>
      <c r="M285" s="801">
        <v>1109</v>
      </c>
      <c r="N285" s="801" t="s">
        <v>414</v>
      </c>
      <c r="O285" s="802">
        <v>313.60000000000002</v>
      </c>
      <c r="P285" s="803" t="s">
        <v>1801</v>
      </c>
      <c r="Q285" s="804">
        <v>3.6700000000000001E-3</v>
      </c>
      <c r="R285" s="805" t="s">
        <v>414</v>
      </c>
      <c r="S285" s="527">
        <v>3.6700000000000001E-3</v>
      </c>
      <c r="T285" s="528" t="s">
        <v>414</v>
      </c>
    </row>
    <row r="286" spans="1:20" ht="15" customHeight="1" thickBot="1">
      <c r="A286" s="806" t="s">
        <v>839</v>
      </c>
      <c r="B286" s="807" t="s">
        <v>840</v>
      </c>
      <c r="C286" s="808">
        <v>169.23</v>
      </c>
      <c r="D286" s="809" t="s">
        <v>1801</v>
      </c>
      <c r="E286" s="810">
        <v>1.1E-4</v>
      </c>
      <c r="F286" s="810">
        <v>2.6900000000000001E-6</v>
      </c>
      <c r="G286" s="811" t="s">
        <v>414</v>
      </c>
      <c r="H286" s="812">
        <v>1.1579999999999999</v>
      </c>
      <c r="I286" s="813" t="s">
        <v>1796</v>
      </c>
      <c r="J286" s="814">
        <v>4.1705600000000002E-2</v>
      </c>
      <c r="K286" s="814">
        <v>7.6279999999999996E-6</v>
      </c>
      <c r="L286" s="815" t="s">
        <v>2367</v>
      </c>
      <c r="M286" s="816">
        <v>825.8</v>
      </c>
      <c r="N286" s="816" t="s">
        <v>414</v>
      </c>
      <c r="O286" s="817">
        <v>53</v>
      </c>
      <c r="P286" s="818" t="s">
        <v>1801</v>
      </c>
      <c r="Q286" s="819">
        <v>3.73E-2</v>
      </c>
      <c r="R286" s="820" t="s">
        <v>414</v>
      </c>
      <c r="S286" s="521">
        <v>3.73E-2</v>
      </c>
      <c r="T286" s="522" t="s">
        <v>414</v>
      </c>
    </row>
    <row r="287" spans="1:20" ht="15" customHeight="1">
      <c r="A287" s="791" t="s">
        <v>841</v>
      </c>
      <c r="B287" s="792" t="s">
        <v>842</v>
      </c>
      <c r="C287" s="793">
        <v>184.24</v>
      </c>
      <c r="D287" s="794" t="s">
        <v>1801</v>
      </c>
      <c r="E287" s="795">
        <v>1.95E-5</v>
      </c>
      <c r="F287" s="795">
        <v>4.7800000000000002E-7</v>
      </c>
      <c r="G287" s="796" t="s">
        <v>414</v>
      </c>
      <c r="H287" s="797">
        <v>1.1579999999999999</v>
      </c>
      <c r="I287" s="798" t="s">
        <v>1796</v>
      </c>
      <c r="J287" s="799">
        <v>3.4311599999999998E-2</v>
      </c>
      <c r="K287" s="799">
        <v>7.2488E-6</v>
      </c>
      <c r="L287" s="800" t="s">
        <v>2367</v>
      </c>
      <c r="M287" s="801">
        <v>1505</v>
      </c>
      <c r="N287" s="801" t="s">
        <v>414</v>
      </c>
      <c r="O287" s="802">
        <v>221</v>
      </c>
      <c r="P287" s="803" t="s">
        <v>1801</v>
      </c>
      <c r="Q287" s="804">
        <v>1.2999999999999999E-2</v>
      </c>
      <c r="R287" s="805" t="s">
        <v>414</v>
      </c>
      <c r="S287" s="527">
        <v>1.2999999999999999E-2</v>
      </c>
      <c r="T287" s="528" t="s">
        <v>414</v>
      </c>
    </row>
    <row r="288" spans="1:20" ht="15" customHeight="1">
      <c r="A288" s="791" t="s">
        <v>843</v>
      </c>
      <c r="B288" s="792" t="s">
        <v>844</v>
      </c>
      <c r="C288" s="793">
        <v>344.05</v>
      </c>
      <c r="D288" s="794" t="s">
        <v>1801</v>
      </c>
      <c r="E288" s="795">
        <v>5.8049999999999996E-12</v>
      </c>
      <c r="F288" s="795">
        <v>1.42E-13</v>
      </c>
      <c r="G288" s="796" t="s">
        <v>1801</v>
      </c>
      <c r="H288" s="797">
        <v>1.24</v>
      </c>
      <c r="I288" s="798" t="s">
        <v>1796</v>
      </c>
      <c r="J288" s="799">
        <v>2.08104E-2</v>
      </c>
      <c r="K288" s="799">
        <v>5.1922E-6</v>
      </c>
      <c r="L288" s="800" t="s">
        <v>2367</v>
      </c>
      <c r="M288" s="801">
        <v>9272</v>
      </c>
      <c r="N288" s="801" t="s">
        <v>414</v>
      </c>
      <c r="O288" s="802">
        <v>707900</v>
      </c>
      <c r="P288" s="803" t="s">
        <v>1801</v>
      </c>
      <c r="Q288" s="804">
        <v>2.4400000000000001E-7</v>
      </c>
      <c r="R288" s="805" t="s">
        <v>414</v>
      </c>
      <c r="S288" s="527">
        <v>2.4400000000000001E-7</v>
      </c>
      <c r="T288" s="528" t="s">
        <v>414</v>
      </c>
    </row>
    <row r="289" spans="1:20" ht="15" customHeight="1" thickBot="1">
      <c r="A289" s="806" t="s">
        <v>845</v>
      </c>
      <c r="B289" s="807" t="s">
        <v>846</v>
      </c>
      <c r="C289" s="808">
        <v>779.77</v>
      </c>
      <c r="D289" s="809" t="s">
        <v>1801</v>
      </c>
      <c r="E289" s="810">
        <v>3.365E-38</v>
      </c>
      <c r="F289" s="810">
        <v>8.2299999999999998E-40</v>
      </c>
      <c r="G289" s="811" t="s">
        <v>1801</v>
      </c>
      <c r="H289" s="839" t="s">
        <v>1750</v>
      </c>
      <c r="I289" s="840" t="s">
        <v>43</v>
      </c>
      <c r="J289" s="814">
        <v>2.2427200000000001E-2</v>
      </c>
      <c r="K289" s="814">
        <v>2.6203999999999999E-6</v>
      </c>
      <c r="L289" s="815" t="s">
        <v>2367</v>
      </c>
      <c r="M289" s="816">
        <v>242000000</v>
      </c>
      <c r="N289" s="816" t="s">
        <v>414</v>
      </c>
      <c r="O289" s="817">
        <v>3000</v>
      </c>
      <c r="P289" s="818" t="s">
        <v>1801</v>
      </c>
      <c r="Q289" s="819">
        <v>2.05E-4</v>
      </c>
      <c r="R289" s="820" t="s">
        <v>414</v>
      </c>
      <c r="S289" s="521">
        <v>2.05E-4</v>
      </c>
      <c r="T289" s="522" t="s">
        <v>414</v>
      </c>
    </row>
    <row r="290" spans="1:20" ht="15" customHeight="1">
      <c r="A290" s="791" t="s">
        <v>847</v>
      </c>
      <c r="B290" s="792" t="s">
        <v>848</v>
      </c>
      <c r="C290" s="793">
        <v>932.76</v>
      </c>
      <c r="D290" s="794" t="s">
        <v>1801</v>
      </c>
      <c r="E290" s="795">
        <v>3.7240000000000001E-42</v>
      </c>
      <c r="F290" s="795">
        <v>9.1100000000000001E-44</v>
      </c>
      <c r="G290" s="796" t="s">
        <v>1801</v>
      </c>
      <c r="H290" s="821" t="s">
        <v>1750</v>
      </c>
      <c r="I290" s="822" t="s">
        <v>43</v>
      </c>
      <c r="J290" s="799">
        <v>1.99025E-2</v>
      </c>
      <c r="K290" s="799">
        <v>2.3253999999999998E-6</v>
      </c>
      <c r="L290" s="800" t="s">
        <v>2367</v>
      </c>
      <c r="M290" s="801">
        <v>790800000</v>
      </c>
      <c r="N290" s="801" t="s">
        <v>414</v>
      </c>
      <c r="O290" s="802">
        <v>1.3660000000000001E-4</v>
      </c>
      <c r="P290" s="803" t="s">
        <v>1801</v>
      </c>
      <c r="Q290" s="804">
        <v>1.73E-9</v>
      </c>
      <c r="R290" s="805" t="s">
        <v>414</v>
      </c>
      <c r="S290" s="527">
        <v>1.73E-9</v>
      </c>
      <c r="T290" s="528" t="s">
        <v>414</v>
      </c>
    </row>
    <row r="291" spans="1:20" ht="15" customHeight="1">
      <c r="A291" s="791" t="s">
        <v>849</v>
      </c>
      <c r="B291" s="792" t="s">
        <v>850</v>
      </c>
      <c r="C291" s="793">
        <v>761.12</v>
      </c>
      <c r="D291" s="794" t="s">
        <v>1801</v>
      </c>
      <c r="E291" s="831" t="s">
        <v>1750</v>
      </c>
      <c r="F291" s="831" t="s">
        <v>1750</v>
      </c>
      <c r="G291" s="832" t="s">
        <v>43</v>
      </c>
      <c r="H291" s="821" t="s">
        <v>1750</v>
      </c>
      <c r="I291" s="822" t="s">
        <v>43</v>
      </c>
      <c r="J291" s="799">
        <v>2.2792099999999999E-2</v>
      </c>
      <c r="K291" s="799">
        <v>2.6631E-6</v>
      </c>
      <c r="L291" s="800" t="s">
        <v>2367</v>
      </c>
      <c r="M291" s="801">
        <v>6985000</v>
      </c>
      <c r="N291" s="801" t="s">
        <v>414</v>
      </c>
      <c r="O291" s="802">
        <v>1000000</v>
      </c>
      <c r="P291" s="803" t="s">
        <v>1801</v>
      </c>
      <c r="Q291" s="804">
        <v>3.8700000000000003E-12</v>
      </c>
      <c r="R291" s="805" t="s">
        <v>414</v>
      </c>
      <c r="S291" s="527">
        <v>3.8700000000000003E-12</v>
      </c>
      <c r="T291" s="528" t="s">
        <v>414</v>
      </c>
    </row>
    <row r="292" spans="1:20" ht="15" customHeight="1" thickBot="1">
      <c r="A292" s="806" t="s">
        <v>851</v>
      </c>
      <c r="B292" s="807" t="s">
        <v>852</v>
      </c>
      <c r="C292" s="808">
        <v>274.41000000000003</v>
      </c>
      <c r="D292" s="809" t="s">
        <v>1801</v>
      </c>
      <c r="E292" s="810">
        <v>8.8300000000000005E-5</v>
      </c>
      <c r="F292" s="810">
        <v>2.1600000000000001E-6</v>
      </c>
      <c r="G292" s="811" t="s">
        <v>414</v>
      </c>
      <c r="H292" s="812">
        <v>1.1439999999999999</v>
      </c>
      <c r="I292" s="813" t="s">
        <v>1796</v>
      </c>
      <c r="J292" s="814">
        <v>2.2542099999999999E-2</v>
      </c>
      <c r="K292" s="814">
        <v>5.6660999999999998E-6</v>
      </c>
      <c r="L292" s="815" t="s">
        <v>2367</v>
      </c>
      <c r="M292" s="816">
        <v>837.9</v>
      </c>
      <c r="N292" s="816" t="s">
        <v>414</v>
      </c>
      <c r="O292" s="817">
        <v>16.3</v>
      </c>
      <c r="P292" s="818" t="s">
        <v>1801</v>
      </c>
      <c r="Q292" s="819">
        <v>2.12E-2</v>
      </c>
      <c r="R292" s="820" t="s">
        <v>414</v>
      </c>
      <c r="S292" s="521">
        <v>2.12E-2</v>
      </c>
      <c r="T292" s="522" t="s">
        <v>414</v>
      </c>
    </row>
    <row r="293" spans="1:20" ht="15" customHeight="1">
      <c r="A293" s="791" t="s">
        <v>853</v>
      </c>
      <c r="B293" s="792" t="s">
        <v>854</v>
      </c>
      <c r="C293" s="793">
        <v>120.24</v>
      </c>
      <c r="D293" s="794" t="s">
        <v>1801</v>
      </c>
      <c r="E293" s="795">
        <v>1.7171E-3</v>
      </c>
      <c r="F293" s="795">
        <v>4.1999999999999998E-5</v>
      </c>
      <c r="G293" s="796" t="s">
        <v>414</v>
      </c>
      <c r="H293" s="797">
        <v>1.1399999999999999</v>
      </c>
      <c r="I293" s="798" t="s">
        <v>2399</v>
      </c>
      <c r="J293" s="799">
        <v>6.82093E-2</v>
      </c>
      <c r="K293" s="799">
        <v>9.2765E-6</v>
      </c>
      <c r="L293" s="800" t="s">
        <v>2367</v>
      </c>
      <c r="M293" s="801">
        <v>145.80000000000001</v>
      </c>
      <c r="N293" s="801" t="s">
        <v>414</v>
      </c>
      <c r="O293" s="802">
        <v>3000</v>
      </c>
      <c r="P293" s="803" t="s">
        <v>1801</v>
      </c>
      <c r="Q293" s="804">
        <v>1.08E-3</v>
      </c>
      <c r="R293" s="805" t="s">
        <v>414</v>
      </c>
      <c r="S293" s="527">
        <v>1.08E-3</v>
      </c>
      <c r="T293" s="528" t="s">
        <v>414</v>
      </c>
    </row>
    <row r="294" spans="1:20" ht="15" customHeight="1">
      <c r="A294" s="791" t="s">
        <v>855</v>
      </c>
      <c r="B294" s="792" t="s">
        <v>856</v>
      </c>
      <c r="C294" s="793">
        <v>233.1</v>
      </c>
      <c r="D294" s="794" t="s">
        <v>1801</v>
      </c>
      <c r="E294" s="795">
        <v>2.0605000000000002E-8</v>
      </c>
      <c r="F294" s="795">
        <v>5.0400000000000002E-10</v>
      </c>
      <c r="G294" s="796" t="s">
        <v>414</v>
      </c>
      <c r="H294" s="821" t="s">
        <v>1750</v>
      </c>
      <c r="I294" s="822" t="s">
        <v>43</v>
      </c>
      <c r="J294" s="799">
        <v>5.0164E-2</v>
      </c>
      <c r="K294" s="799">
        <v>5.8613000000000001E-6</v>
      </c>
      <c r="L294" s="800" t="s">
        <v>2367</v>
      </c>
      <c r="M294" s="801">
        <v>109.1</v>
      </c>
      <c r="N294" s="801" t="s">
        <v>414</v>
      </c>
      <c r="O294" s="802">
        <v>42</v>
      </c>
      <c r="P294" s="803" t="s">
        <v>1801</v>
      </c>
      <c r="Q294" s="804">
        <v>4.6600000000000001E-3</v>
      </c>
      <c r="R294" s="805" t="s">
        <v>414</v>
      </c>
      <c r="S294" s="527">
        <v>4.6600000000000001E-3</v>
      </c>
      <c r="T294" s="528" t="s">
        <v>414</v>
      </c>
    </row>
    <row r="295" spans="1:20" ht="15" customHeight="1" thickBot="1">
      <c r="A295" s="806" t="s">
        <v>857</v>
      </c>
      <c r="B295" s="807" t="s">
        <v>858</v>
      </c>
      <c r="C295" s="808">
        <v>287.45</v>
      </c>
      <c r="D295" s="809" t="s">
        <v>1801</v>
      </c>
      <c r="E295" s="810">
        <v>3.6836E-9</v>
      </c>
      <c r="F295" s="810">
        <v>9.0100000000000004E-11</v>
      </c>
      <c r="G295" s="811" t="s">
        <v>414</v>
      </c>
      <c r="H295" s="839" t="s">
        <v>1750</v>
      </c>
      <c r="I295" s="840" t="s">
        <v>43</v>
      </c>
      <c r="J295" s="814">
        <v>4.36227E-2</v>
      </c>
      <c r="K295" s="814">
        <v>5.0969999999999996E-6</v>
      </c>
      <c r="L295" s="815" t="s">
        <v>2367</v>
      </c>
      <c r="M295" s="816">
        <v>2482</v>
      </c>
      <c r="N295" s="816" t="s">
        <v>414</v>
      </c>
      <c r="O295" s="817">
        <v>630</v>
      </c>
      <c r="P295" s="818" t="s">
        <v>1801</v>
      </c>
      <c r="Q295" s="819">
        <v>2.22E-4</v>
      </c>
      <c r="R295" s="820" t="s">
        <v>414</v>
      </c>
      <c r="S295" s="521">
        <v>2.22E-4</v>
      </c>
      <c r="T295" s="522" t="s">
        <v>414</v>
      </c>
    </row>
    <row r="296" spans="1:20" ht="15" customHeight="1">
      <c r="A296" s="791" t="s">
        <v>859</v>
      </c>
      <c r="B296" s="792" t="s">
        <v>860</v>
      </c>
      <c r="C296" s="793">
        <v>189.32</v>
      </c>
      <c r="D296" s="794" t="s">
        <v>1801</v>
      </c>
      <c r="E296" s="795">
        <v>6.4999999999999997E-4</v>
      </c>
      <c r="F296" s="795">
        <v>1.59E-5</v>
      </c>
      <c r="G296" s="796" t="s">
        <v>414</v>
      </c>
      <c r="H296" s="797">
        <v>0.9546</v>
      </c>
      <c r="I296" s="798" t="s">
        <v>1796</v>
      </c>
      <c r="J296" s="799">
        <v>2.9126200000000001E-2</v>
      </c>
      <c r="K296" s="799">
        <v>6.3511000000000001E-6</v>
      </c>
      <c r="L296" s="800" t="s">
        <v>2367</v>
      </c>
      <c r="M296" s="801">
        <v>164.1</v>
      </c>
      <c r="N296" s="801" t="s">
        <v>414</v>
      </c>
      <c r="O296" s="802">
        <v>375</v>
      </c>
      <c r="P296" s="803" t="s">
        <v>1801</v>
      </c>
      <c r="Q296" s="804">
        <v>1.84E-2</v>
      </c>
      <c r="R296" s="805" t="s">
        <v>414</v>
      </c>
      <c r="S296" s="527">
        <v>1.84E-2</v>
      </c>
      <c r="T296" s="528" t="s">
        <v>414</v>
      </c>
    </row>
    <row r="297" spans="1:20" ht="15" customHeight="1">
      <c r="A297" s="791" t="s">
        <v>100</v>
      </c>
      <c r="B297" s="792" t="s">
        <v>861</v>
      </c>
      <c r="C297" s="793">
        <v>406.93</v>
      </c>
      <c r="D297" s="794" t="s">
        <v>1801</v>
      </c>
      <c r="E297" s="795">
        <v>2.6573999999999999E-3</v>
      </c>
      <c r="F297" s="795">
        <v>6.4999999999999994E-5</v>
      </c>
      <c r="G297" s="796" t="s">
        <v>1801</v>
      </c>
      <c r="H297" s="797">
        <v>1.7450000000000001</v>
      </c>
      <c r="I297" s="798" t="s">
        <v>1796</v>
      </c>
      <c r="J297" s="799">
        <v>2.2484500000000001E-2</v>
      </c>
      <c r="K297" s="799">
        <v>5.7628000000000001E-6</v>
      </c>
      <c r="L297" s="800" t="s">
        <v>2367</v>
      </c>
      <c r="M297" s="801">
        <v>6761</v>
      </c>
      <c r="N297" s="801" t="s">
        <v>414</v>
      </c>
      <c r="O297" s="802">
        <v>0.32500000000000001</v>
      </c>
      <c r="P297" s="803" t="s">
        <v>1801</v>
      </c>
      <c r="Q297" s="804">
        <v>2.8600000000000001E-3</v>
      </c>
      <c r="R297" s="805" t="s">
        <v>414</v>
      </c>
      <c r="S297" s="527">
        <v>2.8600000000000001E-3</v>
      </c>
      <c r="T297" s="528" t="s">
        <v>414</v>
      </c>
    </row>
    <row r="298" spans="1:20" ht="15" customHeight="1" thickBot="1">
      <c r="A298" s="806" t="s">
        <v>862</v>
      </c>
      <c r="B298" s="807" t="s">
        <v>863</v>
      </c>
      <c r="C298" s="808">
        <v>186.17</v>
      </c>
      <c r="D298" s="809" t="s">
        <v>1801</v>
      </c>
      <c r="E298" s="810">
        <v>1.5740000000000001E-14</v>
      </c>
      <c r="F298" s="810">
        <v>3.8499999999999999E-16</v>
      </c>
      <c r="G298" s="811" t="s">
        <v>414</v>
      </c>
      <c r="H298" s="812">
        <v>1.431</v>
      </c>
      <c r="I298" s="813" t="s">
        <v>1796</v>
      </c>
      <c r="J298" s="814">
        <v>3.6747000000000002E-2</v>
      </c>
      <c r="K298" s="814">
        <v>8.1791999999999995E-6</v>
      </c>
      <c r="L298" s="815" t="s">
        <v>2367</v>
      </c>
      <c r="M298" s="816">
        <v>19.41</v>
      </c>
      <c r="N298" s="816" t="s">
        <v>414</v>
      </c>
      <c r="O298" s="817">
        <v>100000</v>
      </c>
      <c r="P298" s="818" t="s">
        <v>1801</v>
      </c>
      <c r="Q298" s="819">
        <v>2.63E-3</v>
      </c>
      <c r="R298" s="820" t="s">
        <v>414</v>
      </c>
      <c r="S298" s="521">
        <v>2.63E-3</v>
      </c>
      <c r="T298" s="522" t="s">
        <v>414</v>
      </c>
    </row>
    <row r="299" spans="1:20" ht="15" customHeight="1">
      <c r="A299" s="791" t="s">
        <v>864</v>
      </c>
      <c r="B299" s="792" t="s">
        <v>865</v>
      </c>
      <c r="C299" s="793">
        <v>380.91</v>
      </c>
      <c r="D299" s="794" t="s">
        <v>1801</v>
      </c>
      <c r="E299" s="795">
        <v>2.5999999999999998E-4</v>
      </c>
      <c r="F299" s="795">
        <v>6.3600000000000001E-6</v>
      </c>
      <c r="G299" s="796" t="s">
        <v>1801</v>
      </c>
      <c r="H299" s="821" t="s">
        <v>1750</v>
      </c>
      <c r="I299" s="822" t="s">
        <v>43</v>
      </c>
      <c r="J299" s="799">
        <v>3.6158099999999999E-2</v>
      </c>
      <c r="K299" s="799">
        <v>4.2247999999999998E-6</v>
      </c>
      <c r="L299" s="800" t="s">
        <v>2367</v>
      </c>
      <c r="M299" s="801">
        <v>20090</v>
      </c>
      <c r="N299" s="801" t="s">
        <v>414</v>
      </c>
      <c r="O299" s="802">
        <v>0.25</v>
      </c>
      <c r="P299" s="803" t="s">
        <v>1801</v>
      </c>
      <c r="Q299" s="804">
        <v>3.2599999999999997E-2</v>
      </c>
      <c r="R299" s="805" t="s">
        <v>414</v>
      </c>
      <c r="S299" s="527">
        <v>3.2599999999999997E-2</v>
      </c>
      <c r="T299" s="528" t="s">
        <v>414</v>
      </c>
    </row>
    <row r="300" spans="1:20" ht="15" customHeight="1">
      <c r="A300" s="791" t="s">
        <v>866</v>
      </c>
      <c r="B300" s="792" t="s">
        <v>867</v>
      </c>
      <c r="C300" s="793">
        <v>92.525999999999996</v>
      </c>
      <c r="D300" s="794" t="s">
        <v>1801</v>
      </c>
      <c r="E300" s="795">
        <v>1.2428000000000001E-3</v>
      </c>
      <c r="F300" s="795">
        <v>3.04E-5</v>
      </c>
      <c r="G300" s="796" t="s">
        <v>414</v>
      </c>
      <c r="H300" s="797">
        <v>1.1830000000000001</v>
      </c>
      <c r="I300" s="798" t="s">
        <v>1802</v>
      </c>
      <c r="J300" s="799">
        <v>8.8868199999999994E-2</v>
      </c>
      <c r="K300" s="799">
        <v>1.11E-5</v>
      </c>
      <c r="L300" s="800" t="s">
        <v>2367</v>
      </c>
      <c r="M300" s="801">
        <v>9.907</v>
      </c>
      <c r="N300" s="801" t="s">
        <v>414</v>
      </c>
      <c r="O300" s="802">
        <v>65900</v>
      </c>
      <c r="P300" s="803" t="s">
        <v>1801</v>
      </c>
      <c r="Q300" s="804">
        <v>9.4399999999999996E-4</v>
      </c>
      <c r="R300" s="805" t="s">
        <v>414</v>
      </c>
      <c r="S300" s="527">
        <v>9.4399999999999996E-4</v>
      </c>
      <c r="T300" s="528" t="s">
        <v>414</v>
      </c>
    </row>
    <row r="301" spans="1:20" ht="15" customHeight="1" thickBot="1">
      <c r="A301" s="806" t="s">
        <v>868</v>
      </c>
      <c r="B301" s="807" t="s">
        <v>869</v>
      </c>
      <c r="C301" s="808">
        <v>72.108000000000004</v>
      </c>
      <c r="D301" s="809" t="s">
        <v>1801</v>
      </c>
      <c r="E301" s="810">
        <v>7.3590000000000001E-3</v>
      </c>
      <c r="F301" s="810">
        <v>1.8000000000000001E-4</v>
      </c>
      <c r="G301" s="811" t="s">
        <v>414</v>
      </c>
      <c r="H301" s="812">
        <v>0.82969999999999999</v>
      </c>
      <c r="I301" s="813" t="s">
        <v>1796</v>
      </c>
      <c r="J301" s="814">
        <v>9.2895800000000001E-2</v>
      </c>
      <c r="K301" s="814">
        <v>1.04E-5</v>
      </c>
      <c r="L301" s="815" t="s">
        <v>2367</v>
      </c>
      <c r="M301" s="816">
        <v>9.907</v>
      </c>
      <c r="N301" s="816" t="s">
        <v>414</v>
      </c>
      <c r="O301" s="817">
        <v>95000</v>
      </c>
      <c r="P301" s="818" t="s">
        <v>1801</v>
      </c>
      <c r="Q301" s="819">
        <v>2.31E-3</v>
      </c>
      <c r="R301" s="820" t="s">
        <v>414</v>
      </c>
      <c r="S301" s="521">
        <v>2.31E-3</v>
      </c>
      <c r="T301" s="522" t="s">
        <v>414</v>
      </c>
    </row>
    <row r="302" spans="1:20" ht="15" customHeight="1">
      <c r="A302" s="791" t="s">
        <v>2221</v>
      </c>
      <c r="B302" s="792" t="s">
        <v>2222</v>
      </c>
      <c r="C302" s="793">
        <v>120.15</v>
      </c>
      <c r="D302" s="794" t="s">
        <v>1801</v>
      </c>
      <c r="E302" s="795">
        <v>6.7460000000000003E-10</v>
      </c>
      <c r="F302" s="795">
        <v>1.6500000000000001E-11</v>
      </c>
      <c r="G302" s="796" t="s">
        <v>1801</v>
      </c>
      <c r="H302" s="821" t="s">
        <v>1750</v>
      </c>
      <c r="I302" s="822" t="s">
        <v>43</v>
      </c>
      <c r="J302" s="799">
        <v>7.8031699999999996E-2</v>
      </c>
      <c r="K302" s="799">
        <v>9.1174000000000002E-6</v>
      </c>
      <c r="L302" s="800" t="s">
        <v>2367</v>
      </c>
      <c r="M302" s="801">
        <v>1</v>
      </c>
      <c r="N302" s="801" t="s">
        <v>414</v>
      </c>
      <c r="O302" s="802">
        <v>1000000</v>
      </c>
      <c r="P302" s="803" t="s">
        <v>1801</v>
      </c>
      <c r="Q302" s="804">
        <v>1.7469999999999999E-4</v>
      </c>
      <c r="R302" s="805" t="s">
        <v>1797</v>
      </c>
      <c r="S302" s="527">
        <v>1.73E-4</v>
      </c>
      <c r="T302" s="528" t="s">
        <v>414</v>
      </c>
    </row>
    <row r="303" spans="1:20" ht="15" customHeight="1">
      <c r="A303" s="791" t="s">
        <v>870</v>
      </c>
      <c r="B303" s="792" t="s">
        <v>871</v>
      </c>
      <c r="C303" s="793">
        <v>144.5</v>
      </c>
      <c r="D303" s="794" t="s">
        <v>1801</v>
      </c>
      <c r="E303" s="795">
        <v>2.3300000000000002E-10</v>
      </c>
      <c r="F303" s="795">
        <v>5.7000000000000003E-12</v>
      </c>
      <c r="G303" s="796" t="s">
        <v>1801</v>
      </c>
      <c r="H303" s="797">
        <v>1.2</v>
      </c>
      <c r="I303" s="798" t="s">
        <v>1796</v>
      </c>
      <c r="J303" s="799">
        <v>5.5476499999999998E-2</v>
      </c>
      <c r="K303" s="799">
        <v>8.5676000000000008E-6</v>
      </c>
      <c r="L303" s="800" t="s">
        <v>2367</v>
      </c>
      <c r="M303" s="801">
        <v>5.0279999999999996</v>
      </c>
      <c r="N303" s="801" t="s">
        <v>414</v>
      </c>
      <c r="O303" s="802">
        <v>1000000</v>
      </c>
      <c r="P303" s="803" t="s">
        <v>1801</v>
      </c>
      <c r="Q303" s="804">
        <v>1.73E-4</v>
      </c>
      <c r="R303" s="805" t="s">
        <v>414</v>
      </c>
      <c r="S303" s="527">
        <v>2.5499999999999998E-2</v>
      </c>
      <c r="T303" s="528" t="s">
        <v>414</v>
      </c>
    </row>
    <row r="304" spans="1:20" ht="15" customHeight="1" thickBot="1">
      <c r="A304" s="806" t="s">
        <v>872</v>
      </c>
      <c r="B304" s="807" t="s">
        <v>873</v>
      </c>
      <c r="C304" s="808">
        <v>384.48</v>
      </c>
      <c r="D304" s="809" t="s">
        <v>1801</v>
      </c>
      <c r="E304" s="810">
        <v>1.5500000000000001E-5</v>
      </c>
      <c r="F304" s="810">
        <v>3.7899999999999999E-7</v>
      </c>
      <c r="G304" s="811" t="s">
        <v>414</v>
      </c>
      <c r="H304" s="812">
        <v>1.22</v>
      </c>
      <c r="I304" s="813" t="s">
        <v>1796</v>
      </c>
      <c r="J304" s="814">
        <v>1.9477399999999999E-2</v>
      </c>
      <c r="K304" s="814">
        <v>4.8102000000000001E-6</v>
      </c>
      <c r="L304" s="815" t="s">
        <v>2367</v>
      </c>
      <c r="M304" s="816">
        <v>882</v>
      </c>
      <c r="N304" s="816" t="s">
        <v>414</v>
      </c>
      <c r="O304" s="817">
        <v>2</v>
      </c>
      <c r="P304" s="818" t="s">
        <v>1801</v>
      </c>
      <c r="Q304" s="819">
        <v>2.5499999999999998E-2</v>
      </c>
      <c r="R304" s="820" t="s">
        <v>414</v>
      </c>
      <c r="S304" s="521">
        <v>6.9999999999999999E-4</v>
      </c>
      <c r="T304" s="522" t="s">
        <v>414</v>
      </c>
    </row>
    <row r="305" spans="1:20" ht="15" customHeight="1">
      <c r="A305" s="791" t="s">
        <v>874</v>
      </c>
      <c r="B305" s="792" t="s">
        <v>875</v>
      </c>
      <c r="C305" s="793">
        <v>132.16</v>
      </c>
      <c r="D305" s="794" t="s">
        <v>1801</v>
      </c>
      <c r="E305" s="795">
        <v>1.3080000000000001E-4</v>
      </c>
      <c r="F305" s="795">
        <v>3.1999999999999999E-6</v>
      </c>
      <c r="G305" s="796" t="s">
        <v>1801</v>
      </c>
      <c r="H305" s="797">
        <v>0.97399999999999998</v>
      </c>
      <c r="I305" s="798" t="s">
        <v>1796</v>
      </c>
      <c r="J305" s="799">
        <v>5.6950399999999998E-2</v>
      </c>
      <c r="K305" s="799">
        <v>7.9752999999999997E-6</v>
      </c>
      <c r="L305" s="800" t="s">
        <v>2367</v>
      </c>
      <c r="M305" s="801">
        <v>4.5419999999999998</v>
      </c>
      <c r="N305" s="801" t="s">
        <v>414</v>
      </c>
      <c r="O305" s="802">
        <v>187000</v>
      </c>
      <c r="P305" s="803" t="s">
        <v>1801</v>
      </c>
      <c r="Q305" s="804">
        <v>6.9999999999999999E-4</v>
      </c>
      <c r="R305" s="805" t="s">
        <v>414</v>
      </c>
      <c r="S305" s="527">
        <v>2.9999999999999997E-4</v>
      </c>
      <c r="T305" s="528" t="s">
        <v>414</v>
      </c>
    </row>
    <row r="306" spans="1:20" ht="15" customHeight="1">
      <c r="A306" s="791" t="s">
        <v>876</v>
      </c>
      <c r="B306" s="792" t="s">
        <v>877</v>
      </c>
      <c r="C306" s="793">
        <v>90.123000000000005</v>
      </c>
      <c r="D306" s="794" t="s">
        <v>1801</v>
      </c>
      <c r="E306" s="795">
        <v>1.9199999999999999E-5</v>
      </c>
      <c r="F306" s="795">
        <v>4.7E-7</v>
      </c>
      <c r="G306" s="796" t="s">
        <v>1801</v>
      </c>
      <c r="H306" s="797">
        <v>0.92530000000000001</v>
      </c>
      <c r="I306" s="798" t="s">
        <v>1796</v>
      </c>
      <c r="J306" s="799">
        <v>8.1753699999999999E-2</v>
      </c>
      <c r="K306" s="799">
        <v>9.7305999999999996E-6</v>
      </c>
      <c r="L306" s="800" t="s">
        <v>2367</v>
      </c>
      <c r="M306" s="801">
        <v>1</v>
      </c>
      <c r="N306" s="801" t="s">
        <v>414</v>
      </c>
      <c r="O306" s="802">
        <v>1000000</v>
      </c>
      <c r="P306" s="803" t="s">
        <v>1801</v>
      </c>
      <c r="Q306" s="804">
        <v>2.9999999999999997E-4</v>
      </c>
      <c r="R306" s="805" t="s">
        <v>414</v>
      </c>
      <c r="S306" s="527">
        <v>1.5299999999999999E-3</v>
      </c>
      <c r="T306" s="528" t="s">
        <v>414</v>
      </c>
    </row>
    <row r="307" spans="1:20" ht="15" customHeight="1" thickBot="1">
      <c r="A307" s="806" t="s">
        <v>878</v>
      </c>
      <c r="B307" s="807" t="s">
        <v>879</v>
      </c>
      <c r="C307" s="808">
        <v>88.106999999999999</v>
      </c>
      <c r="D307" s="809" t="s">
        <v>1801</v>
      </c>
      <c r="E307" s="810">
        <v>5.4783000000000002E-3</v>
      </c>
      <c r="F307" s="810">
        <v>1.34E-4</v>
      </c>
      <c r="G307" s="811" t="s">
        <v>1801</v>
      </c>
      <c r="H307" s="812">
        <v>0.90029999999999999</v>
      </c>
      <c r="I307" s="813" t="s">
        <v>1796</v>
      </c>
      <c r="J307" s="814">
        <v>8.2315799999999995E-2</v>
      </c>
      <c r="K307" s="814">
        <v>9.7027999999999997E-6</v>
      </c>
      <c r="L307" s="815" t="s">
        <v>2367</v>
      </c>
      <c r="M307" s="816">
        <v>5.5830000000000002</v>
      </c>
      <c r="N307" s="816" t="s">
        <v>414</v>
      </c>
      <c r="O307" s="817">
        <v>80000</v>
      </c>
      <c r="P307" s="818" t="s">
        <v>1801</v>
      </c>
      <c r="Q307" s="819">
        <v>1.5299999999999999E-3</v>
      </c>
      <c r="R307" s="820" t="s">
        <v>414</v>
      </c>
      <c r="S307" s="521">
        <v>3.2399999999999998E-3</v>
      </c>
      <c r="T307" s="522" t="s">
        <v>414</v>
      </c>
    </row>
    <row r="308" spans="1:20" ht="15" customHeight="1">
      <c r="A308" s="791" t="s">
        <v>880</v>
      </c>
      <c r="B308" s="792" t="s">
        <v>881</v>
      </c>
      <c r="C308" s="793">
        <v>100.12</v>
      </c>
      <c r="D308" s="794" t="s">
        <v>1801</v>
      </c>
      <c r="E308" s="795">
        <v>1.3859399999999999E-2</v>
      </c>
      <c r="F308" s="795">
        <v>3.39E-4</v>
      </c>
      <c r="G308" s="796" t="s">
        <v>414</v>
      </c>
      <c r="H308" s="797">
        <v>0.9234</v>
      </c>
      <c r="I308" s="798" t="s">
        <v>1796</v>
      </c>
      <c r="J308" s="799">
        <v>7.45392E-2</v>
      </c>
      <c r="K308" s="799">
        <v>9.1241999999999998E-6</v>
      </c>
      <c r="L308" s="800" t="s">
        <v>2367</v>
      </c>
      <c r="M308" s="801">
        <v>10.65</v>
      </c>
      <c r="N308" s="801" t="s">
        <v>414</v>
      </c>
      <c r="O308" s="802">
        <v>15000</v>
      </c>
      <c r="P308" s="803" t="s">
        <v>1801</v>
      </c>
      <c r="Q308" s="804">
        <v>3.2399999999999998E-3</v>
      </c>
      <c r="R308" s="805" t="s">
        <v>414</v>
      </c>
      <c r="S308" s="527">
        <v>6.0699999999999999E-3</v>
      </c>
      <c r="T308" s="528" t="s">
        <v>414</v>
      </c>
    </row>
    <row r="309" spans="1:20" ht="15" customHeight="1">
      <c r="A309" s="791" t="s">
        <v>2110</v>
      </c>
      <c r="B309" s="792" t="s">
        <v>882</v>
      </c>
      <c r="C309" s="793">
        <v>64.515000000000001</v>
      </c>
      <c r="D309" s="794" t="s">
        <v>1801</v>
      </c>
      <c r="E309" s="795">
        <v>0.45380209999999999</v>
      </c>
      <c r="F309" s="795">
        <v>1.11E-2</v>
      </c>
      <c r="G309" s="796" t="s">
        <v>1801</v>
      </c>
      <c r="H309" s="797">
        <v>0.89019999999999999</v>
      </c>
      <c r="I309" s="798" t="s">
        <v>1796</v>
      </c>
      <c r="J309" s="799">
        <v>0.1037597</v>
      </c>
      <c r="K309" s="799">
        <v>1.1600000000000001E-5</v>
      </c>
      <c r="L309" s="800" t="s">
        <v>2367</v>
      </c>
      <c r="M309" s="801">
        <v>21.73</v>
      </c>
      <c r="N309" s="801" t="s">
        <v>414</v>
      </c>
      <c r="O309" s="802">
        <v>6710</v>
      </c>
      <c r="P309" s="803" t="s">
        <v>1801</v>
      </c>
      <c r="Q309" s="804">
        <v>6.0699999999999999E-3</v>
      </c>
      <c r="R309" s="805" t="s">
        <v>414</v>
      </c>
      <c r="S309" s="527">
        <v>2.3500000000000001E-3</v>
      </c>
      <c r="T309" s="528" t="s">
        <v>414</v>
      </c>
    </row>
    <row r="310" spans="1:20" ht="15" customHeight="1" thickBot="1">
      <c r="A310" s="806" t="s">
        <v>883</v>
      </c>
      <c r="B310" s="807" t="s">
        <v>884</v>
      </c>
      <c r="C310" s="808">
        <v>74.123999999999995</v>
      </c>
      <c r="D310" s="809" t="s">
        <v>1801</v>
      </c>
      <c r="E310" s="810">
        <v>5.0286200000000003E-2</v>
      </c>
      <c r="F310" s="810">
        <v>1.23E-3</v>
      </c>
      <c r="G310" s="811" t="s">
        <v>1801</v>
      </c>
      <c r="H310" s="812">
        <v>0.71379999999999999</v>
      </c>
      <c r="I310" s="813" t="s">
        <v>1796</v>
      </c>
      <c r="J310" s="814">
        <v>8.5244600000000004E-2</v>
      </c>
      <c r="K310" s="814">
        <v>9.3635999999999996E-6</v>
      </c>
      <c r="L310" s="815" t="s">
        <v>2367</v>
      </c>
      <c r="M310" s="816">
        <v>9.6989999999999998</v>
      </c>
      <c r="N310" s="816" t="s">
        <v>414</v>
      </c>
      <c r="O310" s="817">
        <v>60400</v>
      </c>
      <c r="P310" s="818" t="s">
        <v>1801</v>
      </c>
      <c r="Q310" s="819">
        <v>2.3500000000000001E-3</v>
      </c>
      <c r="R310" s="820" t="s">
        <v>414</v>
      </c>
      <c r="S310" s="521">
        <v>6.9800000000000001E-3</v>
      </c>
      <c r="T310" s="522" t="s">
        <v>414</v>
      </c>
    </row>
    <row r="311" spans="1:20" ht="15" customHeight="1">
      <c r="A311" s="791" t="s">
        <v>885</v>
      </c>
      <c r="B311" s="792" t="s">
        <v>886</v>
      </c>
      <c r="C311" s="793">
        <v>114.15</v>
      </c>
      <c r="D311" s="794" t="s">
        <v>1801</v>
      </c>
      <c r="E311" s="795">
        <v>2.3425999999999999E-2</v>
      </c>
      <c r="F311" s="795">
        <v>5.7300000000000005E-4</v>
      </c>
      <c r="G311" s="796" t="s">
        <v>414</v>
      </c>
      <c r="H311" s="797">
        <v>0.91349999999999998</v>
      </c>
      <c r="I311" s="798" t="s">
        <v>1796</v>
      </c>
      <c r="J311" s="799">
        <v>6.5344100000000002E-2</v>
      </c>
      <c r="K311" s="799">
        <v>8.3793999999999998E-6</v>
      </c>
      <c r="L311" s="800" t="s">
        <v>2367</v>
      </c>
      <c r="M311" s="801">
        <v>16.66</v>
      </c>
      <c r="N311" s="801" t="s">
        <v>414</v>
      </c>
      <c r="O311" s="802">
        <v>5400</v>
      </c>
      <c r="P311" s="803" t="s">
        <v>1801</v>
      </c>
      <c r="Q311" s="804">
        <v>6.9800000000000001E-3</v>
      </c>
      <c r="R311" s="805" t="s">
        <v>414</v>
      </c>
      <c r="S311" s="527">
        <v>3.61E-2</v>
      </c>
      <c r="T311" s="528" t="s">
        <v>414</v>
      </c>
    </row>
    <row r="312" spans="1:20" ht="15" customHeight="1">
      <c r="A312" s="791" t="s">
        <v>887</v>
      </c>
      <c r="B312" s="792" t="s">
        <v>888</v>
      </c>
      <c r="C312" s="793">
        <v>323.31</v>
      </c>
      <c r="D312" s="794" t="s">
        <v>1801</v>
      </c>
      <c r="E312" s="795">
        <v>1.8199999999999999E-5</v>
      </c>
      <c r="F312" s="795">
        <v>4.4400000000000001E-7</v>
      </c>
      <c r="G312" s="796" t="s">
        <v>414</v>
      </c>
      <c r="H312" s="797">
        <v>1.27</v>
      </c>
      <c r="I312" s="798" t="s">
        <v>1796</v>
      </c>
      <c r="J312" s="799">
        <v>2.1747499999999999E-2</v>
      </c>
      <c r="K312" s="799">
        <v>5.4674000000000004E-6</v>
      </c>
      <c r="L312" s="800" t="s">
        <v>2367</v>
      </c>
      <c r="M312" s="801">
        <v>15470</v>
      </c>
      <c r="N312" s="801" t="s">
        <v>414</v>
      </c>
      <c r="O312" s="802">
        <v>3.11</v>
      </c>
      <c r="P312" s="803" t="s">
        <v>1801</v>
      </c>
      <c r="Q312" s="804">
        <v>3.61E-2</v>
      </c>
      <c r="R312" s="805" t="s">
        <v>414</v>
      </c>
      <c r="S312" s="527">
        <v>4.9299999999999997E-2</v>
      </c>
      <c r="T312" s="528" t="s">
        <v>414</v>
      </c>
    </row>
    <row r="313" spans="1:20" ht="15" customHeight="1" thickBot="1">
      <c r="A313" s="806" t="s">
        <v>84</v>
      </c>
      <c r="B313" s="807" t="s">
        <v>889</v>
      </c>
      <c r="C313" s="808">
        <v>106.17</v>
      </c>
      <c r="D313" s="809" t="s">
        <v>1801</v>
      </c>
      <c r="E313" s="810">
        <v>0.32215860000000002</v>
      </c>
      <c r="F313" s="810">
        <v>7.8799999999999999E-3</v>
      </c>
      <c r="G313" s="811" t="s">
        <v>1801</v>
      </c>
      <c r="H313" s="812">
        <v>0.86260000000000003</v>
      </c>
      <c r="I313" s="813" t="s">
        <v>1796</v>
      </c>
      <c r="J313" s="814">
        <v>6.8465200000000004E-2</v>
      </c>
      <c r="K313" s="814">
        <v>8.4557999999999996E-6</v>
      </c>
      <c r="L313" s="815" t="s">
        <v>2367</v>
      </c>
      <c r="M313" s="816">
        <v>446.1</v>
      </c>
      <c r="N313" s="816" t="s">
        <v>414</v>
      </c>
      <c r="O313" s="817">
        <v>169</v>
      </c>
      <c r="P313" s="818" t="s">
        <v>1801</v>
      </c>
      <c r="Q313" s="819">
        <v>4.9299999999999997E-2</v>
      </c>
      <c r="R313" s="820" t="s">
        <v>414</v>
      </c>
      <c r="S313" s="521">
        <v>1.4799999999999999E-4</v>
      </c>
      <c r="T313" s="522" t="s">
        <v>414</v>
      </c>
    </row>
    <row r="314" spans="1:20" ht="15" customHeight="1">
      <c r="A314" s="791" t="s">
        <v>890</v>
      </c>
      <c r="B314" s="792" t="s">
        <v>891</v>
      </c>
      <c r="C314" s="793">
        <v>71.078999999999994</v>
      </c>
      <c r="D314" s="794" t="s">
        <v>1801</v>
      </c>
      <c r="E314" s="795">
        <v>3.0661999999999998E-7</v>
      </c>
      <c r="F314" s="795">
        <v>7.4999999999999993E-9</v>
      </c>
      <c r="G314" s="796" t="s">
        <v>414</v>
      </c>
      <c r="H314" s="797">
        <v>1.0404</v>
      </c>
      <c r="I314" s="798" t="s">
        <v>1796</v>
      </c>
      <c r="J314" s="799">
        <v>0.1033114</v>
      </c>
      <c r="K314" s="799">
        <v>1.2E-5</v>
      </c>
      <c r="L314" s="800" t="s">
        <v>2367</v>
      </c>
      <c r="M314" s="801">
        <v>1</v>
      </c>
      <c r="N314" s="801" t="s">
        <v>414</v>
      </c>
      <c r="O314" s="802">
        <v>1000000</v>
      </c>
      <c r="P314" s="803" t="s">
        <v>1801</v>
      </c>
      <c r="Q314" s="804">
        <v>1.4799999999999999E-4</v>
      </c>
      <c r="R314" s="805" t="s">
        <v>414</v>
      </c>
      <c r="S314" s="527">
        <v>3.18E-5</v>
      </c>
      <c r="T314" s="528" t="s">
        <v>414</v>
      </c>
    </row>
    <row r="315" spans="1:20" ht="15" customHeight="1">
      <c r="A315" s="791" t="s">
        <v>892</v>
      </c>
      <c r="B315" s="792" t="s">
        <v>893</v>
      </c>
      <c r="C315" s="793">
        <v>60.098999999999997</v>
      </c>
      <c r="D315" s="794" t="s">
        <v>1801</v>
      </c>
      <c r="E315" s="795">
        <v>7.0727999999999996E-8</v>
      </c>
      <c r="F315" s="795">
        <v>1.73E-9</v>
      </c>
      <c r="G315" s="796" t="s">
        <v>1801</v>
      </c>
      <c r="H315" s="797">
        <v>0.89790000000000003</v>
      </c>
      <c r="I315" s="798" t="s">
        <v>1796</v>
      </c>
      <c r="J315" s="799">
        <v>0.109446</v>
      </c>
      <c r="K315" s="799">
        <v>1.22E-5</v>
      </c>
      <c r="L315" s="800" t="s">
        <v>2367</v>
      </c>
      <c r="M315" s="801">
        <v>14.87</v>
      </c>
      <c r="N315" s="801" t="s">
        <v>414</v>
      </c>
      <c r="O315" s="802">
        <v>1000000</v>
      </c>
      <c r="P315" s="803" t="s">
        <v>1801</v>
      </c>
      <c r="Q315" s="804">
        <v>3.18E-5</v>
      </c>
      <c r="R315" s="805" t="s">
        <v>414</v>
      </c>
      <c r="S315" s="527">
        <v>8.7700000000000004E-5</v>
      </c>
      <c r="T315" s="528" t="s">
        <v>414</v>
      </c>
    </row>
    <row r="316" spans="1:20" ht="15" customHeight="1" thickBot="1">
      <c r="A316" s="806" t="s">
        <v>894</v>
      </c>
      <c r="B316" s="807" t="s">
        <v>895</v>
      </c>
      <c r="C316" s="808">
        <v>62.069000000000003</v>
      </c>
      <c r="D316" s="809" t="s">
        <v>1801</v>
      </c>
      <c r="E316" s="810">
        <v>2.4530000000000001E-6</v>
      </c>
      <c r="F316" s="810">
        <v>5.9999999999999995E-8</v>
      </c>
      <c r="G316" s="811" t="s">
        <v>1801</v>
      </c>
      <c r="H316" s="812">
        <v>1.1134999999999999</v>
      </c>
      <c r="I316" s="813" t="s">
        <v>1796</v>
      </c>
      <c r="J316" s="814">
        <v>0.116925</v>
      </c>
      <c r="K316" s="814">
        <v>1.36E-5</v>
      </c>
      <c r="L316" s="815" t="s">
        <v>2367</v>
      </c>
      <c r="M316" s="816">
        <v>1</v>
      </c>
      <c r="N316" s="816" t="s">
        <v>414</v>
      </c>
      <c r="O316" s="817">
        <v>1000000</v>
      </c>
      <c r="P316" s="818" t="s">
        <v>1801</v>
      </c>
      <c r="Q316" s="819">
        <v>8.7700000000000004E-5</v>
      </c>
      <c r="R316" s="820" t="s">
        <v>414</v>
      </c>
      <c r="S316" s="521">
        <v>1.2099999999999999E-3</v>
      </c>
      <c r="T316" s="522" t="s">
        <v>414</v>
      </c>
    </row>
    <row r="317" spans="1:20" ht="15" customHeight="1">
      <c r="A317" s="791" t="s">
        <v>896</v>
      </c>
      <c r="B317" s="792" t="s">
        <v>897</v>
      </c>
      <c r="C317" s="793">
        <v>118.18</v>
      </c>
      <c r="D317" s="794" t="s">
        <v>1801</v>
      </c>
      <c r="E317" s="795">
        <v>6.5400000000000004E-5</v>
      </c>
      <c r="F317" s="795">
        <v>1.5999999999999999E-6</v>
      </c>
      <c r="G317" s="796" t="s">
        <v>1801</v>
      </c>
      <c r="H317" s="797">
        <v>0.90149999999999997</v>
      </c>
      <c r="I317" s="798" t="s">
        <v>1796</v>
      </c>
      <c r="J317" s="799">
        <v>6.2618800000000002E-2</v>
      </c>
      <c r="K317" s="799">
        <v>8.1419000000000008E-6</v>
      </c>
      <c r="L317" s="800" t="s">
        <v>2367</v>
      </c>
      <c r="M317" s="801">
        <v>2.823</v>
      </c>
      <c r="N317" s="801" t="s">
        <v>414</v>
      </c>
      <c r="O317" s="802">
        <v>1000000</v>
      </c>
      <c r="P317" s="803" t="s">
        <v>1801</v>
      </c>
      <c r="Q317" s="804">
        <v>1.2099999999999999E-3</v>
      </c>
      <c r="R317" s="805" t="s">
        <v>414</v>
      </c>
      <c r="S317" s="527">
        <v>5.5999999999999995E-4</v>
      </c>
      <c r="T317" s="528" t="s">
        <v>414</v>
      </c>
    </row>
    <row r="318" spans="1:20" ht="15" customHeight="1">
      <c r="A318" s="791" t="s">
        <v>898</v>
      </c>
      <c r="B318" s="792" t="s">
        <v>899</v>
      </c>
      <c r="C318" s="793">
        <v>44.054000000000002</v>
      </c>
      <c r="D318" s="794" t="s">
        <v>1801</v>
      </c>
      <c r="E318" s="795">
        <v>6.0507E-3</v>
      </c>
      <c r="F318" s="795">
        <v>1.4799999999999999E-4</v>
      </c>
      <c r="G318" s="796" t="s">
        <v>1801</v>
      </c>
      <c r="H318" s="797">
        <v>0.8821</v>
      </c>
      <c r="I318" s="798" t="s">
        <v>1796</v>
      </c>
      <c r="J318" s="799">
        <v>0.13396379999999999</v>
      </c>
      <c r="K318" s="799">
        <v>1.45E-5</v>
      </c>
      <c r="L318" s="800" t="s">
        <v>2367</v>
      </c>
      <c r="M318" s="801">
        <v>3.2370000000000001</v>
      </c>
      <c r="N318" s="801" t="s">
        <v>414</v>
      </c>
      <c r="O318" s="802">
        <v>1000000</v>
      </c>
      <c r="P318" s="803" t="s">
        <v>1801</v>
      </c>
      <c r="Q318" s="804">
        <v>5.5999999999999995E-4</v>
      </c>
      <c r="R318" s="805" t="s">
        <v>414</v>
      </c>
      <c r="S318" s="527">
        <v>1.5200000000000001E-4</v>
      </c>
      <c r="T318" s="528" t="s">
        <v>414</v>
      </c>
    </row>
    <row r="319" spans="1:20" ht="15" customHeight="1" thickBot="1">
      <c r="A319" s="806" t="s">
        <v>900</v>
      </c>
      <c r="B319" s="807" t="s">
        <v>901</v>
      </c>
      <c r="C319" s="808">
        <v>102.16</v>
      </c>
      <c r="D319" s="809" t="s">
        <v>1801</v>
      </c>
      <c r="E319" s="810">
        <v>5.5600000000000004E-10</v>
      </c>
      <c r="F319" s="810">
        <v>1.36E-11</v>
      </c>
      <c r="G319" s="811" t="s">
        <v>1801</v>
      </c>
      <c r="H319" s="839" t="s">
        <v>1750</v>
      </c>
      <c r="I319" s="840" t="s">
        <v>43</v>
      </c>
      <c r="J319" s="814">
        <v>8.6942699999999998E-2</v>
      </c>
      <c r="K319" s="814">
        <v>1.0200000000000001E-5</v>
      </c>
      <c r="L319" s="815" t="s">
        <v>2367</v>
      </c>
      <c r="M319" s="816">
        <v>12.97</v>
      </c>
      <c r="N319" s="816" t="s">
        <v>414</v>
      </c>
      <c r="O319" s="817">
        <v>20000</v>
      </c>
      <c r="P319" s="818" t="s">
        <v>1801</v>
      </c>
      <c r="Q319" s="819">
        <v>1.5200000000000001E-4</v>
      </c>
      <c r="R319" s="820" t="s">
        <v>414</v>
      </c>
      <c r="S319" s="521">
        <v>5.8100000000000003E-4</v>
      </c>
      <c r="T319" s="522" t="s">
        <v>414</v>
      </c>
    </row>
    <row r="320" spans="1:20" ht="15" customHeight="1">
      <c r="A320" s="791" t="s">
        <v>902</v>
      </c>
      <c r="B320" s="792" t="s">
        <v>903</v>
      </c>
      <c r="C320" s="793">
        <v>43.069000000000003</v>
      </c>
      <c r="D320" s="794" t="s">
        <v>1801</v>
      </c>
      <c r="E320" s="795">
        <v>4.9470000000000004E-4</v>
      </c>
      <c r="F320" s="795">
        <v>1.2099999999999999E-5</v>
      </c>
      <c r="G320" s="796" t="s">
        <v>414</v>
      </c>
      <c r="H320" s="797">
        <v>0.83199999999999996</v>
      </c>
      <c r="I320" s="798" t="s">
        <v>1796</v>
      </c>
      <c r="J320" s="799">
        <v>0.13282930000000001</v>
      </c>
      <c r="K320" s="799">
        <v>1.42E-5</v>
      </c>
      <c r="L320" s="800" t="s">
        <v>2367</v>
      </c>
      <c r="M320" s="801">
        <v>9.0429999999999993</v>
      </c>
      <c r="N320" s="801" t="s">
        <v>414</v>
      </c>
      <c r="O320" s="802">
        <v>1000000</v>
      </c>
      <c r="P320" s="803" t="s">
        <v>1801</v>
      </c>
      <c r="Q320" s="804">
        <v>5.8100000000000003E-4</v>
      </c>
      <c r="R320" s="805" t="s">
        <v>414</v>
      </c>
      <c r="S320" s="527">
        <v>1.1900000000000001E-3</v>
      </c>
      <c r="T320" s="528" t="s">
        <v>414</v>
      </c>
    </row>
    <row r="321" spans="1:20" ht="15" customHeight="1">
      <c r="A321" s="791" t="s">
        <v>904</v>
      </c>
      <c r="B321" s="792" t="s">
        <v>905</v>
      </c>
      <c r="C321" s="793">
        <v>280.27999999999997</v>
      </c>
      <c r="D321" s="794" t="s">
        <v>1801</v>
      </c>
      <c r="E321" s="795">
        <v>2.7146000000000002E-7</v>
      </c>
      <c r="F321" s="795">
        <v>6.6400000000000002E-9</v>
      </c>
      <c r="G321" s="796" t="s">
        <v>1801</v>
      </c>
      <c r="H321" s="821" t="s">
        <v>1750</v>
      </c>
      <c r="I321" s="822" t="s">
        <v>43</v>
      </c>
      <c r="J321" s="799">
        <v>4.43635E-2</v>
      </c>
      <c r="K321" s="799">
        <v>5.1834999999999996E-6</v>
      </c>
      <c r="L321" s="800" t="s">
        <v>2367</v>
      </c>
      <c r="M321" s="801">
        <v>1019</v>
      </c>
      <c r="N321" s="801" t="s">
        <v>414</v>
      </c>
      <c r="O321" s="802">
        <v>216.8</v>
      </c>
      <c r="P321" s="803" t="s">
        <v>1801</v>
      </c>
      <c r="Q321" s="804">
        <v>1.1900000000000001E-3</v>
      </c>
      <c r="R321" s="805" t="s">
        <v>414</v>
      </c>
      <c r="S321" s="527">
        <v>4.6799999999999999E-4</v>
      </c>
      <c r="T321" s="528" t="s">
        <v>414</v>
      </c>
    </row>
    <row r="322" spans="1:20" ht="15" customHeight="1" thickBot="1">
      <c r="A322" s="806" t="s">
        <v>907</v>
      </c>
      <c r="B322" s="807" t="s">
        <v>908</v>
      </c>
      <c r="C322" s="808">
        <v>303.36</v>
      </c>
      <c r="D322" s="809" t="s">
        <v>1801</v>
      </c>
      <c r="E322" s="810">
        <v>4.9468999999999998E-8</v>
      </c>
      <c r="F322" s="810">
        <v>1.21E-9</v>
      </c>
      <c r="G322" s="811" t="s">
        <v>414</v>
      </c>
      <c r="H322" s="812">
        <v>1.1499999999999999</v>
      </c>
      <c r="I322" s="813" t="s">
        <v>1796</v>
      </c>
      <c r="J322" s="814">
        <v>2.1437000000000001E-2</v>
      </c>
      <c r="K322" s="814">
        <v>5.3519999999999997E-6</v>
      </c>
      <c r="L322" s="815" t="s">
        <v>2367</v>
      </c>
      <c r="M322" s="816">
        <v>398</v>
      </c>
      <c r="N322" s="816" t="s">
        <v>414</v>
      </c>
      <c r="O322" s="817">
        <v>329</v>
      </c>
      <c r="P322" s="818" t="s">
        <v>1801</v>
      </c>
      <c r="Q322" s="819">
        <v>4.3600000000000002E-3</v>
      </c>
      <c r="R322" s="820" t="s">
        <v>414</v>
      </c>
      <c r="S322" s="521">
        <v>4.3600000000000002E-3</v>
      </c>
      <c r="T322" s="522" t="s">
        <v>414</v>
      </c>
    </row>
    <row r="323" spans="1:20" ht="15" customHeight="1">
      <c r="A323" s="791" t="s">
        <v>909</v>
      </c>
      <c r="B323" s="792" t="s">
        <v>910</v>
      </c>
      <c r="C323" s="793">
        <v>349.43</v>
      </c>
      <c r="D323" s="794" t="s">
        <v>1801</v>
      </c>
      <c r="E323" s="795">
        <v>3.123E-4</v>
      </c>
      <c r="F323" s="795">
        <v>7.6399999999999997E-6</v>
      </c>
      <c r="G323" s="796" t="s">
        <v>414</v>
      </c>
      <c r="H323" s="821" t="s">
        <v>1750</v>
      </c>
      <c r="I323" s="822" t="s">
        <v>43</v>
      </c>
      <c r="J323" s="799">
        <v>3.8298400000000003E-2</v>
      </c>
      <c r="K323" s="799">
        <v>4.4749000000000001E-6</v>
      </c>
      <c r="L323" s="800" t="s">
        <v>2367</v>
      </c>
      <c r="M323" s="801">
        <v>22490</v>
      </c>
      <c r="N323" s="801" t="s">
        <v>414</v>
      </c>
      <c r="O323" s="802">
        <v>0.33</v>
      </c>
      <c r="P323" s="803" t="s">
        <v>1801</v>
      </c>
      <c r="Q323" s="804">
        <v>0.16700000000000001</v>
      </c>
      <c r="R323" s="805" t="s">
        <v>414</v>
      </c>
      <c r="S323" s="527">
        <v>0.16700000000000001</v>
      </c>
      <c r="T323" s="528" t="s">
        <v>414</v>
      </c>
    </row>
    <row r="324" spans="1:20" ht="15" customHeight="1">
      <c r="A324" s="791" t="s">
        <v>2223</v>
      </c>
      <c r="B324" s="792" t="s">
        <v>1435</v>
      </c>
      <c r="C324" s="793">
        <v>419.91</v>
      </c>
      <c r="D324" s="794" t="s">
        <v>1801</v>
      </c>
      <c r="E324" s="795">
        <v>1.4105000000000001E-6</v>
      </c>
      <c r="F324" s="795">
        <v>3.4499999999999998E-8</v>
      </c>
      <c r="G324" s="796" t="s">
        <v>414</v>
      </c>
      <c r="H324" s="797">
        <v>1.1499999999999999</v>
      </c>
      <c r="I324" s="798" t="s">
        <v>1796</v>
      </c>
      <c r="J324" s="799">
        <v>1.80593E-2</v>
      </c>
      <c r="K324" s="799">
        <v>4.4035000000000003E-6</v>
      </c>
      <c r="L324" s="800" t="s">
        <v>2367</v>
      </c>
      <c r="M324" s="801">
        <v>317000</v>
      </c>
      <c r="N324" s="801" t="s">
        <v>414</v>
      </c>
      <c r="O324" s="802">
        <v>2.4E-2</v>
      </c>
      <c r="P324" s="803" t="s">
        <v>1801</v>
      </c>
      <c r="Q324" s="804">
        <v>9.3799999999999994E-2</v>
      </c>
      <c r="R324" s="805" t="s">
        <v>414</v>
      </c>
      <c r="S324" s="527">
        <v>3.16E-3</v>
      </c>
      <c r="T324" s="528" t="s">
        <v>414</v>
      </c>
    </row>
    <row r="325" spans="1:20" ht="15" customHeight="1" thickBot="1">
      <c r="A325" s="806" t="s">
        <v>911</v>
      </c>
      <c r="B325" s="807" t="s">
        <v>912</v>
      </c>
      <c r="C325" s="808">
        <v>232.21</v>
      </c>
      <c r="D325" s="809" t="s">
        <v>1801</v>
      </c>
      <c r="E325" s="810">
        <v>1.067E-7</v>
      </c>
      <c r="F325" s="810">
        <v>2.6099999999999999E-9</v>
      </c>
      <c r="G325" s="811" t="s">
        <v>414</v>
      </c>
      <c r="H325" s="839" t="s">
        <v>1750</v>
      </c>
      <c r="I325" s="840" t="s">
        <v>43</v>
      </c>
      <c r="J325" s="814">
        <v>5.0292099999999999E-2</v>
      </c>
      <c r="K325" s="814">
        <v>5.8761999999999997E-6</v>
      </c>
      <c r="L325" s="815" t="s">
        <v>2367</v>
      </c>
      <c r="M325" s="816">
        <v>285.3</v>
      </c>
      <c r="N325" s="816" t="s">
        <v>414</v>
      </c>
      <c r="O325" s="817">
        <v>110</v>
      </c>
      <c r="P325" s="818" t="s">
        <v>1801</v>
      </c>
      <c r="Q325" s="819">
        <v>3.16E-3</v>
      </c>
      <c r="R325" s="820" t="s">
        <v>414</v>
      </c>
      <c r="S325" s="521">
        <v>1E-3</v>
      </c>
      <c r="T325" s="522" t="s">
        <v>1797</v>
      </c>
    </row>
    <row r="326" spans="1:20" ht="15" customHeight="1">
      <c r="A326" s="791" t="s">
        <v>913</v>
      </c>
      <c r="B326" s="792" t="s">
        <v>914</v>
      </c>
      <c r="C326" s="793">
        <v>38</v>
      </c>
      <c r="D326" s="794" t="s">
        <v>414</v>
      </c>
      <c r="E326" s="831" t="s">
        <v>1750</v>
      </c>
      <c r="F326" s="831" t="s">
        <v>1750</v>
      </c>
      <c r="G326" s="832" t="s">
        <v>43</v>
      </c>
      <c r="H326" s="821" t="s">
        <v>1750</v>
      </c>
      <c r="I326" s="822" t="s">
        <v>43</v>
      </c>
      <c r="J326" s="833" t="s">
        <v>1750</v>
      </c>
      <c r="K326" s="833" t="s">
        <v>1750</v>
      </c>
      <c r="L326" s="834" t="s">
        <v>43</v>
      </c>
      <c r="M326" s="835" t="s">
        <v>1750</v>
      </c>
      <c r="N326" s="836" t="s">
        <v>43</v>
      </c>
      <c r="O326" s="802">
        <v>1.69</v>
      </c>
      <c r="P326" s="803" t="s">
        <v>414</v>
      </c>
      <c r="Q326" s="804">
        <v>1E-3</v>
      </c>
      <c r="R326" s="805" t="s">
        <v>1797</v>
      </c>
      <c r="S326" s="527">
        <v>1E-3</v>
      </c>
      <c r="T326" s="528" t="s">
        <v>1797</v>
      </c>
    </row>
    <row r="327" spans="1:20" ht="15" customHeight="1">
      <c r="A327" s="791" t="s">
        <v>915</v>
      </c>
      <c r="B327" s="792" t="s">
        <v>916</v>
      </c>
      <c r="C327" s="793">
        <v>37.997</v>
      </c>
      <c r="D327" s="794" t="s">
        <v>1801</v>
      </c>
      <c r="E327" s="831" t="s">
        <v>1750</v>
      </c>
      <c r="F327" s="831" t="s">
        <v>1750</v>
      </c>
      <c r="G327" s="832" t="s">
        <v>43</v>
      </c>
      <c r="H327" s="797">
        <v>1.5529999999999999</v>
      </c>
      <c r="I327" s="798" t="s">
        <v>1796</v>
      </c>
      <c r="J327" s="833" t="s">
        <v>1750</v>
      </c>
      <c r="K327" s="833" t="s">
        <v>1750</v>
      </c>
      <c r="L327" s="834" t="s">
        <v>43</v>
      </c>
      <c r="M327" s="835" t="s">
        <v>1750</v>
      </c>
      <c r="N327" s="836" t="s">
        <v>43</v>
      </c>
      <c r="O327" s="802">
        <v>1.69</v>
      </c>
      <c r="P327" s="803" t="s">
        <v>1801</v>
      </c>
      <c r="Q327" s="804">
        <v>1E-3</v>
      </c>
      <c r="R327" s="805" t="s">
        <v>1797</v>
      </c>
      <c r="S327" s="527">
        <v>2.8E-3</v>
      </c>
      <c r="T327" s="528" t="s">
        <v>414</v>
      </c>
    </row>
    <row r="328" spans="1:20" ht="15" customHeight="1" thickBot="1">
      <c r="A328" s="806" t="s">
        <v>917</v>
      </c>
      <c r="B328" s="807" t="s">
        <v>918</v>
      </c>
      <c r="C328" s="808">
        <v>329.32</v>
      </c>
      <c r="D328" s="809" t="s">
        <v>1801</v>
      </c>
      <c r="E328" s="810">
        <v>3.3115E-7</v>
      </c>
      <c r="F328" s="810">
        <v>8.0999999999999997E-9</v>
      </c>
      <c r="G328" s="811" t="s">
        <v>414</v>
      </c>
      <c r="H328" s="839" t="s">
        <v>1750</v>
      </c>
      <c r="I328" s="840" t="s">
        <v>43</v>
      </c>
      <c r="J328" s="814">
        <v>3.9842000000000002E-2</v>
      </c>
      <c r="K328" s="814">
        <v>4.6551999999999999E-6</v>
      </c>
      <c r="L328" s="815" t="s">
        <v>2367</v>
      </c>
      <c r="M328" s="816">
        <v>56770</v>
      </c>
      <c r="N328" s="816" t="s">
        <v>414</v>
      </c>
      <c r="O328" s="817">
        <v>12</v>
      </c>
      <c r="P328" s="818" t="s">
        <v>1801</v>
      </c>
      <c r="Q328" s="819">
        <v>2.8E-3</v>
      </c>
      <c r="R328" s="820" t="s">
        <v>414</v>
      </c>
      <c r="S328" s="521">
        <v>4.5900000000000003E-3</v>
      </c>
      <c r="T328" s="522" t="s">
        <v>414</v>
      </c>
    </row>
    <row r="329" spans="1:20" ht="15" customHeight="1">
      <c r="A329" s="791" t="s">
        <v>919</v>
      </c>
      <c r="B329" s="792" t="s">
        <v>920</v>
      </c>
      <c r="C329" s="793">
        <v>312.29000000000002</v>
      </c>
      <c r="D329" s="794" t="s">
        <v>1801</v>
      </c>
      <c r="E329" s="795">
        <v>5.3557000000000001E-8</v>
      </c>
      <c r="F329" s="795">
        <v>1.31E-9</v>
      </c>
      <c r="G329" s="796" t="s">
        <v>414</v>
      </c>
      <c r="H329" s="821" t="s">
        <v>1750</v>
      </c>
      <c r="I329" s="822" t="s">
        <v>43</v>
      </c>
      <c r="J329" s="799">
        <v>4.1277599999999998E-2</v>
      </c>
      <c r="K329" s="799">
        <v>4.8230000000000002E-6</v>
      </c>
      <c r="L329" s="800" t="s">
        <v>2367</v>
      </c>
      <c r="M329" s="801">
        <v>2189</v>
      </c>
      <c r="N329" s="801" t="s">
        <v>414</v>
      </c>
      <c r="O329" s="802">
        <v>114</v>
      </c>
      <c r="P329" s="803" t="s">
        <v>1801</v>
      </c>
      <c r="Q329" s="804">
        <v>4.5900000000000003E-3</v>
      </c>
      <c r="R329" s="805" t="s">
        <v>414</v>
      </c>
      <c r="S329" s="527">
        <v>6.9100000000000003E-3</v>
      </c>
      <c r="T329" s="528" t="s">
        <v>414</v>
      </c>
    </row>
    <row r="330" spans="1:20" ht="15" customHeight="1">
      <c r="A330" s="791" t="s">
        <v>2224</v>
      </c>
      <c r="B330" s="792" t="s">
        <v>1238</v>
      </c>
      <c r="C330" s="793">
        <v>315.39999999999998</v>
      </c>
      <c r="D330" s="794" t="s">
        <v>1801</v>
      </c>
      <c r="E330" s="795">
        <v>9.1987000000000002E-8</v>
      </c>
      <c r="F330" s="795">
        <v>2.2499999999999999E-9</v>
      </c>
      <c r="G330" s="796" t="s">
        <v>1801</v>
      </c>
      <c r="H330" s="821" t="s">
        <v>1750</v>
      </c>
      <c r="I330" s="822" t="s">
        <v>43</v>
      </c>
      <c r="J330" s="799">
        <v>4.1005800000000002E-2</v>
      </c>
      <c r="K330" s="799">
        <v>4.7912E-6</v>
      </c>
      <c r="L330" s="800" t="s">
        <v>2367</v>
      </c>
      <c r="M330" s="801">
        <v>81060</v>
      </c>
      <c r="N330" s="801" t="s">
        <v>414</v>
      </c>
      <c r="O330" s="802">
        <v>54</v>
      </c>
      <c r="P330" s="803" t="s">
        <v>1801</v>
      </c>
      <c r="Q330" s="804">
        <v>7.6600000000000001E-3</v>
      </c>
      <c r="R330" s="805" t="s">
        <v>414</v>
      </c>
      <c r="S330" s="527">
        <v>7.9200000000000007E-2</v>
      </c>
      <c r="T330" s="528" t="s">
        <v>414</v>
      </c>
    </row>
    <row r="331" spans="1:20" ht="15" customHeight="1" thickBot="1">
      <c r="A331" s="806" t="s">
        <v>921</v>
      </c>
      <c r="B331" s="807" t="s">
        <v>922</v>
      </c>
      <c r="C331" s="808">
        <v>323.32</v>
      </c>
      <c r="D331" s="809" t="s">
        <v>1801</v>
      </c>
      <c r="E331" s="810">
        <v>1.3001000000000001E-7</v>
      </c>
      <c r="F331" s="810">
        <v>3.1800000000000002E-9</v>
      </c>
      <c r="G331" s="811" t="s">
        <v>414</v>
      </c>
      <c r="H331" s="839" t="s">
        <v>1750</v>
      </c>
      <c r="I331" s="840" t="s">
        <v>43</v>
      </c>
      <c r="J331" s="814">
        <v>4.0333399999999998E-2</v>
      </c>
      <c r="K331" s="814">
        <v>4.7126000000000004E-6</v>
      </c>
      <c r="L331" s="815" t="s">
        <v>2367</v>
      </c>
      <c r="M331" s="816">
        <v>2558</v>
      </c>
      <c r="N331" s="816" t="s">
        <v>414</v>
      </c>
      <c r="O331" s="817">
        <v>6.53</v>
      </c>
      <c r="P331" s="818" t="s">
        <v>1801</v>
      </c>
      <c r="Q331" s="819">
        <v>6.9100000000000003E-3</v>
      </c>
      <c r="R331" s="820" t="s">
        <v>414</v>
      </c>
      <c r="S331" s="521">
        <v>2.66E-3</v>
      </c>
      <c r="T331" s="522" t="s">
        <v>414</v>
      </c>
    </row>
    <row r="332" spans="1:20" ht="15" customHeight="1">
      <c r="A332" s="791" t="s">
        <v>923</v>
      </c>
      <c r="B332" s="792" t="s">
        <v>924</v>
      </c>
      <c r="C332" s="793">
        <v>502.93</v>
      </c>
      <c r="D332" s="794" t="s">
        <v>1801</v>
      </c>
      <c r="E332" s="795">
        <v>5.9279999999999996E-7</v>
      </c>
      <c r="F332" s="795">
        <v>1.4500000000000001E-8</v>
      </c>
      <c r="G332" s="796" t="s">
        <v>1801</v>
      </c>
      <c r="H332" s="821" t="s">
        <v>1750</v>
      </c>
      <c r="I332" s="822" t="s">
        <v>43</v>
      </c>
      <c r="J332" s="799">
        <v>3.0043400000000001E-2</v>
      </c>
      <c r="K332" s="799">
        <v>3.5103000000000001E-6</v>
      </c>
      <c r="L332" s="800" t="s">
        <v>2367</v>
      </c>
      <c r="M332" s="801">
        <v>730000</v>
      </c>
      <c r="N332" s="801" t="s">
        <v>414</v>
      </c>
      <c r="O332" s="802">
        <v>5.0000000000000001E-3</v>
      </c>
      <c r="P332" s="803" t="s">
        <v>1801</v>
      </c>
      <c r="Q332" s="804">
        <v>7.9200000000000007E-2</v>
      </c>
      <c r="R332" s="805" t="s">
        <v>414</v>
      </c>
      <c r="S332" s="527">
        <v>4.57E-4</v>
      </c>
      <c r="T332" s="528" t="s">
        <v>414</v>
      </c>
    </row>
    <row r="333" spans="1:20" ht="15" customHeight="1">
      <c r="A333" s="791" t="s">
        <v>925</v>
      </c>
      <c r="B333" s="792" t="s">
        <v>926</v>
      </c>
      <c r="C333" s="793">
        <v>296.56</v>
      </c>
      <c r="D333" s="794" t="s">
        <v>1801</v>
      </c>
      <c r="E333" s="795">
        <v>3.1315999999999998E-6</v>
      </c>
      <c r="F333" s="795">
        <v>7.6599999999999998E-8</v>
      </c>
      <c r="G333" s="796" t="s">
        <v>414</v>
      </c>
      <c r="H333" s="821" t="s">
        <v>1750</v>
      </c>
      <c r="I333" s="822" t="s">
        <v>43</v>
      </c>
      <c r="J333" s="799">
        <v>4.2724699999999997E-2</v>
      </c>
      <c r="K333" s="799">
        <v>4.9919999999999998E-6</v>
      </c>
      <c r="L333" s="800" t="s">
        <v>2367</v>
      </c>
      <c r="M333" s="801">
        <v>17.7</v>
      </c>
      <c r="N333" s="801" t="s">
        <v>414</v>
      </c>
      <c r="O333" s="802">
        <v>0.8</v>
      </c>
      <c r="P333" s="803" t="s">
        <v>1801</v>
      </c>
      <c r="Q333" s="804">
        <v>2.66E-3</v>
      </c>
      <c r="R333" s="805" t="s">
        <v>414</v>
      </c>
      <c r="S333" s="527">
        <v>2.7E-2</v>
      </c>
      <c r="T333" s="528" t="s">
        <v>414</v>
      </c>
    </row>
    <row r="334" spans="1:20" ht="15" customHeight="1" thickBot="1">
      <c r="A334" s="806" t="s">
        <v>927</v>
      </c>
      <c r="B334" s="807" t="s">
        <v>928</v>
      </c>
      <c r="C334" s="808">
        <v>438.77</v>
      </c>
      <c r="D334" s="809" t="s">
        <v>1801</v>
      </c>
      <c r="E334" s="810">
        <v>3.0780000000000003E-11</v>
      </c>
      <c r="F334" s="810">
        <v>7.5300000000000002E-13</v>
      </c>
      <c r="G334" s="811" t="s">
        <v>1801</v>
      </c>
      <c r="H334" s="812">
        <v>1.28</v>
      </c>
      <c r="I334" s="813" t="s">
        <v>1796</v>
      </c>
      <c r="J334" s="814">
        <v>1.8606399999999999E-2</v>
      </c>
      <c r="K334" s="814">
        <v>4.5735999999999997E-6</v>
      </c>
      <c r="L334" s="815" t="s">
        <v>2367</v>
      </c>
      <c r="M334" s="816">
        <v>1546</v>
      </c>
      <c r="N334" s="816" t="s">
        <v>414</v>
      </c>
      <c r="O334" s="817">
        <v>50</v>
      </c>
      <c r="P334" s="818" t="s">
        <v>1801</v>
      </c>
      <c r="Q334" s="819">
        <v>4.57E-4</v>
      </c>
      <c r="R334" s="820" t="s">
        <v>414</v>
      </c>
      <c r="S334" s="521">
        <v>1.82E-3</v>
      </c>
      <c r="T334" s="522" t="s">
        <v>414</v>
      </c>
    </row>
    <row r="335" spans="1:20" ht="15" customHeight="1">
      <c r="A335" s="791" t="s">
        <v>929</v>
      </c>
      <c r="B335" s="792" t="s">
        <v>930</v>
      </c>
      <c r="C335" s="793">
        <v>246.33</v>
      </c>
      <c r="D335" s="794" t="s">
        <v>1801</v>
      </c>
      <c r="E335" s="795">
        <v>2.854E-4</v>
      </c>
      <c r="F335" s="795">
        <v>6.9800000000000001E-6</v>
      </c>
      <c r="G335" s="796" t="s">
        <v>414</v>
      </c>
      <c r="H335" s="797">
        <v>1.1599999999999999</v>
      </c>
      <c r="I335" s="798" t="s">
        <v>1796</v>
      </c>
      <c r="J335" s="799">
        <v>2.4016900000000001E-2</v>
      </c>
      <c r="K335" s="799">
        <v>6.0959000000000004E-6</v>
      </c>
      <c r="L335" s="800" t="s">
        <v>2367</v>
      </c>
      <c r="M335" s="801">
        <v>855.8</v>
      </c>
      <c r="N335" s="801" t="s">
        <v>414</v>
      </c>
      <c r="O335" s="802">
        <v>15.7</v>
      </c>
      <c r="P335" s="803" t="s">
        <v>1801</v>
      </c>
      <c r="Q335" s="804">
        <v>2.7E-2</v>
      </c>
      <c r="R335" s="805" t="s">
        <v>414</v>
      </c>
      <c r="S335" s="527">
        <v>3.7800000000000003E-4</v>
      </c>
      <c r="T335" s="528" t="s">
        <v>414</v>
      </c>
    </row>
    <row r="336" spans="1:20" ht="15" customHeight="1">
      <c r="A336" s="791" t="s">
        <v>931</v>
      </c>
      <c r="B336" s="792" t="s">
        <v>932</v>
      </c>
      <c r="C336" s="793">
        <v>30.026</v>
      </c>
      <c r="D336" s="794" t="s">
        <v>1801</v>
      </c>
      <c r="E336" s="795">
        <v>1.38E-5</v>
      </c>
      <c r="F336" s="795">
        <v>3.3700000000000001E-7</v>
      </c>
      <c r="G336" s="796" t="s">
        <v>1801</v>
      </c>
      <c r="H336" s="797">
        <v>0.81499999999999995</v>
      </c>
      <c r="I336" s="798" t="s">
        <v>1796</v>
      </c>
      <c r="J336" s="799">
        <v>0.16708709999999999</v>
      </c>
      <c r="K336" s="799">
        <v>1.7399999999999999E-5</v>
      </c>
      <c r="L336" s="800" t="s">
        <v>2367</v>
      </c>
      <c r="M336" s="801">
        <v>1</v>
      </c>
      <c r="N336" s="801" t="s">
        <v>414</v>
      </c>
      <c r="O336" s="802">
        <v>400000</v>
      </c>
      <c r="P336" s="803" t="s">
        <v>1801</v>
      </c>
      <c r="Q336" s="804">
        <v>1.82E-3</v>
      </c>
      <c r="R336" s="805" t="s">
        <v>414</v>
      </c>
      <c r="S336" s="527">
        <v>4.0999999999999999E-7</v>
      </c>
      <c r="T336" s="528" t="s">
        <v>414</v>
      </c>
    </row>
    <row r="337" spans="1:20" ht="15" customHeight="1" thickBot="1">
      <c r="A337" s="806" t="s">
        <v>933</v>
      </c>
      <c r="B337" s="807" t="s">
        <v>934</v>
      </c>
      <c r="C337" s="808">
        <v>46.026000000000003</v>
      </c>
      <c r="D337" s="809" t="s">
        <v>1801</v>
      </c>
      <c r="E337" s="810">
        <v>6.8275000000000003E-6</v>
      </c>
      <c r="F337" s="810">
        <v>1.67E-7</v>
      </c>
      <c r="G337" s="811" t="s">
        <v>1801</v>
      </c>
      <c r="H337" s="812">
        <v>1.22</v>
      </c>
      <c r="I337" s="813" t="s">
        <v>1796</v>
      </c>
      <c r="J337" s="814">
        <v>0.1478701</v>
      </c>
      <c r="K337" s="814">
        <v>1.7200000000000001E-5</v>
      </c>
      <c r="L337" s="815" t="s">
        <v>2367</v>
      </c>
      <c r="M337" s="816">
        <v>1</v>
      </c>
      <c r="N337" s="816" t="s">
        <v>414</v>
      </c>
      <c r="O337" s="817">
        <v>1000000</v>
      </c>
      <c r="P337" s="818" t="s">
        <v>1801</v>
      </c>
      <c r="Q337" s="819">
        <v>3.7800000000000003E-4</v>
      </c>
      <c r="R337" s="820" t="s">
        <v>414</v>
      </c>
      <c r="S337" s="529" t="s">
        <v>1750</v>
      </c>
      <c r="T337" s="530" t="s">
        <v>43</v>
      </c>
    </row>
    <row r="338" spans="1:20" ht="15" customHeight="1">
      <c r="A338" s="791" t="s">
        <v>935</v>
      </c>
      <c r="B338" s="792" t="s">
        <v>936</v>
      </c>
      <c r="C338" s="793">
        <v>354.11</v>
      </c>
      <c r="D338" s="794" t="s">
        <v>1801</v>
      </c>
      <c r="E338" s="795">
        <v>1.288E-12</v>
      </c>
      <c r="F338" s="795">
        <v>3.1499999999999998E-14</v>
      </c>
      <c r="G338" s="796" t="s">
        <v>1801</v>
      </c>
      <c r="H338" s="821" t="s">
        <v>1750</v>
      </c>
      <c r="I338" s="822" t="s">
        <v>43</v>
      </c>
      <c r="J338" s="799">
        <v>3.7960199999999999E-2</v>
      </c>
      <c r="K338" s="799">
        <v>4.4352999999999997E-6</v>
      </c>
      <c r="L338" s="800" t="s">
        <v>2367</v>
      </c>
      <c r="M338" s="801">
        <v>6485</v>
      </c>
      <c r="N338" s="801" t="s">
        <v>414</v>
      </c>
      <c r="O338" s="802">
        <v>111000</v>
      </c>
      <c r="P338" s="803" t="s">
        <v>1801</v>
      </c>
      <c r="Q338" s="804">
        <v>4.0999999999999999E-7</v>
      </c>
      <c r="R338" s="805" t="s">
        <v>414</v>
      </c>
      <c r="S338" s="527">
        <v>9.7500000000000003E-2</v>
      </c>
      <c r="T338" s="528" t="s">
        <v>414</v>
      </c>
    </row>
    <row r="339" spans="1:20" ht="15" customHeight="1">
      <c r="A339" s="791" t="s">
        <v>937</v>
      </c>
      <c r="B339" s="792" t="s">
        <v>43</v>
      </c>
      <c r="C339" s="841" t="s">
        <v>1750</v>
      </c>
      <c r="D339" s="842" t="s">
        <v>43</v>
      </c>
      <c r="E339" s="831" t="s">
        <v>1750</v>
      </c>
      <c r="F339" s="831" t="s">
        <v>1750</v>
      </c>
      <c r="G339" s="832" t="s">
        <v>43</v>
      </c>
      <c r="H339" s="821" t="s">
        <v>1750</v>
      </c>
      <c r="I339" s="822" t="s">
        <v>43</v>
      </c>
      <c r="J339" s="833" t="s">
        <v>1750</v>
      </c>
      <c r="K339" s="833" t="s">
        <v>1750</v>
      </c>
      <c r="L339" s="834" t="s">
        <v>43</v>
      </c>
      <c r="M339" s="835" t="s">
        <v>1750</v>
      </c>
      <c r="N339" s="836" t="s">
        <v>43</v>
      </c>
      <c r="O339" s="837" t="s">
        <v>1750</v>
      </c>
      <c r="P339" s="838" t="s">
        <v>43</v>
      </c>
      <c r="Q339" s="843" t="s">
        <v>1750</v>
      </c>
      <c r="R339" s="844" t="s">
        <v>43</v>
      </c>
      <c r="S339" s="527">
        <v>5.0499999999999998E-3</v>
      </c>
      <c r="T339" s="528" t="s">
        <v>414</v>
      </c>
    </row>
    <row r="340" spans="1:20" ht="15" customHeight="1" thickBot="1">
      <c r="A340" s="806" t="s">
        <v>938</v>
      </c>
      <c r="B340" s="807" t="s">
        <v>939</v>
      </c>
      <c r="C340" s="808">
        <v>168.2</v>
      </c>
      <c r="D340" s="809" t="s">
        <v>1801</v>
      </c>
      <c r="E340" s="810">
        <v>8.7080999999999999E-3</v>
      </c>
      <c r="F340" s="810">
        <v>2.13E-4</v>
      </c>
      <c r="G340" s="811" t="s">
        <v>414</v>
      </c>
      <c r="H340" s="812">
        <v>1.0886</v>
      </c>
      <c r="I340" s="813" t="s">
        <v>1796</v>
      </c>
      <c r="J340" s="814">
        <v>6.5066299999999994E-2</v>
      </c>
      <c r="K340" s="814">
        <v>7.3772999999999997E-6</v>
      </c>
      <c r="L340" s="815" t="s">
        <v>2367</v>
      </c>
      <c r="M340" s="816">
        <v>9161</v>
      </c>
      <c r="N340" s="816" t="s">
        <v>414</v>
      </c>
      <c r="O340" s="817">
        <v>3.1</v>
      </c>
      <c r="P340" s="818" t="s">
        <v>1801</v>
      </c>
      <c r="Q340" s="819">
        <v>9.7500000000000003E-2</v>
      </c>
      <c r="R340" s="820" t="s">
        <v>414</v>
      </c>
      <c r="S340" s="521">
        <v>1.25E-3</v>
      </c>
      <c r="T340" s="522" t="s">
        <v>414</v>
      </c>
    </row>
    <row r="341" spans="1:20" ht="15" customHeight="1">
      <c r="A341" s="791" t="s">
        <v>940</v>
      </c>
      <c r="B341" s="792" t="s">
        <v>941</v>
      </c>
      <c r="C341" s="793">
        <v>68.075999999999993</v>
      </c>
      <c r="D341" s="794" t="s">
        <v>1801</v>
      </c>
      <c r="E341" s="795">
        <v>0.22076860000000001</v>
      </c>
      <c r="F341" s="795">
        <v>5.4000000000000003E-3</v>
      </c>
      <c r="G341" s="796" t="s">
        <v>414</v>
      </c>
      <c r="H341" s="797">
        <v>0.95140000000000002</v>
      </c>
      <c r="I341" s="798" t="s">
        <v>1796</v>
      </c>
      <c r="J341" s="799">
        <v>0.1022757</v>
      </c>
      <c r="K341" s="799">
        <v>1.17E-5</v>
      </c>
      <c r="L341" s="800" t="s">
        <v>2367</v>
      </c>
      <c r="M341" s="801">
        <v>79.989999999999995</v>
      </c>
      <c r="N341" s="801" t="s">
        <v>414</v>
      </c>
      <c r="O341" s="802">
        <v>10000</v>
      </c>
      <c r="P341" s="803" t="s">
        <v>1801</v>
      </c>
      <c r="Q341" s="804">
        <v>5.0499999999999998E-3</v>
      </c>
      <c r="R341" s="805" t="s">
        <v>414</v>
      </c>
      <c r="S341" s="527">
        <v>8.03E-5</v>
      </c>
      <c r="T341" s="528" t="s">
        <v>414</v>
      </c>
    </row>
    <row r="342" spans="1:20" ht="15" customHeight="1">
      <c r="A342" s="791" t="s">
        <v>1819</v>
      </c>
      <c r="B342" s="792" t="s">
        <v>1820</v>
      </c>
      <c r="C342" s="793">
        <v>72.108000000000004</v>
      </c>
      <c r="D342" s="794" t="s">
        <v>1801</v>
      </c>
      <c r="E342" s="795">
        <v>2.8823E-3</v>
      </c>
      <c r="F342" s="795">
        <v>7.0500000000000006E-5</v>
      </c>
      <c r="G342" s="796" t="s">
        <v>1801</v>
      </c>
      <c r="H342" s="797">
        <v>0.88329999999999997</v>
      </c>
      <c r="I342" s="798" t="s">
        <v>1796</v>
      </c>
      <c r="J342" s="799">
        <v>9.9375099999999994E-2</v>
      </c>
      <c r="K342" s="799">
        <v>1.08E-5</v>
      </c>
      <c r="L342" s="800" t="s">
        <v>2367</v>
      </c>
      <c r="M342" s="801">
        <v>10.75</v>
      </c>
      <c r="N342" s="801" t="s">
        <v>414</v>
      </c>
      <c r="O342" s="802">
        <v>1000000</v>
      </c>
      <c r="P342" s="803" t="s">
        <v>1801</v>
      </c>
      <c r="Q342" s="804">
        <v>1.25E-3</v>
      </c>
      <c r="R342" s="805" t="s">
        <v>414</v>
      </c>
      <c r="S342" s="527">
        <v>8.4800000000000001E-4</v>
      </c>
      <c r="T342" s="528" t="s">
        <v>414</v>
      </c>
    </row>
    <row r="343" spans="1:20" ht="15" customHeight="1" thickBot="1">
      <c r="A343" s="806" t="s">
        <v>942</v>
      </c>
      <c r="B343" s="807" t="s">
        <v>943</v>
      </c>
      <c r="C343" s="808">
        <v>225.16</v>
      </c>
      <c r="D343" s="809" t="s">
        <v>1801</v>
      </c>
      <c r="E343" s="810">
        <v>1.3328E-9</v>
      </c>
      <c r="F343" s="810">
        <v>3.2600000000000002E-11</v>
      </c>
      <c r="G343" s="811" t="s">
        <v>1801</v>
      </c>
      <c r="H343" s="839" t="s">
        <v>1750</v>
      </c>
      <c r="I343" s="840" t="s">
        <v>43</v>
      </c>
      <c r="J343" s="814">
        <v>5.13365E-2</v>
      </c>
      <c r="K343" s="814">
        <v>5.9982999999999998E-6</v>
      </c>
      <c r="L343" s="815" t="s">
        <v>2367</v>
      </c>
      <c r="M343" s="816">
        <v>858.4</v>
      </c>
      <c r="N343" s="816" t="s">
        <v>414</v>
      </c>
      <c r="O343" s="817">
        <v>40</v>
      </c>
      <c r="P343" s="818" t="s">
        <v>1801</v>
      </c>
      <c r="Q343" s="819">
        <v>8.03E-5</v>
      </c>
      <c r="R343" s="820" t="s">
        <v>414</v>
      </c>
      <c r="S343" s="521">
        <v>9.3499999999999996E-4</v>
      </c>
      <c r="T343" s="522" t="s">
        <v>414</v>
      </c>
    </row>
    <row r="344" spans="1:20" ht="15" customHeight="1">
      <c r="A344" s="791" t="s">
        <v>944</v>
      </c>
      <c r="B344" s="792" t="s">
        <v>945</v>
      </c>
      <c r="C344" s="793">
        <v>96.085999999999999</v>
      </c>
      <c r="D344" s="794" t="s">
        <v>1801</v>
      </c>
      <c r="E344" s="795">
        <v>1.5410000000000001E-4</v>
      </c>
      <c r="F344" s="795">
        <v>3.7699999999999999E-6</v>
      </c>
      <c r="G344" s="796" t="s">
        <v>414</v>
      </c>
      <c r="H344" s="797">
        <v>1.1594</v>
      </c>
      <c r="I344" s="798" t="s">
        <v>1796</v>
      </c>
      <c r="J344" s="799">
        <v>8.5321300000000003E-2</v>
      </c>
      <c r="K344" s="799">
        <v>1.0699999999999999E-5</v>
      </c>
      <c r="L344" s="800" t="s">
        <v>2367</v>
      </c>
      <c r="M344" s="801">
        <v>6.0830000000000002</v>
      </c>
      <c r="N344" s="801" t="s">
        <v>414</v>
      </c>
      <c r="O344" s="802">
        <v>74100</v>
      </c>
      <c r="P344" s="803" t="s">
        <v>1801</v>
      </c>
      <c r="Q344" s="804">
        <v>8.4800000000000001E-4</v>
      </c>
      <c r="R344" s="805" t="s">
        <v>414</v>
      </c>
      <c r="S344" s="527">
        <v>4.99E-2</v>
      </c>
      <c r="T344" s="528" t="s">
        <v>414</v>
      </c>
    </row>
    <row r="345" spans="1:20" ht="15" customHeight="1">
      <c r="A345" s="791" t="s">
        <v>946</v>
      </c>
      <c r="B345" s="792" t="s">
        <v>947</v>
      </c>
      <c r="C345" s="793">
        <v>253.23</v>
      </c>
      <c r="D345" s="794" t="s">
        <v>414</v>
      </c>
      <c r="E345" s="795">
        <v>5.437E-14</v>
      </c>
      <c r="F345" s="795">
        <v>1.3299999999999999E-15</v>
      </c>
      <c r="G345" s="796" t="s">
        <v>414</v>
      </c>
      <c r="H345" s="821" t="s">
        <v>1750</v>
      </c>
      <c r="I345" s="822" t="s">
        <v>43</v>
      </c>
      <c r="J345" s="799">
        <v>4.7468999999999997E-2</v>
      </c>
      <c r="K345" s="799">
        <v>5.5464E-6</v>
      </c>
      <c r="L345" s="800" t="s">
        <v>2367</v>
      </c>
      <c r="M345" s="801">
        <v>577.6</v>
      </c>
      <c r="N345" s="801" t="s">
        <v>414</v>
      </c>
      <c r="O345" s="802">
        <v>4205.3</v>
      </c>
      <c r="P345" s="803" t="s">
        <v>414</v>
      </c>
      <c r="Q345" s="804">
        <v>9.3499999999999996E-4</v>
      </c>
      <c r="R345" s="805" t="s">
        <v>414</v>
      </c>
      <c r="S345" s="527">
        <v>3.4200000000000002E-8</v>
      </c>
      <c r="T345" s="528" t="s">
        <v>414</v>
      </c>
    </row>
    <row r="346" spans="1:20" ht="15" customHeight="1" thickBot="1">
      <c r="A346" s="806" t="s">
        <v>948</v>
      </c>
      <c r="B346" s="807" t="s">
        <v>949</v>
      </c>
      <c r="C346" s="808">
        <v>251.33</v>
      </c>
      <c r="D346" s="809" t="s">
        <v>1801</v>
      </c>
      <c r="E346" s="810">
        <v>2.8168000000000002E-7</v>
      </c>
      <c r="F346" s="810">
        <v>6.89E-9</v>
      </c>
      <c r="G346" s="811" t="s">
        <v>1801</v>
      </c>
      <c r="H346" s="839" t="s">
        <v>1750</v>
      </c>
      <c r="I346" s="840" t="s">
        <v>43</v>
      </c>
      <c r="J346" s="814">
        <v>4.7707899999999998E-2</v>
      </c>
      <c r="K346" s="814">
        <v>5.5743000000000001E-6</v>
      </c>
      <c r="L346" s="815" t="s">
        <v>2367</v>
      </c>
      <c r="M346" s="816">
        <v>429</v>
      </c>
      <c r="N346" s="816" t="s">
        <v>414</v>
      </c>
      <c r="O346" s="817">
        <v>0.3</v>
      </c>
      <c r="P346" s="818" t="s">
        <v>1801</v>
      </c>
      <c r="Q346" s="819">
        <v>4.99E-2</v>
      </c>
      <c r="R346" s="820" t="s">
        <v>414</v>
      </c>
      <c r="S346" s="521">
        <v>3.2499999999999999E-4</v>
      </c>
      <c r="T346" s="522" t="s">
        <v>414</v>
      </c>
    </row>
    <row r="347" spans="1:20" ht="15" customHeight="1">
      <c r="A347" s="791" t="s">
        <v>950</v>
      </c>
      <c r="B347" s="792" t="s">
        <v>951</v>
      </c>
      <c r="C347" s="793">
        <v>198.16</v>
      </c>
      <c r="D347" s="794" t="s">
        <v>1801</v>
      </c>
      <c r="E347" s="795">
        <v>1.8070000000000001E-12</v>
      </c>
      <c r="F347" s="795">
        <v>4.4199999999999997E-14</v>
      </c>
      <c r="G347" s="796" t="s">
        <v>1801</v>
      </c>
      <c r="H347" s="821" t="s">
        <v>1750</v>
      </c>
      <c r="I347" s="822" t="s">
        <v>43</v>
      </c>
      <c r="J347" s="799">
        <v>5.5899699999999997E-2</v>
      </c>
      <c r="K347" s="799">
        <v>6.5313999999999998E-6</v>
      </c>
      <c r="L347" s="800" t="s">
        <v>2367</v>
      </c>
      <c r="M347" s="801">
        <v>10</v>
      </c>
      <c r="N347" s="801" t="s">
        <v>414</v>
      </c>
      <c r="O347" s="802">
        <v>1370000</v>
      </c>
      <c r="P347" s="803" t="s">
        <v>1801</v>
      </c>
      <c r="Q347" s="804">
        <v>3.4200000000000002E-8</v>
      </c>
      <c r="R347" s="805" t="s">
        <v>414</v>
      </c>
      <c r="S347" s="527">
        <v>5.1599999999999997E-4</v>
      </c>
      <c r="T347" s="528" t="s">
        <v>414</v>
      </c>
    </row>
    <row r="348" spans="1:20" ht="15" customHeight="1">
      <c r="A348" s="791" t="s">
        <v>952</v>
      </c>
      <c r="B348" s="792" t="s">
        <v>953</v>
      </c>
      <c r="C348" s="793">
        <v>100.12</v>
      </c>
      <c r="D348" s="794" t="s">
        <v>1801</v>
      </c>
      <c r="E348" s="795">
        <v>1.3490999999999999E-6</v>
      </c>
      <c r="F348" s="795">
        <v>3.2999999999999998E-8</v>
      </c>
      <c r="G348" s="796" t="s">
        <v>1801</v>
      </c>
      <c r="H348" s="821" t="s">
        <v>1750</v>
      </c>
      <c r="I348" s="822" t="s">
        <v>43</v>
      </c>
      <c r="J348" s="799">
        <v>8.8119699999999995E-2</v>
      </c>
      <c r="K348" s="799">
        <v>1.03E-5</v>
      </c>
      <c r="L348" s="800" t="s">
        <v>2367</v>
      </c>
      <c r="M348" s="801">
        <v>1</v>
      </c>
      <c r="N348" s="801" t="s">
        <v>414</v>
      </c>
      <c r="O348" s="802">
        <v>224000</v>
      </c>
      <c r="P348" s="803" t="s">
        <v>1801</v>
      </c>
      <c r="Q348" s="804">
        <v>3.2499999999999999E-4</v>
      </c>
      <c r="R348" s="805" t="s">
        <v>414</v>
      </c>
      <c r="S348" s="527">
        <v>4.5400000000000003E-8</v>
      </c>
      <c r="T348" s="528" t="s">
        <v>414</v>
      </c>
    </row>
    <row r="349" spans="1:20" ht="15" customHeight="1" thickBot="1">
      <c r="A349" s="806" t="s">
        <v>954</v>
      </c>
      <c r="B349" s="807" t="s">
        <v>955</v>
      </c>
      <c r="C349" s="808">
        <v>72.063999999999993</v>
      </c>
      <c r="D349" s="809" t="s">
        <v>1801</v>
      </c>
      <c r="E349" s="810">
        <v>2.09E-5</v>
      </c>
      <c r="F349" s="810">
        <v>5.1099999999999996E-7</v>
      </c>
      <c r="G349" s="811" t="s">
        <v>1801</v>
      </c>
      <c r="H349" s="812">
        <v>1.1403000000000001</v>
      </c>
      <c r="I349" s="813" t="s">
        <v>1796</v>
      </c>
      <c r="J349" s="814">
        <v>0.10624690000000001</v>
      </c>
      <c r="K349" s="814">
        <v>1.26E-5</v>
      </c>
      <c r="L349" s="815" t="s">
        <v>2367</v>
      </c>
      <c r="M349" s="816">
        <v>1</v>
      </c>
      <c r="N349" s="816" t="s">
        <v>414</v>
      </c>
      <c r="O349" s="817">
        <v>1000000</v>
      </c>
      <c r="P349" s="818" t="s">
        <v>1801</v>
      </c>
      <c r="Q349" s="819">
        <v>5.1599999999999997E-4</v>
      </c>
      <c r="R349" s="820" t="s">
        <v>414</v>
      </c>
      <c r="S349" s="521">
        <v>2.0400000000000001E-2</v>
      </c>
      <c r="T349" s="522" t="s">
        <v>414</v>
      </c>
    </row>
    <row r="350" spans="1:20" ht="15" customHeight="1">
      <c r="A350" s="791" t="s">
        <v>956</v>
      </c>
      <c r="B350" s="792" t="s">
        <v>957</v>
      </c>
      <c r="C350" s="793">
        <v>169.07</v>
      </c>
      <c r="D350" s="794" t="s">
        <v>1801</v>
      </c>
      <c r="E350" s="795">
        <v>8.5850000000000006E-11</v>
      </c>
      <c r="F350" s="795">
        <v>2.0999999999999999E-12</v>
      </c>
      <c r="G350" s="796" t="s">
        <v>414</v>
      </c>
      <c r="H350" s="821" t="s">
        <v>1750</v>
      </c>
      <c r="I350" s="822" t="s">
        <v>43</v>
      </c>
      <c r="J350" s="799">
        <v>6.21407E-2</v>
      </c>
      <c r="K350" s="799">
        <v>7.2606000000000004E-6</v>
      </c>
      <c r="L350" s="800" t="s">
        <v>2367</v>
      </c>
      <c r="M350" s="801">
        <v>2100</v>
      </c>
      <c r="N350" s="801" t="s">
        <v>2137</v>
      </c>
      <c r="O350" s="802">
        <v>10500</v>
      </c>
      <c r="P350" s="803" t="s">
        <v>1801</v>
      </c>
      <c r="Q350" s="804">
        <v>4.5400000000000003E-8</v>
      </c>
      <c r="R350" s="805" t="s">
        <v>414</v>
      </c>
      <c r="S350" s="527">
        <v>6.0300000000000002E-5</v>
      </c>
      <c r="T350" s="528" t="s">
        <v>414</v>
      </c>
    </row>
    <row r="351" spans="1:20" ht="15" customHeight="1">
      <c r="A351" s="791" t="s">
        <v>2138</v>
      </c>
      <c r="B351" s="792" t="s">
        <v>2139</v>
      </c>
      <c r="C351" s="793">
        <v>59.070999999999998</v>
      </c>
      <c r="D351" s="794" t="s">
        <v>1801</v>
      </c>
      <c r="E351" s="795">
        <v>9.5670000000000002E-10</v>
      </c>
      <c r="F351" s="795">
        <v>2.3400000000000001E-11</v>
      </c>
      <c r="G351" s="796" t="s">
        <v>1801</v>
      </c>
      <c r="H351" s="797">
        <v>1.55</v>
      </c>
      <c r="I351" s="798" t="s">
        <v>2135</v>
      </c>
      <c r="J351" s="799">
        <v>0.13781940000000001</v>
      </c>
      <c r="K351" s="799">
        <v>1.7099999999999999E-5</v>
      </c>
      <c r="L351" s="800" t="s">
        <v>2367</v>
      </c>
      <c r="M351" s="801">
        <v>11.95</v>
      </c>
      <c r="N351" s="801" t="s">
        <v>414</v>
      </c>
      <c r="O351" s="802">
        <v>1840</v>
      </c>
      <c r="P351" s="803" t="s">
        <v>1801</v>
      </c>
      <c r="Q351" s="804">
        <v>6.0300000000000002E-5</v>
      </c>
      <c r="R351" s="805" t="s">
        <v>414</v>
      </c>
      <c r="S351" s="527">
        <v>3.8600000000000002E-8</v>
      </c>
      <c r="T351" s="528" t="s">
        <v>414</v>
      </c>
    </row>
    <row r="352" spans="1:20" ht="15" customHeight="1" thickBot="1">
      <c r="A352" s="806" t="s">
        <v>2140</v>
      </c>
      <c r="B352" s="807" t="s">
        <v>2141</v>
      </c>
      <c r="C352" s="808">
        <v>95.531999999999996</v>
      </c>
      <c r="D352" s="809" t="s">
        <v>1801</v>
      </c>
      <c r="E352" s="810">
        <v>8.8720000000000002E-17</v>
      </c>
      <c r="F352" s="810">
        <v>2.17E-18</v>
      </c>
      <c r="G352" s="811" t="s">
        <v>1801</v>
      </c>
      <c r="H352" s="812">
        <v>1.3540000000000001</v>
      </c>
      <c r="I352" s="813" t="s">
        <v>1796</v>
      </c>
      <c r="J352" s="814">
        <v>9.1556100000000001E-2</v>
      </c>
      <c r="K352" s="814">
        <v>1.1800000000000001E-5</v>
      </c>
      <c r="L352" s="815" t="s">
        <v>2367</v>
      </c>
      <c r="M352" s="827" t="s">
        <v>1750</v>
      </c>
      <c r="N352" s="828" t="s">
        <v>43</v>
      </c>
      <c r="O352" s="817">
        <v>1000000</v>
      </c>
      <c r="P352" s="818" t="s">
        <v>1801</v>
      </c>
      <c r="Q352" s="819">
        <v>3.8600000000000002E-8</v>
      </c>
      <c r="R352" s="820" t="s">
        <v>414</v>
      </c>
      <c r="S352" s="521">
        <v>1.75E-3</v>
      </c>
      <c r="T352" s="522" t="s">
        <v>414</v>
      </c>
    </row>
    <row r="353" spans="1:20" ht="15" customHeight="1">
      <c r="A353" s="791" t="s">
        <v>2409</v>
      </c>
      <c r="B353" s="792" t="s">
        <v>2410</v>
      </c>
      <c r="C353" s="793">
        <v>122.11</v>
      </c>
      <c r="D353" s="794" t="s">
        <v>1801</v>
      </c>
      <c r="E353" s="795">
        <v>3.6630000000000003E-17</v>
      </c>
      <c r="F353" s="795">
        <v>8.9600000000000009E-19</v>
      </c>
      <c r="G353" s="796" t="s">
        <v>1801</v>
      </c>
      <c r="H353" s="821" t="s">
        <v>1750</v>
      </c>
      <c r="I353" s="822" t="s">
        <v>43</v>
      </c>
      <c r="J353" s="799">
        <v>7.7194499999999999E-2</v>
      </c>
      <c r="K353" s="799">
        <v>9.0195999999999992E-6</v>
      </c>
      <c r="L353" s="800" t="s">
        <v>2367</v>
      </c>
      <c r="M353" s="801">
        <v>22.79</v>
      </c>
      <c r="N353" s="801" t="s">
        <v>414</v>
      </c>
      <c r="O353" s="802">
        <v>1000000</v>
      </c>
      <c r="P353" s="803" t="s">
        <v>1801</v>
      </c>
      <c r="Q353" s="804">
        <v>2.6499999999999999E-8</v>
      </c>
      <c r="R353" s="805" t="s">
        <v>414</v>
      </c>
      <c r="S353" s="527">
        <v>6.0000000000000001E-3</v>
      </c>
      <c r="T353" s="528" t="s">
        <v>414</v>
      </c>
    </row>
    <row r="354" spans="1:20" ht="15" customHeight="1">
      <c r="A354" s="791" t="s">
        <v>960</v>
      </c>
      <c r="B354" s="792" t="s">
        <v>961</v>
      </c>
      <c r="C354" s="793">
        <v>375.73</v>
      </c>
      <c r="D354" s="794" t="s">
        <v>1801</v>
      </c>
      <c r="E354" s="795">
        <v>1.2999999999999999E-5</v>
      </c>
      <c r="F354" s="795">
        <v>3.1899999999999998E-7</v>
      </c>
      <c r="G354" s="796" t="s">
        <v>414</v>
      </c>
      <c r="H354" s="821" t="s">
        <v>1750</v>
      </c>
      <c r="I354" s="822" t="s">
        <v>43</v>
      </c>
      <c r="J354" s="799">
        <v>3.6489599999999997E-2</v>
      </c>
      <c r="K354" s="799">
        <v>4.2634999999999999E-6</v>
      </c>
      <c r="L354" s="800" t="s">
        <v>2367</v>
      </c>
      <c r="M354" s="801">
        <v>5454</v>
      </c>
      <c r="N354" s="801" t="s">
        <v>414</v>
      </c>
      <c r="O354" s="802">
        <v>9.3000000000000007</v>
      </c>
      <c r="P354" s="803" t="s">
        <v>1801</v>
      </c>
      <c r="Q354" s="804">
        <v>6.0000000000000001E-3</v>
      </c>
      <c r="R354" s="805" t="s">
        <v>414</v>
      </c>
      <c r="S354" s="527">
        <v>1.1400000000000001E-4</v>
      </c>
      <c r="T354" s="528" t="s">
        <v>414</v>
      </c>
    </row>
    <row r="355" spans="1:20" ht="15" customHeight="1" thickBot="1">
      <c r="A355" s="806" t="s">
        <v>64</v>
      </c>
      <c r="B355" s="807" t="s">
        <v>963</v>
      </c>
      <c r="C355" s="808">
        <v>373.32</v>
      </c>
      <c r="D355" s="809" t="s">
        <v>1801</v>
      </c>
      <c r="E355" s="810">
        <v>1.20196E-2</v>
      </c>
      <c r="F355" s="810">
        <v>2.9399999999999999E-4</v>
      </c>
      <c r="G355" s="811" t="s">
        <v>1801</v>
      </c>
      <c r="H355" s="812">
        <v>1.57</v>
      </c>
      <c r="I355" s="813" t="s">
        <v>1796</v>
      </c>
      <c r="J355" s="814">
        <v>2.2344099999999999E-2</v>
      </c>
      <c r="K355" s="814">
        <v>5.6959E-6</v>
      </c>
      <c r="L355" s="815" t="s">
        <v>2367</v>
      </c>
      <c r="M355" s="816">
        <v>41260</v>
      </c>
      <c r="N355" s="816" t="s">
        <v>414</v>
      </c>
      <c r="O355" s="817">
        <v>0.18</v>
      </c>
      <c r="P355" s="818" t="s">
        <v>1801</v>
      </c>
      <c r="Q355" s="819">
        <v>0.14299999999999999</v>
      </c>
      <c r="R355" s="820" t="s">
        <v>414</v>
      </c>
      <c r="S355" s="521">
        <v>0.14299999999999999</v>
      </c>
      <c r="T355" s="522" t="s">
        <v>414</v>
      </c>
    </row>
    <row r="356" spans="1:20" ht="15" customHeight="1">
      <c r="A356" s="791" t="s">
        <v>964</v>
      </c>
      <c r="B356" s="792" t="s">
        <v>965</v>
      </c>
      <c r="C356" s="793">
        <v>389.32</v>
      </c>
      <c r="D356" s="794" t="s">
        <v>1801</v>
      </c>
      <c r="E356" s="795">
        <v>8.585E-4</v>
      </c>
      <c r="F356" s="795">
        <v>2.0999999999999999E-5</v>
      </c>
      <c r="G356" s="796" t="s">
        <v>1801</v>
      </c>
      <c r="H356" s="797">
        <v>1.91</v>
      </c>
      <c r="I356" s="798" t="s">
        <v>2400</v>
      </c>
      <c r="J356" s="799">
        <v>2.40006E-2</v>
      </c>
      <c r="K356" s="799">
        <v>6.2474999999999999E-6</v>
      </c>
      <c r="L356" s="800" t="s">
        <v>2367</v>
      </c>
      <c r="M356" s="801">
        <v>10110</v>
      </c>
      <c r="N356" s="801" t="s">
        <v>414</v>
      </c>
      <c r="O356" s="802">
        <v>0.2</v>
      </c>
      <c r="P356" s="803" t="s">
        <v>1801</v>
      </c>
      <c r="Q356" s="804">
        <v>2.0899999999999998E-2</v>
      </c>
      <c r="R356" s="805" t="s">
        <v>414</v>
      </c>
      <c r="S356" s="527">
        <v>2.0899999999999998E-2</v>
      </c>
      <c r="T356" s="528" t="s">
        <v>414</v>
      </c>
    </row>
    <row r="357" spans="1:20" ht="15" customHeight="1">
      <c r="A357" s="791" t="s">
        <v>2411</v>
      </c>
      <c r="B357" s="792" t="s">
        <v>2412</v>
      </c>
      <c r="C357" s="793">
        <v>100.21</v>
      </c>
      <c r="D357" s="794" t="s">
        <v>1801</v>
      </c>
      <c r="E357" s="795">
        <v>81.766148999999999</v>
      </c>
      <c r="F357" s="795">
        <v>2</v>
      </c>
      <c r="G357" s="796" t="s">
        <v>414</v>
      </c>
      <c r="H357" s="797">
        <v>0.67949999999999999</v>
      </c>
      <c r="I357" s="798" t="s">
        <v>1796</v>
      </c>
      <c r="J357" s="799">
        <v>6.4921199999999998E-2</v>
      </c>
      <c r="K357" s="799">
        <v>7.5865000000000001E-6</v>
      </c>
      <c r="L357" s="800" t="s">
        <v>2367</v>
      </c>
      <c r="M357" s="801">
        <v>239.7</v>
      </c>
      <c r="N357" s="801" t="s">
        <v>414</v>
      </c>
      <c r="O357" s="802">
        <v>3.4</v>
      </c>
      <c r="P357" s="803" t="s">
        <v>1801</v>
      </c>
      <c r="Q357" s="804">
        <v>0.53700000000000003</v>
      </c>
      <c r="R357" s="805" t="s">
        <v>414</v>
      </c>
      <c r="S357" s="527">
        <v>1.3599999999999999E-2</v>
      </c>
      <c r="T357" s="528" t="s">
        <v>414</v>
      </c>
    </row>
    <row r="358" spans="1:20" ht="15" customHeight="1" thickBot="1">
      <c r="A358" s="806" t="s">
        <v>966</v>
      </c>
      <c r="B358" s="807" t="s">
        <v>967</v>
      </c>
      <c r="C358" s="808">
        <v>551.49</v>
      </c>
      <c r="D358" s="809" t="s">
        <v>1801</v>
      </c>
      <c r="E358" s="810">
        <v>1.1488E-3</v>
      </c>
      <c r="F358" s="810">
        <v>2.8099999999999999E-5</v>
      </c>
      <c r="G358" s="811" t="s">
        <v>1801</v>
      </c>
      <c r="H358" s="812">
        <v>2.956</v>
      </c>
      <c r="I358" s="813" t="s">
        <v>2400</v>
      </c>
      <c r="J358" s="814">
        <v>2.4756799999999999E-2</v>
      </c>
      <c r="K358" s="814">
        <v>6.5883000000000001E-6</v>
      </c>
      <c r="L358" s="815" t="s">
        <v>2367</v>
      </c>
      <c r="M358" s="816">
        <v>2807</v>
      </c>
      <c r="N358" s="816" t="s">
        <v>414</v>
      </c>
      <c r="O358" s="817">
        <v>1.6000000000000001E-4</v>
      </c>
      <c r="P358" s="818" t="s">
        <v>1801</v>
      </c>
      <c r="Q358" s="819">
        <v>1.3599999999999999E-2</v>
      </c>
      <c r="R358" s="820" t="s">
        <v>414</v>
      </c>
      <c r="S358" s="529" t="s">
        <v>1750</v>
      </c>
      <c r="T358" s="530" t="s">
        <v>43</v>
      </c>
    </row>
    <row r="359" spans="1:20" ht="15" customHeight="1">
      <c r="A359" s="791" t="s">
        <v>968</v>
      </c>
      <c r="B359" s="792" t="s">
        <v>969</v>
      </c>
      <c r="C359" s="793">
        <v>643.58356000000003</v>
      </c>
      <c r="D359" s="794" t="s">
        <v>2168</v>
      </c>
      <c r="E359" s="831" t="s">
        <v>1750</v>
      </c>
      <c r="F359" s="831" t="s">
        <v>1750</v>
      </c>
      <c r="G359" s="832" t="s">
        <v>43</v>
      </c>
      <c r="H359" s="821" t="s">
        <v>1750</v>
      </c>
      <c r="I359" s="822" t="s">
        <v>43</v>
      </c>
      <c r="J359" s="799">
        <v>2.5488899999999998E-2</v>
      </c>
      <c r="K359" s="799">
        <v>2.9782000000000001E-6</v>
      </c>
      <c r="L359" s="800" t="s">
        <v>2367</v>
      </c>
      <c r="M359" s="835" t="s">
        <v>1750</v>
      </c>
      <c r="N359" s="836" t="s">
        <v>43</v>
      </c>
      <c r="O359" s="802">
        <v>8.9999999999999998E-4</v>
      </c>
      <c r="P359" s="803" t="s">
        <v>2405</v>
      </c>
      <c r="Q359" s="843" t="s">
        <v>1750</v>
      </c>
      <c r="R359" s="844" t="s">
        <v>43</v>
      </c>
      <c r="S359" s="527">
        <v>0.254</v>
      </c>
      <c r="T359" s="528" t="s">
        <v>414</v>
      </c>
    </row>
    <row r="360" spans="1:20" ht="15" customHeight="1">
      <c r="A360" s="791" t="s">
        <v>101</v>
      </c>
      <c r="B360" s="792" t="s">
        <v>970</v>
      </c>
      <c r="C360" s="793">
        <v>284.77999999999997</v>
      </c>
      <c r="D360" s="794" t="s">
        <v>1801</v>
      </c>
      <c r="E360" s="795">
        <v>6.9501199999999999E-2</v>
      </c>
      <c r="F360" s="795">
        <v>1.6999999999999999E-3</v>
      </c>
      <c r="G360" s="796" t="s">
        <v>1801</v>
      </c>
      <c r="H360" s="797">
        <v>2.044</v>
      </c>
      <c r="I360" s="798" t="s">
        <v>1796</v>
      </c>
      <c r="J360" s="799">
        <v>2.89745E-2</v>
      </c>
      <c r="K360" s="799">
        <v>7.8497000000000004E-6</v>
      </c>
      <c r="L360" s="800" t="s">
        <v>2367</v>
      </c>
      <c r="M360" s="801">
        <v>6195</v>
      </c>
      <c r="N360" s="801" t="s">
        <v>414</v>
      </c>
      <c r="O360" s="802">
        <v>6.1999999999999998E-3</v>
      </c>
      <c r="P360" s="803" t="s">
        <v>1801</v>
      </c>
      <c r="Q360" s="804">
        <v>0.254</v>
      </c>
      <c r="R360" s="805" t="s">
        <v>414</v>
      </c>
      <c r="S360" s="527">
        <v>8.1000000000000003E-2</v>
      </c>
      <c r="T360" s="528" t="s">
        <v>414</v>
      </c>
    </row>
    <row r="361" spans="1:20" ht="15" customHeight="1" thickBot="1">
      <c r="A361" s="806" t="s">
        <v>971</v>
      </c>
      <c r="B361" s="807" t="s">
        <v>972</v>
      </c>
      <c r="C361" s="808">
        <v>260.76</v>
      </c>
      <c r="D361" s="809" t="s">
        <v>1801</v>
      </c>
      <c r="E361" s="810">
        <v>0.42109570000000002</v>
      </c>
      <c r="F361" s="810">
        <v>1.03E-2</v>
      </c>
      <c r="G361" s="811" t="s">
        <v>1801</v>
      </c>
      <c r="H361" s="812">
        <v>1.556</v>
      </c>
      <c r="I361" s="813" t="s">
        <v>1796</v>
      </c>
      <c r="J361" s="814">
        <v>2.6744500000000001E-2</v>
      </c>
      <c r="K361" s="814">
        <v>7.0264000000000002E-6</v>
      </c>
      <c r="L361" s="815" t="s">
        <v>2367</v>
      </c>
      <c r="M361" s="816">
        <v>845.2</v>
      </c>
      <c r="N361" s="816" t="s">
        <v>414</v>
      </c>
      <c r="O361" s="817">
        <v>3.2</v>
      </c>
      <c r="P361" s="818" t="s">
        <v>1801</v>
      </c>
      <c r="Q361" s="819">
        <v>8.1000000000000003E-2</v>
      </c>
      <c r="R361" s="820" t="s">
        <v>414</v>
      </c>
      <c r="S361" s="521">
        <v>2.06E-2</v>
      </c>
      <c r="T361" s="522" t="s">
        <v>414</v>
      </c>
    </row>
    <row r="362" spans="1:20" ht="15" customHeight="1">
      <c r="A362" s="791" t="s">
        <v>973</v>
      </c>
      <c r="B362" s="792" t="s">
        <v>974</v>
      </c>
      <c r="C362" s="793">
        <v>290.83</v>
      </c>
      <c r="D362" s="794" t="s">
        <v>1801</v>
      </c>
      <c r="E362" s="795">
        <v>2.7389999999999999E-4</v>
      </c>
      <c r="F362" s="795">
        <v>6.7000000000000002E-6</v>
      </c>
      <c r="G362" s="796" t="s">
        <v>1801</v>
      </c>
      <c r="H362" s="821" t="s">
        <v>1750</v>
      </c>
      <c r="I362" s="822" t="s">
        <v>43</v>
      </c>
      <c r="J362" s="799">
        <v>4.3284000000000003E-2</v>
      </c>
      <c r="K362" s="799">
        <v>5.0574000000000001E-6</v>
      </c>
      <c r="L362" s="800" t="s">
        <v>2367</v>
      </c>
      <c r="M362" s="801">
        <v>2807</v>
      </c>
      <c r="N362" s="801" t="s">
        <v>414</v>
      </c>
      <c r="O362" s="802">
        <v>2</v>
      </c>
      <c r="P362" s="803" t="s">
        <v>1801</v>
      </c>
      <c r="Q362" s="804">
        <v>2.06E-2</v>
      </c>
      <c r="R362" s="805" t="s">
        <v>414</v>
      </c>
      <c r="S362" s="527">
        <v>2.06E-2</v>
      </c>
      <c r="T362" s="528" t="s">
        <v>414</v>
      </c>
    </row>
    <row r="363" spans="1:20" ht="15" customHeight="1">
      <c r="A363" s="791" t="s">
        <v>975</v>
      </c>
      <c r="B363" s="792" t="s">
        <v>976</v>
      </c>
      <c r="C363" s="793">
        <v>290.83</v>
      </c>
      <c r="D363" s="794" t="s">
        <v>1801</v>
      </c>
      <c r="E363" s="795">
        <v>1.8E-5</v>
      </c>
      <c r="F363" s="795">
        <v>4.4000000000000002E-7</v>
      </c>
      <c r="G363" s="796" t="s">
        <v>1801</v>
      </c>
      <c r="H363" s="797">
        <v>1.89</v>
      </c>
      <c r="I363" s="798" t="s">
        <v>1796</v>
      </c>
      <c r="J363" s="799">
        <v>2.7667199999999999E-2</v>
      </c>
      <c r="K363" s="799">
        <v>7.3954999999999998E-6</v>
      </c>
      <c r="L363" s="800" t="s">
        <v>2367</v>
      </c>
      <c r="M363" s="801">
        <v>2807</v>
      </c>
      <c r="N363" s="801" t="s">
        <v>414</v>
      </c>
      <c r="O363" s="802">
        <v>0.24</v>
      </c>
      <c r="P363" s="803" t="s">
        <v>1801</v>
      </c>
      <c r="Q363" s="804">
        <v>2.06E-2</v>
      </c>
      <c r="R363" s="805" t="s">
        <v>414</v>
      </c>
      <c r="S363" s="527">
        <v>2.06E-2</v>
      </c>
      <c r="T363" s="528" t="s">
        <v>414</v>
      </c>
    </row>
    <row r="364" spans="1:20" ht="15" customHeight="1" thickBot="1">
      <c r="A364" s="806" t="s">
        <v>977</v>
      </c>
      <c r="B364" s="807" t="s">
        <v>978</v>
      </c>
      <c r="C364" s="808">
        <v>290.83</v>
      </c>
      <c r="D364" s="809" t="s">
        <v>1801</v>
      </c>
      <c r="E364" s="810">
        <v>2.1010000000000001E-4</v>
      </c>
      <c r="F364" s="810">
        <v>5.1399999999999999E-6</v>
      </c>
      <c r="G364" s="811" t="s">
        <v>1801</v>
      </c>
      <c r="H364" s="839" t="s">
        <v>1750</v>
      </c>
      <c r="I364" s="840" t="s">
        <v>43</v>
      </c>
      <c r="J364" s="814">
        <v>4.3284000000000003E-2</v>
      </c>
      <c r="K364" s="814">
        <v>5.0574000000000001E-6</v>
      </c>
      <c r="L364" s="815" t="s">
        <v>2367</v>
      </c>
      <c r="M364" s="816">
        <v>2807</v>
      </c>
      <c r="N364" s="816" t="s">
        <v>414</v>
      </c>
      <c r="O364" s="817">
        <v>7.3</v>
      </c>
      <c r="P364" s="818" t="s">
        <v>1801</v>
      </c>
      <c r="Q364" s="819">
        <v>2.06E-2</v>
      </c>
      <c r="R364" s="820" t="s">
        <v>414</v>
      </c>
      <c r="S364" s="521">
        <v>2.06E-2</v>
      </c>
      <c r="T364" s="522" t="s">
        <v>414</v>
      </c>
    </row>
    <row r="365" spans="1:20" ht="15" customHeight="1">
      <c r="A365" s="791" t="s">
        <v>979</v>
      </c>
      <c r="B365" s="792" t="s">
        <v>980</v>
      </c>
      <c r="C365" s="793">
        <v>290.83</v>
      </c>
      <c r="D365" s="794" t="s">
        <v>1801</v>
      </c>
      <c r="E365" s="795">
        <v>2.1010000000000001E-4</v>
      </c>
      <c r="F365" s="795">
        <v>5.1399999999999999E-6</v>
      </c>
      <c r="G365" s="796" t="s">
        <v>414</v>
      </c>
      <c r="H365" s="821" t="s">
        <v>1750</v>
      </c>
      <c r="I365" s="822" t="s">
        <v>43</v>
      </c>
      <c r="J365" s="799">
        <v>4.3284000000000003E-2</v>
      </c>
      <c r="K365" s="799">
        <v>5.0574000000000001E-6</v>
      </c>
      <c r="L365" s="800" t="s">
        <v>2367</v>
      </c>
      <c r="M365" s="801">
        <v>2807</v>
      </c>
      <c r="N365" s="801" t="s">
        <v>414</v>
      </c>
      <c r="O365" s="802">
        <v>8</v>
      </c>
      <c r="P365" s="803" t="s">
        <v>1801</v>
      </c>
      <c r="Q365" s="804">
        <v>2.06E-2</v>
      </c>
      <c r="R365" s="805" t="s">
        <v>414</v>
      </c>
      <c r="S365" s="527">
        <v>0.10299999999999999</v>
      </c>
      <c r="T365" s="528" t="s">
        <v>414</v>
      </c>
    </row>
    <row r="366" spans="1:20" ht="15" customHeight="1">
      <c r="A366" s="791" t="s">
        <v>65</v>
      </c>
      <c r="B366" s="792" t="s">
        <v>981</v>
      </c>
      <c r="C366" s="793">
        <v>272.77</v>
      </c>
      <c r="D366" s="794" t="s">
        <v>1801</v>
      </c>
      <c r="E366" s="795">
        <v>1.1038429999999999</v>
      </c>
      <c r="F366" s="795">
        <v>2.7E-2</v>
      </c>
      <c r="G366" s="796" t="s">
        <v>1801</v>
      </c>
      <c r="H366" s="797">
        <v>1.7019</v>
      </c>
      <c r="I366" s="798" t="s">
        <v>1796</v>
      </c>
      <c r="J366" s="799">
        <v>2.7238200000000001E-2</v>
      </c>
      <c r="K366" s="799">
        <v>7.2169999999999997E-6</v>
      </c>
      <c r="L366" s="800" t="s">
        <v>2367</v>
      </c>
      <c r="M366" s="801">
        <v>1404</v>
      </c>
      <c r="N366" s="801" t="s">
        <v>414</v>
      </c>
      <c r="O366" s="802">
        <v>1.8</v>
      </c>
      <c r="P366" s="803" t="s">
        <v>1801</v>
      </c>
      <c r="Q366" s="804">
        <v>0.10299999999999999</v>
      </c>
      <c r="R366" s="805" t="s">
        <v>414</v>
      </c>
      <c r="S366" s="527">
        <v>4.1500000000000002E-2</v>
      </c>
      <c r="T366" s="528" t="s">
        <v>414</v>
      </c>
    </row>
    <row r="367" spans="1:20" ht="15" customHeight="1" thickBot="1">
      <c r="A367" s="806" t="s">
        <v>48</v>
      </c>
      <c r="B367" s="807" t="s">
        <v>982</v>
      </c>
      <c r="C367" s="808">
        <v>236.74</v>
      </c>
      <c r="D367" s="809" t="s">
        <v>1801</v>
      </c>
      <c r="E367" s="810">
        <v>0.15903519999999999</v>
      </c>
      <c r="F367" s="810">
        <v>3.8899999999999998E-3</v>
      </c>
      <c r="G367" s="811" t="s">
        <v>1801</v>
      </c>
      <c r="H367" s="812">
        <v>2.0910000000000002</v>
      </c>
      <c r="I367" s="813" t="s">
        <v>1796</v>
      </c>
      <c r="J367" s="814">
        <v>3.2093799999999999E-2</v>
      </c>
      <c r="K367" s="814">
        <v>8.8904000000000005E-6</v>
      </c>
      <c r="L367" s="815" t="s">
        <v>2367</v>
      </c>
      <c r="M367" s="816">
        <v>196.8</v>
      </c>
      <c r="N367" s="816" t="s">
        <v>414</v>
      </c>
      <c r="O367" s="817">
        <v>50</v>
      </c>
      <c r="P367" s="818" t="s">
        <v>1801</v>
      </c>
      <c r="Q367" s="819">
        <v>4.1500000000000002E-2</v>
      </c>
      <c r="R367" s="820" t="s">
        <v>414</v>
      </c>
      <c r="S367" s="521">
        <v>0.83599999999999997</v>
      </c>
      <c r="T367" s="522" t="s">
        <v>414</v>
      </c>
    </row>
    <row r="368" spans="1:20" ht="15" customHeight="1">
      <c r="A368" s="791" t="s">
        <v>983</v>
      </c>
      <c r="B368" s="792" t="s">
        <v>984</v>
      </c>
      <c r="C368" s="793">
        <v>406.91</v>
      </c>
      <c r="D368" s="794" t="s">
        <v>1801</v>
      </c>
      <c r="E368" s="795">
        <v>2.2400000000000001E-11</v>
      </c>
      <c r="F368" s="795">
        <v>5.4799999999999999E-13</v>
      </c>
      <c r="G368" s="796" t="s">
        <v>1801</v>
      </c>
      <c r="H368" s="821" t="s">
        <v>1750</v>
      </c>
      <c r="I368" s="822" t="s">
        <v>43</v>
      </c>
      <c r="J368" s="799">
        <v>3.4601E-2</v>
      </c>
      <c r="K368" s="799">
        <v>4.0427999999999996E-6</v>
      </c>
      <c r="L368" s="800" t="s">
        <v>2367</v>
      </c>
      <c r="M368" s="801">
        <v>668600</v>
      </c>
      <c r="N368" s="801" t="s">
        <v>414</v>
      </c>
      <c r="O368" s="802">
        <v>140</v>
      </c>
      <c r="P368" s="803" t="s">
        <v>1801</v>
      </c>
      <c r="Q368" s="804">
        <v>0.83599999999999997</v>
      </c>
      <c r="R368" s="805" t="s">
        <v>414</v>
      </c>
      <c r="S368" s="527">
        <v>3.3599999999999998E-4</v>
      </c>
      <c r="T368" s="528" t="s">
        <v>414</v>
      </c>
    </row>
    <row r="369" spans="1:20" ht="15" customHeight="1">
      <c r="A369" s="791" t="s">
        <v>985</v>
      </c>
      <c r="B369" s="792" t="s">
        <v>986</v>
      </c>
      <c r="C369" s="793">
        <v>222.12</v>
      </c>
      <c r="D369" s="794" t="s">
        <v>1801</v>
      </c>
      <c r="E369" s="795">
        <v>8.2169999999999996E-10</v>
      </c>
      <c r="F369" s="795">
        <v>2.01E-11</v>
      </c>
      <c r="G369" s="796" t="s">
        <v>414</v>
      </c>
      <c r="H369" s="797">
        <v>1.82</v>
      </c>
      <c r="I369" s="798" t="s">
        <v>1796</v>
      </c>
      <c r="J369" s="799">
        <v>3.1154100000000001E-2</v>
      </c>
      <c r="K369" s="799">
        <v>8.4988999999999992E-6</v>
      </c>
      <c r="L369" s="800" t="s">
        <v>2367</v>
      </c>
      <c r="M369" s="801">
        <v>89.07</v>
      </c>
      <c r="N369" s="801" t="s">
        <v>414</v>
      </c>
      <c r="O369" s="802">
        <v>59.7</v>
      </c>
      <c r="P369" s="803" t="s">
        <v>1801</v>
      </c>
      <c r="Q369" s="804">
        <v>3.3599999999999998E-4</v>
      </c>
      <c r="R369" s="805" t="s">
        <v>414</v>
      </c>
      <c r="S369" s="527">
        <v>2.3699999999999999E-2</v>
      </c>
      <c r="T369" s="528" t="s">
        <v>414</v>
      </c>
    </row>
    <row r="370" spans="1:20" ht="15" customHeight="1" thickBot="1">
      <c r="A370" s="806" t="s">
        <v>987</v>
      </c>
      <c r="B370" s="807" t="s">
        <v>988</v>
      </c>
      <c r="C370" s="808">
        <v>168.2</v>
      </c>
      <c r="D370" s="809" t="s">
        <v>1801</v>
      </c>
      <c r="E370" s="810">
        <v>1.9624E-3</v>
      </c>
      <c r="F370" s="810">
        <v>4.8000000000000001E-5</v>
      </c>
      <c r="G370" s="811" t="s">
        <v>1801</v>
      </c>
      <c r="H370" s="812">
        <v>1.0528</v>
      </c>
      <c r="I370" s="813" t="s">
        <v>1796</v>
      </c>
      <c r="J370" s="814">
        <v>4.0425500000000003E-2</v>
      </c>
      <c r="K370" s="814">
        <v>7.2308000000000003E-6</v>
      </c>
      <c r="L370" s="815" t="s">
        <v>2367</v>
      </c>
      <c r="M370" s="816">
        <v>4818</v>
      </c>
      <c r="N370" s="816" t="s">
        <v>414</v>
      </c>
      <c r="O370" s="817">
        <v>117</v>
      </c>
      <c r="P370" s="818" t="s">
        <v>1801</v>
      </c>
      <c r="Q370" s="819">
        <v>2.3699999999999999E-2</v>
      </c>
      <c r="R370" s="820" t="s">
        <v>414</v>
      </c>
      <c r="S370" s="521">
        <v>2.3699999999999999E-4</v>
      </c>
      <c r="T370" s="522" t="s">
        <v>414</v>
      </c>
    </row>
    <row r="371" spans="1:20" ht="15" customHeight="1">
      <c r="A371" s="791" t="s">
        <v>1821</v>
      </c>
      <c r="B371" s="792" t="s">
        <v>1822</v>
      </c>
      <c r="C371" s="793">
        <v>179.2</v>
      </c>
      <c r="D371" s="794" t="s">
        <v>1801</v>
      </c>
      <c r="E371" s="795">
        <v>8.1765999999999998E-7</v>
      </c>
      <c r="F371" s="795">
        <v>2E-8</v>
      </c>
      <c r="G371" s="796" t="s">
        <v>1801</v>
      </c>
      <c r="H371" s="797">
        <v>1.03</v>
      </c>
      <c r="I371" s="798" t="s">
        <v>1796</v>
      </c>
      <c r="J371" s="799">
        <v>3.4836800000000001E-2</v>
      </c>
      <c r="K371" s="799">
        <v>6.8701999999999999E-6</v>
      </c>
      <c r="L371" s="800" t="s">
        <v>2367</v>
      </c>
      <c r="M371" s="801">
        <v>10</v>
      </c>
      <c r="N371" s="801" t="s">
        <v>414</v>
      </c>
      <c r="O371" s="802">
        <v>1000000</v>
      </c>
      <c r="P371" s="803" t="s">
        <v>1801</v>
      </c>
      <c r="Q371" s="804">
        <v>2.3699999999999999E-4</v>
      </c>
      <c r="R371" s="805" t="s">
        <v>414</v>
      </c>
      <c r="S371" s="527">
        <v>0.20100000000000001</v>
      </c>
      <c r="T371" s="528" t="s">
        <v>414</v>
      </c>
    </row>
    <row r="372" spans="1:20" ht="15" customHeight="1">
      <c r="A372" s="791" t="s">
        <v>989</v>
      </c>
      <c r="B372" s="792" t="s">
        <v>990</v>
      </c>
      <c r="C372" s="793">
        <v>86.177999999999997</v>
      </c>
      <c r="D372" s="794" t="s">
        <v>1801</v>
      </c>
      <c r="E372" s="795">
        <v>73.589534</v>
      </c>
      <c r="F372" s="795">
        <v>1.8</v>
      </c>
      <c r="G372" s="796" t="s">
        <v>414</v>
      </c>
      <c r="H372" s="797">
        <v>0.66059999999999997</v>
      </c>
      <c r="I372" s="798" t="s">
        <v>1796</v>
      </c>
      <c r="J372" s="799">
        <v>7.3107800000000001E-2</v>
      </c>
      <c r="K372" s="799">
        <v>8.1658000000000007E-6</v>
      </c>
      <c r="L372" s="800" t="s">
        <v>2367</v>
      </c>
      <c r="M372" s="801">
        <v>131.5</v>
      </c>
      <c r="N372" s="801" t="s">
        <v>414</v>
      </c>
      <c r="O372" s="802">
        <v>9.5</v>
      </c>
      <c r="P372" s="803" t="s">
        <v>1801</v>
      </c>
      <c r="Q372" s="804">
        <v>0.20100000000000001</v>
      </c>
      <c r="R372" s="805" t="s">
        <v>414</v>
      </c>
      <c r="S372" s="527">
        <v>2.6800000000000001E-4</v>
      </c>
      <c r="T372" s="528" t="s">
        <v>414</v>
      </c>
    </row>
    <row r="373" spans="1:20" ht="15" customHeight="1" thickBot="1">
      <c r="A373" s="806" t="s">
        <v>991</v>
      </c>
      <c r="B373" s="807" t="s">
        <v>992</v>
      </c>
      <c r="C373" s="808">
        <v>146.13999999999999</v>
      </c>
      <c r="D373" s="809" t="s">
        <v>1801</v>
      </c>
      <c r="E373" s="810">
        <v>1.9260000000000001E-10</v>
      </c>
      <c r="F373" s="810">
        <v>4.7099999999999999E-12</v>
      </c>
      <c r="G373" s="811" t="s">
        <v>414</v>
      </c>
      <c r="H373" s="812">
        <v>1.36</v>
      </c>
      <c r="I373" s="813" t="s">
        <v>1796</v>
      </c>
      <c r="J373" s="814">
        <v>5.7681900000000001E-2</v>
      </c>
      <c r="K373" s="814">
        <v>9.1734999999999995E-6</v>
      </c>
      <c r="L373" s="815" t="s">
        <v>2367</v>
      </c>
      <c r="M373" s="816">
        <v>24.34</v>
      </c>
      <c r="N373" s="816" t="s">
        <v>414</v>
      </c>
      <c r="O373" s="817">
        <v>30800</v>
      </c>
      <c r="P373" s="818" t="s">
        <v>1801</v>
      </c>
      <c r="Q373" s="819">
        <v>2.6800000000000001E-4</v>
      </c>
      <c r="R373" s="820" t="s">
        <v>414</v>
      </c>
      <c r="S373" s="521">
        <v>3.5500000000000002E-3</v>
      </c>
      <c r="T373" s="522" t="s">
        <v>414</v>
      </c>
    </row>
    <row r="374" spans="1:20" ht="15" customHeight="1">
      <c r="A374" s="791" t="s">
        <v>993</v>
      </c>
      <c r="B374" s="792" t="s">
        <v>994</v>
      </c>
      <c r="C374" s="793">
        <v>100.16</v>
      </c>
      <c r="D374" s="794" t="s">
        <v>1801</v>
      </c>
      <c r="E374" s="795">
        <v>3.8103E-3</v>
      </c>
      <c r="F374" s="795">
        <v>9.3200000000000002E-5</v>
      </c>
      <c r="G374" s="796" t="s">
        <v>414</v>
      </c>
      <c r="H374" s="797">
        <v>0.81130000000000002</v>
      </c>
      <c r="I374" s="798" t="s">
        <v>1796</v>
      </c>
      <c r="J374" s="799">
        <v>7.0356399999999999E-2</v>
      </c>
      <c r="K374" s="799">
        <v>8.4403999999999997E-6</v>
      </c>
      <c r="L374" s="800" t="s">
        <v>2367</v>
      </c>
      <c r="M374" s="801">
        <v>14.98</v>
      </c>
      <c r="N374" s="801" t="s">
        <v>414</v>
      </c>
      <c r="O374" s="802">
        <v>17200</v>
      </c>
      <c r="P374" s="803" t="s">
        <v>1801</v>
      </c>
      <c r="Q374" s="804">
        <v>3.5500000000000002E-3</v>
      </c>
      <c r="R374" s="805" t="s">
        <v>414</v>
      </c>
      <c r="S374" s="527">
        <v>1.0200000000000001E-3</v>
      </c>
      <c r="T374" s="528" t="s">
        <v>414</v>
      </c>
    </row>
    <row r="375" spans="1:20" ht="15" customHeight="1">
      <c r="A375" s="791" t="s">
        <v>995</v>
      </c>
      <c r="B375" s="792" t="s">
        <v>996</v>
      </c>
      <c r="C375" s="793">
        <v>252.32</v>
      </c>
      <c r="D375" s="794" t="s">
        <v>1801</v>
      </c>
      <c r="E375" s="795">
        <v>9.2399999999999999E-11</v>
      </c>
      <c r="F375" s="795">
        <v>2.2600000000000001E-12</v>
      </c>
      <c r="G375" s="796" t="s">
        <v>414</v>
      </c>
      <c r="H375" s="797">
        <v>1.25</v>
      </c>
      <c r="I375" s="798" t="s">
        <v>1796</v>
      </c>
      <c r="J375" s="799">
        <v>2.4566299999999999E-2</v>
      </c>
      <c r="K375" s="799">
        <v>6.2841999999999999E-6</v>
      </c>
      <c r="L375" s="800" t="s">
        <v>2367</v>
      </c>
      <c r="M375" s="801">
        <v>129.4</v>
      </c>
      <c r="N375" s="801" t="s">
        <v>414</v>
      </c>
      <c r="O375" s="802">
        <v>33000</v>
      </c>
      <c r="P375" s="803" t="s">
        <v>1801</v>
      </c>
      <c r="Q375" s="804">
        <v>1.0200000000000001E-3</v>
      </c>
      <c r="R375" s="805" t="s">
        <v>414</v>
      </c>
      <c r="S375" s="527">
        <v>4.3600000000000003E-5</v>
      </c>
      <c r="T375" s="528" t="s">
        <v>1797</v>
      </c>
    </row>
    <row r="376" spans="1:20" ht="15" customHeight="1" thickBot="1">
      <c r="A376" s="806" t="s">
        <v>2225</v>
      </c>
      <c r="B376" s="807" t="s">
        <v>1451</v>
      </c>
      <c r="C376" s="808">
        <v>352.89</v>
      </c>
      <c r="D376" s="809" t="s">
        <v>1801</v>
      </c>
      <c r="E376" s="810">
        <v>9.6892999999999993E-7</v>
      </c>
      <c r="F376" s="810">
        <v>2.37E-8</v>
      </c>
      <c r="G376" s="811" t="s">
        <v>414</v>
      </c>
      <c r="H376" s="839" t="s">
        <v>1750</v>
      </c>
      <c r="I376" s="840" t="s">
        <v>43</v>
      </c>
      <c r="J376" s="814">
        <v>3.8047600000000001E-2</v>
      </c>
      <c r="K376" s="814">
        <v>4.4456000000000003E-6</v>
      </c>
      <c r="L376" s="815" t="s">
        <v>2367</v>
      </c>
      <c r="M376" s="816">
        <v>2120</v>
      </c>
      <c r="N376" s="816" t="s">
        <v>414</v>
      </c>
      <c r="O376" s="817">
        <v>0.5</v>
      </c>
      <c r="P376" s="818" t="s">
        <v>1801</v>
      </c>
      <c r="Q376" s="819">
        <v>8.2799999999999999E-2</v>
      </c>
      <c r="R376" s="820" t="s">
        <v>414</v>
      </c>
      <c r="S376" s="521">
        <v>1E-3</v>
      </c>
      <c r="T376" s="522" t="s">
        <v>1797</v>
      </c>
    </row>
    <row r="377" spans="1:20" ht="15" customHeight="1">
      <c r="A377" s="791" t="s">
        <v>2226</v>
      </c>
      <c r="B377" s="792" t="s">
        <v>392</v>
      </c>
      <c r="C377" s="793">
        <v>494.49</v>
      </c>
      <c r="D377" s="794" t="s">
        <v>1801</v>
      </c>
      <c r="E377" s="795">
        <v>8.9900000000000003E-5</v>
      </c>
      <c r="F377" s="795">
        <v>2.2000000000000001E-6</v>
      </c>
      <c r="G377" s="796" t="s">
        <v>414</v>
      </c>
      <c r="H377" s="821" t="s">
        <v>1750</v>
      </c>
      <c r="I377" s="822" t="s">
        <v>43</v>
      </c>
      <c r="J377" s="799">
        <v>3.03843E-2</v>
      </c>
      <c r="K377" s="799">
        <v>3.5501999999999999E-6</v>
      </c>
      <c r="L377" s="800" t="s">
        <v>2367</v>
      </c>
      <c r="M377" s="801">
        <v>179700000</v>
      </c>
      <c r="N377" s="801" t="s">
        <v>414</v>
      </c>
      <c r="O377" s="802">
        <v>6.0000000000000001E-3</v>
      </c>
      <c r="P377" s="803" t="s">
        <v>1801</v>
      </c>
      <c r="Q377" s="804">
        <v>9.0199999999999997E-5</v>
      </c>
      <c r="R377" s="805" t="s">
        <v>414</v>
      </c>
      <c r="S377" s="527">
        <v>1E-3</v>
      </c>
      <c r="T377" s="528" t="s">
        <v>1797</v>
      </c>
    </row>
    <row r="378" spans="1:20" ht="15" customHeight="1">
      <c r="A378" s="791" t="s">
        <v>997</v>
      </c>
      <c r="B378" s="792" t="s">
        <v>998</v>
      </c>
      <c r="C378" s="793">
        <v>32.045000000000002</v>
      </c>
      <c r="D378" s="794" t="s">
        <v>1801</v>
      </c>
      <c r="E378" s="795">
        <v>2.5000000000000001E-5</v>
      </c>
      <c r="F378" s="795">
        <v>6.0999999999999998E-7</v>
      </c>
      <c r="G378" s="796" t="s">
        <v>2168</v>
      </c>
      <c r="H378" s="797">
        <v>1.0036</v>
      </c>
      <c r="I378" s="798" t="s">
        <v>1796</v>
      </c>
      <c r="J378" s="799">
        <v>0.1733034</v>
      </c>
      <c r="K378" s="799">
        <v>1.9000000000000001E-5</v>
      </c>
      <c r="L378" s="800" t="s">
        <v>2367</v>
      </c>
      <c r="M378" s="835" t="s">
        <v>1750</v>
      </c>
      <c r="N378" s="836" t="s">
        <v>43</v>
      </c>
      <c r="O378" s="802">
        <v>1000000</v>
      </c>
      <c r="P378" s="803" t="s">
        <v>1801</v>
      </c>
      <c r="Q378" s="804">
        <v>4.3600000000000003E-5</v>
      </c>
      <c r="R378" s="805" t="s">
        <v>1797</v>
      </c>
      <c r="S378" s="527">
        <v>1E-3</v>
      </c>
      <c r="T378" s="528" t="s">
        <v>1797</v>
      </c>
    </row>
    <row r="379" spans="1:20" ht="15" customHeight="1" thickBot="1">
      <c r="A379" s="806" t="s">
        <v>999</v>
      </c>
      <c r="B379" s="807" t="s">
        <v>1000</v>
      </c>
      <c r="C379" s="808">
        <v>128.1</v>
      </c>
      <c r="D379" s="809" t="s">
        <v>414</v>
      </c>
      <c r="E379" s="823" t="s">
        <v>1750</v>
      </c>
      <c r="F379" s="823" t="s">
        <v>1750</v>
      </c>
      <c r="G379" s="824" t="s">
        <v>43</v>
      </c>
      <c r="H379" s="812">
        <v>1.3779999999999999</v>
      </c>
      <c r="I379" s="813" t="s">
        <v>1796</v>
      </c>
      <c r="J379" s="825" t="s">
        <v>1750</v>
      </c>
      <c r="K379" s="825" t="s">
        <v>1750</v>
      </c>
      <c r="L379" s="826" t="s">
        <v>43</v>
      </c>
      <c r="M379" s="827" t="s">
        <v>1750</v>
      </c>
      <c r="N379" s="828" t="s">
        <v>43</v>
      </c>
      <c r="O379" s="817">
        <v>30550</v>
      </c>
      <c r="P379" s="818" t="s">
        <v>1802</v>
      </c>
      <c r="Q379" s="819">
        <v>1E-3</v>
      </c>
      <c r="R379" s="820" t="s">
        <v>1797</v>
      </c>
      <c r="S379" s="521">
        <v>1E-3</v>
      </c>
      <c r="T379" s="522" t="s">
        <v>1797</v>
      </c>
    </row>
    <row r="380" spans="1:20" ht="15" customHeight="1">
      <c r="A380" s="791" t="s">
        <v>1001</v>
      </c>
      <c r="B380" s="792" t="s">
        <v>1002</v>
      </c>
      <c r="C380" s="793">
        <v>35.450000000000003</v>
      </c>
      <c r="D380" s="794" t="s">
        <v>414</v>
      </c>
      <c r="E380" s="795">
        <v>83401472</v>
      </c>
      <c r="F380" s="795">
        <v>2040000</v>
      </c>
      <c r="G380" s="796" t="s">
        <v>2167</v>
      </c>
      <c r="H380" s="797">
        <v>1.49</v>
      </c>
      <c r="I380" s="798" t="s">
        <v>1796</v>
      </c>
      <c r="J380" s="799">
        <v>0.1879912</v>
      </c>
      <c r="K380" s="799">
        <v>2.27E-5</v>
      </c>
      <c r="L380" s="800" t="s">
        <v>2367</v>
      </c>
      <c r="M380" s="835" t="s">
        <v>1750</v>
      </c>
      <c r="N380" s="836" t="s">
        <v>43</v>
      </c>
      <c r="O380" s="802">
        <v>673000</v>
      </c>
      <c r="P380" s="803" t="s">
        <v>2167</v>
      </c>
      <c r="Q380" s="804">
        <v>1E-3</v>
      </c>
      <c r="R380" s="805" t="s">
        <v>1797</v>
      </c>
      <c r="S380" s="527">
        <v>9.3099999999999997E-4</v>
      </c>
      <c r="T380" s="528" t="s">
        <v>414</v>
      </c>
    </row>
    <row r="381" spans="1:20" ht="15" customHeight="1">
      <c r="A381" s="791" t="s">
        <v>1003</v>
      </c>
      <c r="B381" s="792" t="s">
        <v>1004</v>
      </c>
      <c r="C381" s="793">
        <v>20.006</v>
      </c>
      <c r="D381" s="794" t="s">
        <v>1801</v>
      </c>
      <c r="E381" s="795">
        <v>4.2518E-3</v>
      </c>
      <c r="F381" s="795">
        <v>1.0399999999999999E-4</v>
      </c>
      <c r="G381" s="796" t="s">
        <v>1801</v>
      </c>
      <c r="H381" s="797">
        <v>0.81799999999999995</v>
      </c>
      <c r="I381" s="798" t="s">
        <v>1796</v>
      </c>
      <c r="J381" s="799">
        <v>0.21909960000000001</v>
      </c>
      <c r="K381" s="799">
        <v>2.23E-5</v>
      </c>
      <c r="L381" s="800" t="s">
        <v>2367</v>
      </c>
      <c r="M381" s="835" t="s">
        <v>1750</v>
      </c>
      <c r="N381" s="836" t="s">
        <v>43</v>
      </c>
      <c r="O381" s="802">
        <v>1000000</v>
      </c>
      <c r="P381" s="803" t="s">
        <v>1801</v>
      </c>
      <c r="Q381" s="804">
        <v>1E-3</v>
      </c>
      <c r="R381" s="805" t="s">
        <v>1797</v>
      </c>
      <c r="S381" s="527">
        <v>1.1599999999999999E-2</v>
      </c>
      <c r="T381" s="528" t="s">
        <v>414</v>
      </c>
    </row>
    <row r="382" spans="1:20" ht="15" customHeight="1" thickBot="1">
      <c r="A382" s="806" t="s">
        <v>1005</v>
      </c>
      <c r="B382" s="807" t="s">
        <v>1006</v>
      </c>
      <c r="C382" s="808">
        <v>34.08</v>
      </c>
      <c r="D382" s="809" t="s">
        <v>1801</v>
      </c>
      <c r="E382" s="810">
        <v>0.35</v>
      </c>
      <c r="F382" s="810">
        <v>8.5599999999999999E-3</v>
      </c>
      <c r="G382" s="811" t="s">
        <v>2169</v>
      </c>
      <c r="H382" s="812">
        <v>1.393</v>
      </c>
      <c r="I382" s="813" t="s">
        <v>1796</v>
      </c>
      <c r="J382" s="814">
        <v>0.18806690000000001</v>
      </c>
      <c r="K382" s="814">
        <v>2.23E-5</v>
      </c>
      <c r="L382" s="815" t="s">
        <v>2367</v>
      </c>
      <c r="M382" s="827" t="s">
        <v>1750</v>
      </c>
      <c r="N382" s="828" t="s">
        <v>43</v>
      </c>
      <c r="O382" s="817">
        <v>3740</v>
      </c>
      <c r="P382" s="818" t="s">
        <v>1801</v>
      </c>
      <c r="Q382" s="819">
        <v>1E-3</v>
      </c>
      <c r="R382" s="820" t="s">
        <v>1797</v>
      </c>
      <c r="S382" s="521">
        <v>4.8299999999999998E-4</v>
      </c>
      <c r="T382" s="522" t="s">
        <v>414</v>
      </c>
    </row>
    <row r="383" spans="1:20" ht="15" customHeight="1">
      <c r="A383" s="791" t="s">
        <v>1007</v>
      </c>
      <c r="B383" s="792" t="s">
        <v>1008</v>
      </c>
      <c r="C383" s="793">
        <v>110.11</v>
      </c>
      <c r="D383" s="794" t="s">
        <v>1801</v>
      </c>
      <c r="E383" s="795">
        <v>1.9338000000000001E-9</v>
      </c>
      <c r="F383" s="795">
        <v>4.7300000000000001E-11</v>
      </c>
      <c r="G383" s="796" t="s">
        <v>414</v>
      </c>
      <c r="H383" s="797">
        <v>1.33</v>
      </c>
      <c r="I383" s="798" t="s">
        <v>1796</v>
      </c>
      <c r="J383" s="799">
        <v>7.9842499999999997E-2</v>
      </c>
      <c r="K383" s="799">
        <v>1.0699999999999999E-5</v>
      </c>
      <c r="L383" s="800" t="s">
        <v>2367</v>
      </c>
      <c r="M383" s="801">
        <v>240.5</v>
      </c>
      <c r="N383" s="801" t="s">
        <v>414</v>
      </c>
      <c r="O383" s="802">
        <v>72000</v>
      </c>
      <c r="P383" s="803" t="s">
        <v>1801</v>
      </c>
      <c r="Q383" s="804">
        <v>9.3099999999999997E-4</v>
      </c>
      <c r="R383" s="805" t="s">
        <v>414</v>
      </c>
      <c r="S383" s="527">
        <v>1E-3</v>
      </c>
      <c r="T383" s="528" t="s">
        <v>1797</v>
      </c>
    </row>
    <row r="384" spans="1:20" ht="15" customHeight="1">
      <c r="A384" s="791" t="s">
        <v>1009</v>
      </c>
      <c r="B384" s="792" t="s">
        <v>1010</v>
      </c>
      <c r="C384" s="793">
        <v>297.19</v>
      </c>
      <c r="D384" s="794" t="s">
        <v>1801</v>
      </c>
      <c r="E384" s="795">
        <v>1.0589E-7</v>
      </c>
      <c r="F384" s="795">
        <v>2.5899999999999999E-9</v>
      </c>
      <c r="G384" s="796" t="s">
        <v>414</v>
      </c>
      <c r="H384" s="797">
        <v>1.2430000000000001</v>
      </c>
      <c r="I384" s="798" t="s">
        <v>1796</v>
      </c>
      <c r="J384" s="799">
        <v>2.2493200000000001E-2</v>
      </c>
      <c r="K384" s="799">
        <v>5.6771999999999996E-6</v>
      </c>
      <c r="L384" s="800" t="s">
        <v>2367</v>
      </c>
      <c r="M384" s="801">
        <v>8495</v>
      </c>
      <c r="N384" s="801" t="s">
        <v>414</v>
      </c>
      <c r="O384" s="802">
        <v>180</v>
      </c>
      <c r="P384" s="803" t="s">
        <v>1801</v>
      </c>
      <c r="Q384" s="804">
        <v>1.1599999999999999E-2</v>
      </c>
      <c r="R384" s="805" t="s">
        <v>414</v>
      </c>
      <c r="S384" s="527">
        <v>2.1700000000000001E-3</v>
      </c>
      <c r="T384" s="528" t="s">
        <v>414</v>
      </c>
    </row>
    <row r="385" spans="1:20" ht="15" customHeight="1" thickBot="1">
      <c r="A385" s="806" t="s">
        <v>1011</v>
      </c>
      <c r="B385" s="807" t="s">
        <v>1012</v>
      </c>
      <c r="C385" s="808">
        <v>311.33999999999997</v>
      </c>
      <c r="D385" s="809" t="s">
        <v>1801</v>
      </c>
      <c r="E385" s="810">
        <v>2.8250000000000001E-16</v>
      </c>
      <c r="F385" s="810">
        <v>6.9100000000000002E-18</v>
      </c>
      <c r="G385" s="811" t="s">
        <v>1801</v>
      </c>
      <c r="H385" s="839" t="s">
        <v>1750</v>
      </c>
      <c r="I385" s="840" t="s">
        <v>43</v>
      </c>
      <c r="J385" s="814">
        <v>4.1361599999999998E-2</v>
      </c>
      <c r="K385" s="814">
        <v>4.8327999999999997E-6</v>
      </c>
      <c r="L385" s="815" t="s">
        <v>2367</v>
      </c>
      <c r="M385" s="816">
        <v>2386</v>
      </c>
      <c r="N385" s="816" t="s">
        <v>414</v>
      </c>
      <c r="O385" s="817">
        <v>90</v>
      </c>
      <c r="P385" s="818" t="s">
        <v>1801</v>
      </c>
      <c r="Q385" s="819">
        <v>4.8299999999999998E-4</v>
      </c>
      <c r="R385" s="820" t="s">
        <v>414</v>
      </c>
      <c r="S385" s="521">
        <v>1E-3</v>
      </c>
      <c r="T385" s="522" t="s">
        <v>1797</v>
      </c>
    </row>
    <row r="386" spans="1:20" ht="15" customHeight="1">
      <c r="A386" s="791" t="s">
        <v>2227</v>
      </c>
      <c r="B386" s="792" t="s">
        <v>1434</v>
      </c>
      <c r="C386" s="793">
        <v>289.33999999999997</v>
      </c>
      <c r="D386" s="794" t="s">
        <v>1801</v>
      </c>
      <c r="E386" s="795">
        <v>4.2519999999999997E-15</v>
      </c>
      <c r="F386" s="795">
        <v>1.04E-16</v>
      </c>
      <c r="G386" s="796" t="s">
        <v>1801</v>
      </c>
      <c r="H386" s="821" t="s">
        <v>1750</v>
      </c>
      <c r="I386" s="822" t="s">
        <v>43</v>
      </c>
      <c r="J386" s="799">
        <v>4.3432499999999999E-2</v>
      </c>
      <c r="K386" s="799">
        <v>5.0746999999999999E-6</v>
      </c>
      <c r="L386" s="800" t="s">
        <v>2367</v>
      </c>
      <c r="M386" s="801">
        <v>339.1</v>
      </c>
      <c r="N386" s="801" t="s">
        <v>414</v>
      </c>
      <c r="O386" s="802">
        <v>1400</v>
      </c>
      <c r="P386" s="803" t="s">
        <v>1801</v>
      </c>
      <c r="Q386" s="804">
        <v>2E-3</v>
      </c>
      <c r="R386" s="805" t="s">
        <v>414</v>
      </c>
      <c r="S386" s="527">
        <v>1.92E-3</v>
      </c>
      <c r="T386" s="528" t="s">
        <v>414</v>
      </c>
    </row>
    <row r="387" spans="1:20" ht="15" customHeight="1">
      <c r="A387" s="791" t="s">
        <v>1013</v>
      </c>
      <c r="B387" s="792" t="s">
        <v>1014</v>
      </c>
      <c r="C387" s="793">
        <v>253.81</v>
      </c>
      <c r="D387" s="794" t="s">
        <v>1801</v>
      </c>
      <c r="E387" s="831" t="s">
        <v>1750</v>
      </c>
      <c r="F387" s="831" t="s">
        <v>1750</v>
      </c>
      <c r="G387" s="832" t="s">
        <v>43</v>
      </c>
      <c r="H387" s="797">
        <v>4.9329999999999998</v>
      </c>
      <c r="I387" s="798" t="s">
        <v>1796</v>
      </c>
      <c r="J387" s="833" t="s">
        <v>1750</v>
      </c>
      <c r="K387" s="833" t="s">
        <v>1750</v>
      </c>
      <c r="L387" s="834" t="s">
        <v>43</v>
      </c>
      <c r="M387" s="835" t="s">
        <v>1750</v>
      </c>
      <c r="N387" s="836" t="s">
        <v>43</v>
      </c>
      <c r="O387" s="802">
        <v>330</v>
      </c>
      <c r="P387" s="803" t="s">
        <v>1801</v>
      </c>
      <c r="Q387" s="804">
        <v>1E-3</v>
      </c>
      <c r="R387" s="805" t="s">
        <v>1797</v>
      </c>
      <c r="S387" s="527">
        <v>3.5400000000000002E-3</v>
      </c>
      <c r="T387" s="528" t="s">
        <v>414</v>
      </c>
    </row>
    <row r="388" spans="1:20" ht="15" customHeight="1" thickBot="1">
      <c r="A388" s="806" t="s">
        <v>1015</v>
      </c>
      <c r="B388" s="807" t="s">
        <v>1016</v>
      </c>
      <c r="C388" s="808">
        <v>330.17</v>
      </c>
      <c r="D388" s="809" t="s">
        <v>1801</v>
      </c>
      <c r="E388" s="810">
        <v>1.2756000000000001E-7</v>
      </c>
      <c r="F388" s="810">
        <v>3.12E-9</v>
      </c>
      <c r="G388" s="811" t="s">
        <v>1801</v>
      </c>
      <c r="H388" s="839" t="s">
        <v>1750</v>
      </c>
      <c r="I388" s="840" t="s">
        <v>43</v>
      </c>
      <c r="J388" s="814">
        <v>3.9773599999999999E-2</v>
      </c>
      <c r="K388" s="814">
        <v>4.6472000000000002E-6</v>
      </c>
      <c r="L388" s="815" t="s">
        <v>2367</v>
      </c>
      <c r="M388" s="816">
        <v>52.52</v>
      </c>
      <c r="N388" s="816" t="s">
        <v>414</v>
      </c>
      <c r="O388" s="817">
        <v>13.9</v>
      </c>
      <c r="P388" s="818" t="s">
        <v>1801</v>
      </c>
      <c r="Q388" s="819">
        <v>2.1700000000000001E-3</v>
      </c>
      <c r="R388" s="820" t="s">
        <v>414</v>
      </c>
      <c r="S388" s="521">
        <v>0.20699999999999999</v>
      </c>
      <c r="T388" s="522" t="s">
        <v>414</v>
      </c>
    </row>
    <row r="389" spans="1:20" ht="15" customHeight="1">
      <c r="A389" s="791" t="s">
        <v>1017</v>
      </c>
      <c r="B389" s="792" t="s">
        <v>1018</v>
      </c>
      <c r="C389" s="793">
        <v>55.847000000000001</v>
      </c>
      <c r="D389" s="794" t="s">
        <v>1801</v>
      </c>
      <c r="E389" s="831" t="s">
        <v>1750</v>
      </c>
      <c r="F389" s="831" t="s">
        <v>1750</v>
      </c>
      <c r="G389" s="832" t="s">
        <v>43</v>
      </c>
      <c r="H389" s="797">
        <v>7.87</v>
      </c>
      <c r="I389" s="798" t="s">
        <v>1796</v>
      </c>
      <c r="J389" s="833" t="s">
        <v>1750</v>
      </c>
      <c r="K389" s="833" t="s">
        <v>1750</v>
      </c>
      <c r="L389" s="834" t="s">
        <v>43</v>
      </c>
      <c r="M389" s="835" t="s">
        <v>1750</v>
      </c>
      <c r="N389" s="836" t="s">
        <v>43</v>
      </c>
      <c r="O389" s="837" t="s">
        <v>1750</v>
      </c>
      <c r="P389" s="838" t="s">
        <v>43</v>
      </c>
      <c r="Q389" s="804">
        <v>1E-3</v>
      </c>
      <c r="R389" s="805" t="s">
        <v>1797</v>
      </c>
      <c r="S389" s="527">
        <v>7.7800000000000005E-4</v>
      </c>
      <c r="T389" s="528" t="s">
        <v>414</v>
      </c>
    </row>
    <row r="390" spans="1:20" ht="15" customHeight="1">
      <c r="A390" s="791" t="s">
        <v>1019</v>
      </c>
      <c r="B390" s="792" t="s">
        <v>1020</v>
      </c>
      <c r="C390" s="793">
        <v>74.123999999999995</v>
      </c>
      <c r="D390" s="794" t="s">
        <v>1801</v>
      </c>
      <c r="E390" s="795">
        <v>3.9980000000000001E-4</v>
      </c>
      <c r="F390" s="795">
        <v>9.7799999999999995E-6</v>
      </c>
      <c r="G390" s="796" t="s">
        <v>1801</v>
      </c>
      <c r="H390" s="797">
        <v>0.80179999999999996</v>
      </c>
      <c r="I390" s="798" t="s">
        <v>1796</v>
      </c>
      <c r="J390" s="799">
        <v>8.9667700000000003E-2</v>
      </c>
      <c r="K390" s="799">
        <v>1.0000000000000001E-5</v>
      </c>
      <c r="L390" s="800" t="s">
        <v>2367</v>
      </c>
      <c r="M390" s="801">
        <v>2.919</v>
      </c>
      <c r="N390" s="801" t="s">
        <v>414</v>
      </c>
      <c r="O390" s="802">
        <v>85000</v>
      </c>
      <c r="P390" s="803" t="s">
        <v>1801</v>
      </c>
      <c r="Q390" s="804">
        <v>1.92E-3</v>
      </c>
      <c r="R390" s="805" t="s">
        <v>414</v>
      </c>
      <c r="S390" s="527">
        <v>3.9599999999999998E-4</v>
      </c>
      <c r="T390" s="528" t="s">
        <v>414</v>
      </c>
    </row>
    <row r="391" spans="1:20" ht="15" customHeight="1" thickBot="1">
      <c r="A391" s="806" t="s">
        <v>1021</v>
      </c>
      <c r="B391" s="807" t="s">
        <v>1022</v>
      </c>
      <c r="C391" s="808">
        <v>138.21</v>
      </c>
      <c r="D391" s="809" t="s">
        <v>1801</v>
      </c>
      <c r="E391" s="810">
        <v>2.7149999999999999E-4</v>
      </c>
      <c r="F391" s="810">
        <v>6.64E-6</v>
      </c>
      <c r="G391" s="811" t="s">
        <v>414</v>
      </c>
      <c r="H391" s="812">
        <v>0.92549999999999999</v>
      </c>
      <c r="I391" s="813" t="s">
        <v>1796</v>
      </c>
      <c r="J391" s="814">
        <v>5.2504799999999997E-2</v>
      </c>
      <c r="K391" s="814">
        <v>7.5295999999999999E-6</v>
      </c>
      <c r="L391" s="815" t="s">
        <v>2367</v>
      </c>
      <c r="M391" s="816">
        <v>65.150000000000006</v>
      </c>
      <c r="N391" s="816" t="s">
        <v>414</v>
      </c>
      <c r="O391" s="817">
        <v>12000</v>
      </c>
      <c r="P391" s="818" t="s">
        <v>1801</v>
      </c>
      <c r="Q391" s="819">
        <v>3.5400000000000002E-3</v>
      </c>
      <c r="R391" s="820" t="s">
        <v>414</v>
      </c>
      <c r="S391" s="521">
        <v>8.8699999999999994E-3</v>
      </c>
      <c r="T391" s="522" t="s">
        <v>414</v>
      </c>
    </row>
    <row r="392" spans="1:20" ht="15" customHeight="1">
      <c r="A392" s="791" t="s">
        <v>1023</v>
      </c>
      <c r="B392" s="792" t="s">
        <v>1024</v>
      </c>
      <c r="C392" s="793">
        <v>309.37</v>
      </c>
      <c r="D392" s="794" t="s">
        <v>1801</v>
      </c>
      <c r="E392" s="795">
        <v>4.5380000000000004E-3</v>
      </c>
      <c r="F392" s="795">
        <v>1.11E-4</v>
      </c>
      <c r="G392" s="796" t="s">
        <v>414</v>
      </c>
      <c r="H392" s="797">
        <v>1.157</v>
      </c>
      <c r="I392" s="798" t="s">
        <v>2399</v>
      </c>
      <c r="J392" s="799">
        <v>2.1278999999999999E-2</v>
      </c>
      <c r="K392" s="799">
        <v>5.3086999999999997E-6</v>
      </c>
      <c r="L392" s="800" t="s">
        <v>2367</v>
      </c>
      <c r="M392" s="801">
        <v>11430</v>
      </c>
      <c r="N392" s="801" t="s">
        <v>414</v>
      </c>
      <c r="O392" s="802">
        <v>0.11</v>
      </c>
      <c r="P392" s="803" t="s">
        <v>1801</v>
      </c>
      <c r="Q392" s="804">
        <v>0.20699999999999999</v>
      </c>
      <c r="R392" s="805" t="s">
        <v>414</v>
      </c>
      <c r="S392" s="525" t="s">
        <v>1750</v>
      </c>
      <c r="T392" s="526" t="s">
        <v>43</v>
      </c>
    </row>
    <row r="393" spans="1:20" ht="15" customHeight="1">
      <c r="A393" s="791" t="s">
        <v>1025</v>
      </c>
      <c r="B393" s="792" t="s">
        <v>1026</v>
      </c>
      <c r="C393" s="793">
        <v>60.097000000000001</v>
      </c>
      <c r="D393" s="794" t="s">
        <v>1801</v>
      </c>
      <c r="E393" s="795">
        <v>3.3119999999999997E-4</v>
      </c>
      <c r="F393" s="795">
        <v>8.1000000000000004E-6</v>
      </c>
      <c r="G393" s="796" t="s">
        <v>1801</v>
      </c>
      <c r="H393" s="797">
        <v>0.78090000000000004</v>
      </c>
      <c r="I393" s="798" t="s">
        <v>1796</v>
      </c>
      <c r="J393" s="799">
        <v>0.1032261</v>
      </c>
      <c r="K393" s="799">
        <v>1.1199999999999999E-5</v>
      </c>
      <c r="L393" s="800" t="s">
        <v>2367</v>
      </c>
      <c r="M393" s="801">
        <v>1.53</v>
      </c>
      <c r="N393" s="801" t="s">
        <v>414</v>
      </c>
      <c r="O393" s="802">
        <v>1000000</v>
      </c>
      <c r="P393" s="803" t="s">
        <v>1801</v>
      </c>
      <c r="Q393" s="804">
        <v>7.7800000000000005E-4</v>
      </c>
      <c r="R393" s="805" t="s">
        <v>414</v>
      </c>
      <c r="S393" s="527">
        <v>1.09E-2</v>
      </c>
      <c r="T393" s="528" t="s">
        <v>414</v>
      </c>
    </row>
    <row r="394" spans="1:20" ht="15" customHeight="1" thickBot="1">
      <c r="A394" s="806" t="s">
        <v>1027</v>
      </c>
      <c r="B394" s="807" t="s">
        <v>1028</v>
      </c>
      <c r="C394" s="808">
        <v>138.1</v>
      </c>
      <c r="D394" s="809" t="s">
        <v>1801</v>
      </c>
      <c r="E394" s="810">
        <v>2.8127999999999999E-7</v>
      </c>
      <c r="F394" s="810">
        <v>6.8800000000000002E-9</v>
      </c>
      <c r="G394" s="811" t="s">
        <v>1801</v>
      </c>
      <c r="H394" s="839" t="s">
        <v>1750</v>
      </c>
      <c r="I394" s="840" t="s">
        <v>43</v>
      </c>
      <c r="J394" s="814">
        <v>7.1114399999999994E-2</v>
      </c>
      <c r="K394" s="814">
        <v>8.3092E-6</v>
      </c>
      <c r="L394" s="815" t="s">
        <v>2367</v>
      </c>
      <c r="M394" s="816">
        <v>7.7069999999999999</v>
      </c>
      <c r="N394" s="816" t="s">
        <v>414</v>
      </c>
      <c r="O394" s="817">
        <v>50420</v>
      </c>
      <c r="P394" s="818" t="s">
        <v>1801</v>
      </c>
      <c r="Q394" s="819">
        <v>3.9599999999999998E-4</v>
      </c>
      <c r="R394" s="820" t="s">
        <v>414</v>
      </c>
      <c r="S394" s="521">
        <v>6.3099999999999996E-3</v>
      </c>
      <c r="T394" s="522" t="s">
        <v>414</v>
      </c>
    </row>
    <row r="395" spans="1:20" ht="15" customHeight="1">
      <c r="A395" s="791" t="s">
        <v>1029</v>
      </c>
      <c r="B395" s="792" t="s">
        <v>1030</v>
      </c>
      <c r="C395" s="793">
        <v>332.4</v>
      </c>
      <c r="D395" s="794" t="s">
        <v>1801</v>
      </c>
      <c r="E395" s="795">
        <v>5.1922E-8</v>
      </c>
      <c r="F395" s="795">
        <v>1.27E-9</v>
      </c>
      <c r="G395" s="796" t="s">
        <v>414</v>
      </c>
      <c r="H395" s="821" t="s">
        <v>1750</v>
      </c>
      <c r="I395" s="822" t="s">
        <v>43</v>
      </c>
      <c r="J395" s="799">
        <v>3.9595499999999999E-2</v>
      </c>
      <c r="K395" s="799">
        <v>4.6264000000000003E-6</v>
      </c>
      <c r="L395" s="800" t="s">
        <v>2367</v>
      </c>
      <c r="M395" s="801">
        <v>1262</v>
      </c>
      <c r="N395" s="801" t="s">
        <v>414</v>
      </c>
      <c r="O395" s="802">
        <v>1.42</v>
      </c>
      <c r="P395" s="803" t="s">
        <v>1801</v>
      </c>
      <c r="Q395" s="804">
        <v>8.8699999999999994E-3</v>
      </c>
      <c r="R395" s="805" t="s">
        <v>414</v>
      </c>
      <c r="S395" s="525" t="s">
        <v>1750</v>
      </c>
      <c r="T395" s="526" t="s">
        <v>43</v>
      </c>
    </row>
    <row r="396" spans="1:20" ht="15" customHeight="1">
      <c r="A396" s="791" t="s">
        <v>1031</v>
      </c>
      <c r="B396" s="792" t="s">
        <v>2413</v>
      </c>
      <c r="C396" s="841" t="s">
        <v>1750</v>
      </c>
      <c r="D396" s="842" t="s">
        <v>43</v>
      </c>
      <c r="E396" s="795">
        <v>0.40899999999999997</v>
      </c>
      <c r="F396" s="795">
        <v>0.01</v>
      </c>
      <c r="G396" s="796" t="s">
        <v>2414</v>
      </c>
      <c r="H396" s="797">
        <v>0.77900000000000003</v>
      </c>
      <c r="I396" s="798" t="s">
        <v>2171</v>
      </c>
      <c r="J396" s="833" t="s">
        <v>1750</v>
      </c>
      <c r="K396" s="833" t="s">
        <v>1750</v>
      </c>
      <c r="L396" s="834" t="s">
        <v>43</v>
      </c>
      <c r="M396" s="835" t="s">
        <v>1750</v>
      </c>
      <c r="N396" s="836" t="s">
        <v>43</v>
      </c>
      <c r="O396" s="802">
        <v>10.4</v>
      </c>
      <c r="P396" s="803" t="s">
        <v>2414</v>
      </c>
      <c r="Q396" s="843" t="s">
        <v>1750</v>
      </c>
      <c r="R396" s="844" t="s">
        <v>43</v>
      </c>
      <c r="S396" s="527">
        <v>2.0800000000000001E-5</v>
      </c>
      <c r="T396" s="528" t="s">
        <v>414</v>
      </c>
    </row>
    <row r="397" spans="1:20" ht="15" customHeight="1" thickBot="1">
      <c r="A397" s="806" t="s">
        <v>1033</v>
      </c>
      <c r="B397" s="807" t="s">
        <v>1034</v>
      </c>
      <c r="C397" s="808">
        <v>461.78</v>
      </c>
      <c r="D397" s="809" t="s">
        <v>1801</v>
      </c>
      <c r="E397" s="810">
        <v>1.9300000000000002E-5</v>
      </c>
      <c r="F397" s="810">
        <v>4.7199999999999999E-7</v>
      </c>
      <c r="G397" s="811" t="s">
        <v>414</v>
      </c>
      <c r="H397" s="839" t="s">
        <v>1750</v>
      </c>
      <c r="I397" s="840" t="s">
        <v>43</v>
      </c>
      <c r="J397" s="814">
        <v>3.1802700000000003E-2</v>
      </c>
      <c r="K397" s="814">
        <v>3.7158999999999999E-6</v>
      </c>
      <c r="L397" s="815" t="s">
        <v>2367</v>
      </c>
      <c r="M397" s="816">
        <v>23030</v>
      </c>
      <c r="N397" s="816" t="s">
        <v>414</v>
      </c>
      <c r="O397" s="817">
        <v>0.1</v>
      </c>
      <c r="P397" s="818" t="s">
        <v>1801</v>
      </c>
      <c r="Q397" s="819">
        <v>6.3099999999999996E-3</v>
      </c>
      <c r="R397" s="820" t="s">
        <v>414</v>
      </c>
      <c r="S397" s="521">
        <v>1E-4</v>
      </c>
      <c r="T397" s="522" t="s">
        <v>1797</v>
      </c>
    </row>
    <row r="398" spans="1:20" ht="15" customHeight="1">
      <c r="A398" s="791" t="s">
        <v>1035</v>
      </c>
      <c r="B398" s="792" t="s">
        <v>43</v>
      </c>
      <c r="C398" s="841" t="s">
        <v>1750</v>
      </c>
      <c r="D398" s="842" t="s">
        <v>43</v>
      </c>
      <c r="E398" s="831" t="s">
        <v>1750</v>
      </c>
      <c r="F398" s="831" t="s">
        <v>1750</v>
      </c>
      <c r="G398" s="832" t="s">
        <v>43</v>
      </c>
      <c r="H398" s="821" t="s">
        <v>1750</v>
      </c>
      <c r="I398" s="822" t="s">
        <v>43</v>
      </c>
      <c r="J398" s="833" t="s">
        <v>1750</v>
      </c>
      <c r="K398" s="833" t="s">
        <v>1750</v>
      </c>
      <c r="L398" s="834" t="s">
        <v>43</v>
      </c>
      <c r="M398" s="835" t="s">
        <v>1750</v>
      </c>
      <c r="N398" s="836" t="s">
        <v>43</v>
      </c>
      <c r="O398" s="837" t="s">
        <v>1750</v>
      </c>
      <c r="P398" s="838" t="s">
        <v>43</v>
      </c>
      <c r="Q398" s="843" t="s">
        <v>1750</v>
      </c>
      <c r="R398" s="844" t="s">
        <v>43</v>
      </c>
      <c r="S398" s="527">
        <v>1.0300000000000001E-10</v>
      </c>
      <c r="T398" s="528" t="s">
        <v>414</v>
      </c>
    </row>
    <row r="399" spans="1:20" ht="15" customHeight="1">
      <c r="A399" s="791" t="s">
        <v>2228</v>
      </c>
      <c r="B399" s="792" t="s">
        <v>2229</v>
      </c>
      <c r="C399" s="793">
        <v>323.2</v>
      </c>
      <c r="D399" s="794" t="s">
        <v>1796</v>
      </c>
      <c r="E399" s="831" t="s">
        <v>1750</v>
      </c>
      <c r="F399" s="831" t="s">
        <v>1750</v>
      </c>
      <c r="G399" s="832" t="s">
        <v>43</v>
      </c>
      <c r="H399" s="797">
        <v>6.12</v>
      </c>
      <c r="I399" s="798" t="s">
        <v>1796</v>
      </c>
      <c r="J399" s="833" t="s">
        <v>1750</v>
      </c>
      <c r="K399" s="833" t="s">
        <v>1750</v>
      </c>
      <c r="L399" s="834" t="s">
        <v>43</v>
      </c>
      <c r="M399" s="835" t="s">
        <v>1750</v>
      </c>
      <c r="N399" s="836" t="s">
        <v>43</v>
      </c>
      <c r="O399" s="802">
        <v>0.17</v>
      </c>
      <c r="P399" s="803" t="s">
        <v>1796</v>
      </c>
      <c r="Q399" s="804">
        <v>1E-3</v>
      </c>
      <c r="R399" s="805" t="s">
        <v>1797</v>
      </c>
      <c r="S399" s="527">
        <v>1.37E-2</v>
      </c>
      <c r="T399" s="528" t="s">
        <v>414</v>
      </c>
    </row>
    <row r="400" spans="1:20" ht="15" customHeight="1" thickBot="1">
      <c r="A400" s="806" t="s">
        <v>2230</v>
      </c>
      <c r="B400" s="807" t="s">
        <v>2231</v>
      </c>
      <c r="C400" s="808">
        <v>811.51</v>
      </c>
      <c r="D400" s="809" t="s">
        <v>1801</v>
      </c>
      <c r="E400" s="823" t="s">
        <v>1750</v>
      </c>
      <c r="F400" s="823" t="s">
        <v>1750</v>
      </c>
      <c r="G400" s="824" t="s">
        <v>43</v>
      </c>
      <c r="H400" s="812">
        <v>7.01</v>
      </c>
      <c r="I400" s="813" t="s">
        <v>1796</v>
      </c>
      <c r="J400" s="825" t="s">
        <v>1750</v>
      </c>
      <c r="K400" s="825" t="s">
        <v>1750</v>
      </c>
      <c r="L400" s="826" t="s">
        <v>43</v>
      </c>
      <c r="M400" s="827" t="s">
        <v>1750</v>
      </c>
      <c r="N400" s="828" t="s">
        <v>43</v>
      </c>
      <c r="O400" s="817">
        <v>0</v>
      </c>
      <c r="P400" s="818" t="s">
        <v>1796</v>
      </c>
      <c r="Q400" s="819">
        <v>1E-3</v>
      </c>
      <c r="R400" s="820" t="s">
        <v>1797</v>
      </c>
      <c r="S400" s="521">
        <v>8.3899999999999999E-3</v>
      </c>
      <c r="T400" s="522" t="s">
        <v>414</v>
      </c>
    </row>
    <row r="401" spans="1:20" ht="15" customHeight="1">
      <c r="A401" s="791" t="s">
        <v>1036</v>
      </c>
      <c r="B401" s="792" t="s">
        <v>1037</v>
      </c>
      <c r="C401" s="793">
        <v>327.3</v>
      </c>
      <c r="D401" s="794" t="s">
        <v>1801</v>
      </c>
      <c r="E401" s="831" t="s">
        <v>1750</v>
      </c>
      <c r="F401" s="831" t="s">
        <v>1750</v>
      </c>
      <c r="G401" s="832" t="s">
        <v>43</v>
      </c>
      <c r="H401" s="797">
        <v>3.25</v>
      </c>
      <c r="I401" s="798" t="s">
        <v>1796</v>
      </c>
      <c r="J401" s="799">
        <v>3.3267900000000003E-2</v>
      </c>
      <c r="K401" s="799">
        <v>9.5374999999999997E-6</v>
      </c>
      <c r="L401" s="800" t="s">
        <v>2367</v>
      </c>
      <c r="M401" s="801">
        <v>1</v>
      </c>
      <c r="N401" s="801" t="s">
        <v>414</v>
      </c>
      <c r="O401" s="802">
        <v>1600</v>
      </c>
      <c r="P401" s="803" t="s">
        <v>1801</v>
      </c>
      <c r="Q401" s="804">
        <v>2.0800000000000001E-5</v>
      </c>
      <c r="R401" s="805" t="s">
        <v>414</v>
      </c>
      <c r="S401" s="527">
        <v>1E-3</v>
      </c>
      <c r="T401" s="528" t="s">
        <v>1797</v>
      </c>
    </row>
    <row r="402" spans="1:20" ht="15" customHeight="1">
      <c r="A402" s="791" t="s">
        <v>1038</v>
      </c>
      <c r="B402" s="792" t="s">
        <v>1039</v>
      </c>
      <c r="C402" s="793">
        <v>207.2</v>
      </c>
      <c r="D402" s="794" t="s">
        <v>414</v>
      </c>
      <c r="E402" s="831" t="s">
        <v>1750</v>
      </c>
      <c r="F402" s="831" t="s">
        <v>1750</v>
      </c>
      <c r="G402" s="832" t="s">
        <v>43</v>
      </c>
      <c r="H402" s="797">
        <v>11.3</v>
      </c>
      <c r="I402" s="798" t="s">
        <v>1796</v>
      </c>
      <c r="J402" s="833" t="s">
        <v>1750</v>
      </c>
      <c r="K402" s="833" t="s">
        <v>1750</v>
      </c>
      <c r="L402" s="834" t="s">
        <v>43</v>
      </c>
      <c r="M402" s="835" t="s">
        <v>1750</v>
      </c>
      <c r="N402" s="836" t="s">
        <v>43</v>
      </c>
      <c r="O402" s="837" t="s">
        <v>1750</v>
      </c>
      <c r="P402" s="838" t="s">
        <v>43</v>
      </c>
      <c r="Q402" s="804">
        <v>1E-4</v>
      </c>
      <c r="R402" s="805" t="s">
        <v>1797</v>
      </c>
      <c r="S402" s="527">
        <v>2.1900000000000001E-4</v>
      </c>
      <c r="T402" s="528" t="s">
        <v>414</v>
      </c>
    </row>
    <row r="403" spans="1:20" ht="15" customHeight="1" thickBot="1">
      <c r="A403" s="806" t="s">
        <v>1040</v>
      </c>
      <c r="B403" s="807" t="s">
        <v>1041</v>
      </c>
      <c r="C403" s="808">
        <v>805.67</v>
      </c>
      <c r="D403" s="809" t="s">
        <v>1801</v>
      </c>
      <c r="E403" s="823" t="s">
        <v>1750</v>
      </c>
      <c r="F403" s="823" t="s">
        <v>1750</v>
      </c>
      <c r="G403" s="824" t="s">
        <v>43</v>
      </c>
      <c r="H403" s="839" t="s">
        <v>1750</v>
      </c>
      <c r="I403" s="840" t="s">
        <v>43</v>
      </c>
      <c r="J403" s="814">
        <v>2.1944000000000002E-2</v>
      </c>
      <c r="K403" s="814">
        <v>2.5639999999999999E-6</v>
      </c>
      <c r="L403" s="815" t="s">
        <v>2367</v>
      </c>
      <c r="M403" s="816">
        <v>10.37</v>
      </c>
      <c r="N403" s="816" t="s">
        <v>414</v>
      </c>
      <c r="O403" s="817">
        <v>62500</v>
      </c>
      <c r="P403" s="818" t="s">
        <v>1801</v>
      </c>
      <c r="Q403" s="819">
        <v>1.0300000000000001E-10</v>
      </c>
      <c r="R403" s="820" t="s">
        <v>414</v>
      </c>
      <c r="S403" s="521">
        <v>1.6899999999999998E-2</v>
      </c>
      <c r="T403" s="522" t="s">
        <v>414</v>
      </c>
    </row>
    <row r="404" spans="1:20" ht="15" customHeight="1">
      <c r="A404" s="791" t="s">
        <v>1042</v>
      </c>
      <c r="B404" s="792" t="s">
        <v>1043</v>
      </c>
      <c r="C404" s="793">
        <v>323.44</v>
      </c>
      <c r="D404" s="794" t="s">
        <v>1801</v>
      </c>
      <c r="E404" s="795">
        <v>23.221585999999999</v>
      </c>
      <c r="F404" s="795">
        <v>0.56799999999999995</v>
      </c>
      <c r="G404" s="796" t="s">
        <v>1801</v>
      </c>
      <c r="H404" s="797">
        <v>1.653</v>
      </c>
      <c r="I404" s="798" t="s">
        <v>1796</v>
      </c>
      <c r="J404" s="799">
        <v>2.4640100000000002E-2</v>
      </c>
      <c r="K404" s="799">
        <v>6.4026000000000003E-6</v>
      </c>
      <c r="L404" s="800" t="s">
        <v>2367</v>
      </c>
      <c r="M404" s="801">
        <v>647.9</v>
      </c>
      <c r="N404" s="801" t="s">
        <v>414</v>
      </c>
      <c r="O404" s="802">
        <v>0.28999999999999998</v>
      </c>
      <c r="P404" s="803" t="s">
        <v>1801</v>
      </c>
      <c r="Q404" s="804">
        <v>1.37E-2</v>
      </c>
      <c r="R404" s="805" t="s">
        <v>414</v>
      </c>
      <c r="S404" s="527">
        <v>1.7299999999999999E-2</v>
      </c>
      <c r="T404" s="528" t="s">
        <v>414</v>
      </c>
    </row>
    <row r="405" spans="1:20" ht="15" customHeight="1">
      <c r="A405" s="791" t="s">
        <v>2194</v>
      </c>
      <c r="B405" s="792" t="s">
        <v>2199</v>
      </c>
      <c r="C405" s="793">
        <v>207.32</v>
      </c>
      <c r="D405" s="794" t="s">
        <v>1801</v>
      </c>
      <c r="E405" s="795">
        <v>8.9099999999999995E-3</v>
      </c>
      <c r="F405" s="795">
        <v>2.1800000000000001E-4</v>
      </c>
      <c r="G405" s="796" t="s">
        <v>414</v>
      </c>
      <c r="H405" s="797">
        <v>1.8879999999999999</v>
      </c>
      <c r="I405" s="798" t="s">
        <v>1796</v>
      </c>
      <c r="J405" s="799">
        <v>3.2784099999999997E-2</v>
      </c>
      <c r="K405" s="799">
        <v>9.0550000000000005E-6</v>
      </c>
      <c r="L405" s="800" t="s">
        <v>2367</v>
      </c>
      <c r="M405" s="801">
        <v>110.6</v>
      </c>
      <c r="N405" s="801" t="s">
        <v>414</v>
      </c>
      <c r="O405" s="802">
        <v>500</v>
      </c>
      <c r="P405" s="803" t="s">
        <v>1801</v>
      </c>
      <c r="Q405" s="804">
        <v>5.4000000000000003E-3</v>
      </c>
      <c r="R405" s="805" t="s">
        <v>414</v>
      </c>
      <c r="S405" s="527">
        <v>1.3100000000000001E-2</v>
      </c>
      <c r="T405" s="528" t="s">
        <v>414</v>
      </c>
    </row>
    <row r="406" spans="1:20" ht="15" customHeight="1" thickBot="1">
      <c r="A406" s="806" t="s">
        <v>1044</v>
      </c>
      <c r="B406" s="807" t="s">
        <v>1045</v>
      </c>
      <c r="C406" s="808">
        <v>249.1</v>
      </c>
      <c r="D406" s="809" t="s">
        <v>1801</v>
      </c>
      <c r="E406" s="810">
        <v>2.5552E-7</v>
      </c>
      <c r="F406" s="810">
        <v>6.2499999999999997E-9</v>
      </c>
      <c r="G406" s="811" t="s">
        <v>414</v>
      </c>
      <c r="H406" s="839" t="s">
        <v>1750</v>
      </c>
      <c r="I406" s="840" t="s">
        <v>43</v>
      </c>
      <c r="J406" s="814">
        <v>4.7992300000000002E-2</v>
      </c>
      <c r="K406" s="814">
        <v>5.6075000000000001E-6</v>
      </c>
      <c r="L406" s="815" t="s">
        <v>2367</v>
      </c>
      <c r="M406" s="816">
        <v>339.8</v>
      </c>
      <c r="N406" s="816" t="s">
        <v>414</v>
      </c>
      <c r="O406" s="817">
        <v>75</v>
      </c>
      <c r="P406" s="818" t="s">
        <v>1801</v>
      </c>
      <c r="Q406" s="819">
        <v>8.3899999999999999E-3</v>
      </c>
      <c r="R406" s="820" t="s">
        <v>414</v>
      </c>
      <c r="S406" s="521">
        <v>8.12E-4</v>
      </c>
      <c r="T406" s="522" t="s">
        <v>414</v>
      </c>
    </row>
    <row r="407" spans="1:20" ht="15" customHeight="1">
      <c r="A407" s="791" t="s">
        <v>1046</v>
      </c>
      <c r="B407" s="792" t="s">
        <v>1047</v>
      </c>
      <c r="C407" s="793">
        <v>6.94</v>
      </c>
      <c r="D407" s="794" t="s">
        <v>414</v>
      </c>
      <c r="E407" s="831" t="s">
        <v>1750</v>
      </c>
      <c r="F407" s="831" t="s">
        <v>1750</v>
      </c>
      <c r="G407" s="832" t="s">
        <v>43</v>
      </c>
      <c r="H407" s="797">
        <v>0.53400000000000003</v>
      </c>
      <c r="I407" s="798" t="s">
        <v>1796</v>
      </c>
      <c r="J407" s="833" t="s">
        <v>1750</v>
      </c>
      <c r="K407" s="833" t="s">
        <v>1750</v>
      </c>
      <c r="L407" s="834" t="s">
        <v>43</v>
      </c>
      <c r="M407" s="835" t="s">
        <v>1750</v>
      </c>
      <c r="N407" s="836" t="s">
        <v>43</v>
      </c>
      <c r="O407" s="837" t="s">
        <v>1750</v>
      </c>
      <c r="P407" s="838" t="s">
        <v>43</v>
      </c>
      <c r="Q407" s="804">
        <v>1E-3</v>
      </c>
      <c r="R407" s="805" t="s">
        <v>1797</v>
      </c>
      <c r="S407" s="527">
        <v>5.2500000000000003E-3</v>
      </c>
      <c r="T407" s="528" t="s">
        <v>414</v>
      </c>
    </row>
    <row r="408" spans="1:20" ht="15" customHeight="1">
      <c r="A408" s="791" t="s">
        <v>1050</v>
      </c>
      <c r="B408" s="792" t="s">
        <v>1051</v>
      </c>
      <c r="C408" s="793">
        <v>200.62</v>
      </c>
      <c r="D408" s="794" t="s">
        <v>1801</v>
      </c>
      <c r="E408" s="795">
        <v>5.4374000000000001E-8</v>
      </c>
      <c r="F408" s="795">
        <v>1.33E-9</v>
      </c>
      <c r="G408" s="796" t="s">
        <v>414</v>
      </c>
      <c r="H408" s="797">
        <v>1.56</v>
      </c>
      <c r="I408" s="798" t="s">
        <v>2168</v>
      </c>
      <c r="J408" s="799">
        <v>3.06231E-2</v>
      </c>
      <c r="K408" s="799">
        <v>8.2361000000000006E-6</v>
      </c>
      <c r="L408" s="800" t="s">
        <v>2367</v>
      </c>
      <c r="M408" s="801">
        <v>29.63</v>
      </c>
      <c r="N408" s="801" t="s">
        <v>414</v>
      </c>
      <c r="O408" s="802">
        <v>630</v>
      </c>
      <c r="P408" s="803" t="s">
        <v>1801</v>
      </c>
      <c r="Q408" s="804">
        <v>1.6899999999999998E-2</v>
      </c>
      <c r="R408" s="805" t="s">
        <v>414</v>
      </c>
      <c r="S408" s="527">
        <v>1.02E-4</v>
      </c>
      <c r="T408" s="528" t="s">
        <v>414</v>
      </c>
    </row>
    <row r="409" spans="1:20" ht="15" customHeight="1" thickBot="1">
      <c r="A409" s="806" t="s">
        <v>1052</v>
      </c>
      <c r="B409" s="807" t="s">
        <v>1053</v>
      </c>
      <c r="C409" s="808">
        <v>228.68</v>
      </c>
      <c r="D409" s="809" t="s">
        <v>1801</v>
      </c>
      <c r="E409" s="810">
        <v>1.1079E-7</v>
      </c>
      <c r="F409" s="810">
        <v>2.7099999999999999E-9</v>
      </c>
      <c r="G409" s="811" t="s">
        <v>414</v>
      </c>
      <c r="H409" s="839" t="s">
        <v>1750</v>
      </c>
      <c r="I409" s="840" t="s">
        <v>43</v>
      </c>
      <c r="J409" s="814">
        <v>5.0808300000000001E-2</v>
      </c>
      <c r="K409" s="814">
        <v>5.9366E-6</v>
      </c>
      <c r="L409" s="815" t="s">
        <v>2367</v>
      </c>
      <c r="M409" s="816">
        <v>98.4</v>
      </c>
      <c r="N409" s="816" t="s">
        <v>414</v>
      </c>
      <c r="O409" s="817">
        <v>48</v>
      </c>
      <c r="P409" s="818" t="s">
        <v>1801</v>
      </c>
      <c r="Q409" s="819">
        <v>1.7299999999999999E-2</v>
      </c>
      <c r="R409" s="820" t="s">
        <v>414</v>
      </c>
      <c r="S409" s="521">
        <v>2.6600000000000001E-4</v>
      </c>
      <c r="T409" s="522" t="s">
        <v>414</v>
      </c>
    </row>
    <row r="410" spans="1:20" ht="15" customHeight="1">
      <c r="A410" s="791" t="s">
        <v>1054</v>
      </c>
      <c r="B410" s="792" t="s">
        <v>1055</v>
      </c>
      <c r="C410" s="793">
        <v>214.65</v>
      </c>
      <c r="D410" s="794" t="s">
        <v>1801</v>
      </c>
      <c r="E410" s="795">
        <v>7.4407000000000002E-7</v>
      </c>
      <c r="F410" s="795">
        <v>1.8200000000000001E-8</v>
      </c>
      <c r="G410" s="796" t="s">
        <v>1801</v>
      </c>
      <c r="H410" s="797">
        <v>1.28</v>
      </c>
      <c r="I410" s="798" t="s">
        <v>2168</v>
      </c>
      <c r="J410" s="799">
        <v>2.7025799999999999E-2</v>
      </c>
      <c r="K410" s="799">
        <v>7.0236E-6</v>
      </c>
      <c r="L410" s="800" t="s">
        <v>2367</v>
      </c>
      <c r="M410" s="801">
        <v>48.51</v>
      </c>
      <c r="N410" s="801" t="s">
        <v>414</v>
      </c>
      <c r="O410" s="802">
        <v>620</v>
      </c>
      <c r="P410" s="803" t="s">
        <v>1801</v>
      </c>
      <c r="Q410" s="804">
        <v>1.3100000000000001E-2</v>
      </c>
      <c r="R410" s="805" t="s">
        <v>414</v>
      </c>
      <c r="S410" s="527">
        <v>7.7099999999999998E-4</v>
      </c>
      <c r="T410" s="528" t="s">
        <v>414</v>
      </c>
    </row>
    <row r="411" spans="1:20" ht="15" customHeight="1">
      <c r="A411" s="791" t="s">
        <v>1056</v>
      </c>
      <c r="B411" s="792" t="s">
        <v>1057</v>
      </c>
      <c r="C411" s="793">
        <v>330.36</v>
      </c>
      <c r="D411" s="794" t="s">
        <v>1801</v>
      </c>
      <c r="E411" s="795">
        <v>1.9992000000000001E-7</v>
      </c>
      <c r="F411" s="795">
        <v>4.8900000000000003E-9</v>
      </c>
      <c r="G411" s="796" t="s">
        <v>1801</v>
      </c>
      <c r="H411" s="797">
        <v>1.2076</v>
      </c>
      <c r="I411" s="798" t="s">
        <v>1796</v>
      </c>
      <c r="J411" s="799">
        <v>2.09873E-2</v>
      </c>
      <c r="K411" s="799">
        <v>5.2364000000000004E-6</v>
      </c>
      <c r="L411" s="800" t="s">
        <v>2367</v>
      </c>
      <c r="M411" s="801">
        <v>31.27</v>
      </c>
      <c r="N411" s="801" t="s">
        <v>414</v>
      </c>
      <c r="O411" s="802">
        <v>143</v>
      </c>
      <c r="P411" s="803" t="s">
        <v>1801</v>
      </c>
      <c r="Q411" s="804">
        <v>8.12E-4</v>
      </c>
      <c r="R411" s="805" t="s">
        <v>414</v>
      </c>
      <c r="S411" s="527">
        <v>7.7099999999999998E-4</v>
      </c>
      <c r="T411" s="528" t="s">
        <v>414</v>
      </c>
    </row>
    <row r="412" spans="1:20" ht="15" customHeight="1" thickBot="1">
      <c r="A412" s="806" t="s">
        <v>1058</v>
      </c>
      <c r="B412" s="807" t="s">
        <v>1059</v>
      </c>
      <c r="C412" s="808">
        <v>98.058999999999997</v>
      </c>
      <c r="D412" s="809" t="s">
        <v>1801</v>
      </c>
      <c r="E412" s="810">
        <v>1.607E-4</v>
      </c>
      <c r="F412" s="810">
        <v>3.9299999999999996E-6</v>
      </c>
      <c r="G412" s="811" t="s">
        <v>1801</v>
      </c>
      <c r="H412" s="812">
        <v>1.3140000000000001</v>
      </c>
      <c r="I412" s="813" t="s">
        <v>1796</v>
      </c>
      <c r="J412" s="814">
        <v>8.8395500000000002E-2</v>
      </c>
      <c r="K412" s="814">
        <v>1.1399999999999999E-5</v>
      </c>
      <c r="L412" s="815" t="s">
        <v>2367</v>
      </c>
      <c r="M412" s="816">
        <v>1</v>
      </c>
      <c r="N412" s="816" t="s">
        <v>414</v>
      </c>
      <c r="O412" s="817">
        <v>163000</v>
      </c>
      <c r="P412" s="818" t="s">
        <v>1802</v>
      </c>
      <c r="Q412" s="819">
        <v>5.2500000000000003E-3</v>
      </c>
      <c r="R412" s="820" t="s">
        <v>414</v>
      </c>
      <c r="S412" s="521">
        <v>1E-3</v>
      </c>
      <c r="T412" s="522" t="s">
        <v>1797</v>
      </c>
    </row>
    <row r="413" spans="1:20" ht="15" customHeight="1">
      <c r="A413" s="791" t="s">
        <v>1060</v>
      </c>
      <c r="B413" s="792" t="s">
        <v>1061</v>
      </c>
      <c r="C413" s="793">
        <v>112.09</v>
      </c>
      <c r="D413" s="794" t="s">
        <v>1801</v>
      </c>
      <c r="E413" s="795">
        <v>1.0834E-9</v>
      </c>
      <c r="F413" s="795">
        <v>2.6499999999999999E-11</v>
      </c>
      <c r="G413" s="796" t="s">
        <v>1801</v>
      </c>
      <c r="H413" s="821" t="s">
        <v>1750</v>
      </c>
      <c r="I413" s="822" t="s">
        <v>43</v>
      </c>
      <c r="J413" s="799">
        <v>8.1728899999999993E-2</v>
      </c>
      <c r="K413" s="799">
        <v>9.5494000000000004E-6</v>
      </c>
      <c r="L413" s="800" t="s">
        <v>2367</v>
      </c>
      <c r="M413" s="801">
        <v>3.3029999999999999</v>
      </c>
      <c r="N413" s="801" t="s">
        <v>414</v>
      </c>
      <c r="O413" s="802">
        <v>4507</v>
      </c>
      <c r="P413" s="803" t="s">
        <v>1801</v>
      </c>
      <c r="Q413" s="804">
        <v>1.02E-4</v>
      </c>
      <c r="R413" s="805" t="s">
        <v>414</v>
      </c>
      <c r="S413" s="527">
        <v>1E-3</v>
      </c>
      <c r="T413" s="528" t="s">
        <v>1797</v>
      </c>
    </row>
    <row r="414" spans="1:20" ht="15" customHeight="1">
      <c r="A414" s="791" t="s">
        <v>1062</v>
      </c>
      <c r="B414" s="792" t="s">
        <v>1063</v>
      </c>
      <c r="C414" s="793">
        <v>66.063000000000002</v>
      </c>
      <c r="D414" s="794" t="s">
        <v>1801</v>
      </c>
      <c r="E414" s="795">
        <v>5.3557000000000002E-6</v>
      </c>
      <c r="F414" s="795">
        <v>1.31E-7</v>
      </c>
      <c r="G414" s="796" t="s">
        <v>414</v>
      </c>
      <c r="H414" s="797">
        <v>1.1910000000000001</v>
      </c>
      <c r="I414" s="798" t="s">
        <v>1796</v>
      </c>
      <c r="J414" s="799">
        <v>0.1150694</v>
      </c>
      <c r="K414" s="799">
        <v>1.36E-5</v>
      </c>
      <c r="L414" s="800" t="s">
        <v>2367</v>
      </c>
      <c r="M414" s="801">
        <v>3.3340000000000001</v>
      </c>
      <c r="N414" s="801" t="s">
        <v>414</v>
      </c>
      <c r="O414" s="802">
        <v>133000</v>
      </c>
      <c r="P414" s="803" t="s">
        <v>1801</v>
      </c>
      <c r="Q414" s="804">
        <v>2.6600000000000001E-4</v>
      </c>
      <c r="R414" s="805" t="s">
        <v>414</v>
      </c>
      <c r="S414" s="527">
        <v>2.3699999999999999E-4</v>
      </c>
      <c r="T414" s="528" t="s">
        <v>414</v>
      </c>
    </row>
    <row r="415" spans="1:20" ht="15" customHeight="1" thickBot="1">
      <c r="A415" s="806" t="s">
        <v>1064</v>
      </c>
      <c r="B415" s="807" t="s">
        <v>1065</v>
      </c>
      <c r="C415" s="808">
        <v>541.03</v>
      </c>
      <c r="D415" s="809" t="s">
        <v>1801</v>
      </c>
      <c r="E415" s="810">
        <v>6.2140000000000005E-10</v>
      </c>
      <c r="F415" s="810">
        <v>1.52E-11</v>
      </c>
      <c r="G415" s="811" t="s">
        <v>1801</v>
      </c>
      <c r="H415" s="812">
        <v>1.92</v>
      </c>
      <c r="I415" s="813" t="s">
        <v>2168</v>
      </c>
      <c r="J415" s="814">
        <v>2.0356599999999999E-2</v>
      </c>
      <c r="K415" s="814">
        <v>5.1441999999999998E-6</v>
      </c>
      <c r="L415" s="815" t="s">
        <v>2367</v>
      </c>
      <c r="M415" s="816">
        <v>607.6</v>
      </c>
      <c r="N415" s="816" t="s">
        <v>414</v>
      </c>
      <c r="O415" s="817">
        <v>6.2</v>
      </c>
      <c r="P415" s="818" t="s">
        <v>1801</v>
      </c>
      <c r="Q415" s="819">
        <v>7.7099999999999998E-4</v>
      </c>
      <c r="R415" s="820" t="s">
        <v>414</v>
      </c>
      <c r="S415" s="521">
        <v>3.0299999999999998E-6</v>
      </c>
      <c r="T415" s="522" t="s">
        <v>414</v>
      </c>
    </row>
    <row r="416" spans="1:20" ht="15" customHeight="1">
      <c r="A416" s="791" t="s">
        <v>1066</v>
      </c>
      <c r="B416" s="792" t="s">
        <v>1067</v>
      </c>
      <c r="C416" s="793">
        <v>295.37</v>
      </c>
      <c r="D416" s="794" t="s">
        <v>1801</v>
      </c>
      <c r="E416" s="795">
        <v>1.9868999999999999E-7</v>
      </c>
      <c r="F416" s="795">
        <v>4.8600000000000002E-9</v>
      </c>
      <c r="G416" s="796" t="s">
        <v>1801</v>
      </c>
      <c r="H416" s="821" t="s">
        <v>1750</v>
      </c>
      <c r="I416" s="822" t="s">
        <v>43</v>
      </c>
      <c r="J416" s="799">
        <v>4.2839299999999997E-2</v>
      </c>
      <c r="K416" s="799">
        <v>5.0054000000000004E-6</v>
      </c>
      <c r="L416" s="800" t="s">
        <v>2367</v>
      </c>
      <c r="M416" s="801">
        <v>607.6</v>
      </c>
      <c r="N416" s="801" t="s">
        <v>414</v>
      </c>
      <c r="O416" s="802">
        <v>6</v>
      </c>
      <c r="P416" s="803" t="s">
        <v>1801</v>
      </c>
      <c r="Q416" s="804">
        <v>7.7099999999999998E-4</v>
      </c>
      <c r="R416" s="805" t="s">
        <v>414</v>
      </c>
      <c r="S416" s="525" t="s">
        <v>1750</v>
      </c>
      <c r="T416" s="526" t="s">
        <v>43</v>
      </c>
    </row>
    <row r="417" spans="1:20" ht="15" customHeight="1">
      <c r="A417" s="791" t="s">
        <v>1068</v>
      </c>
      <c r="B417" s="792" t="s">
        <v>1069</v>
      </c>
      <c r="C417" s="793">
        <v>54.938000000000002</v>
      </c>
      <c r="D417" s="794" t="s">
        <v>1801</v>
      </c>
      <c r="E417" s="831" t="s">
        <v>1750</v>
      </c>
      <c r="F417" s="831" t="s">
        <v>1750</v>
      </c>
      <c r="G417" s="832" t="s">
        <v>43</v>
      </c>
      <c r="H417" s="797">
        <v>7.3</v>
      </c>
      <c r="I417" s="798" t="s">
        <v>1796</v>
      </c>
      <c r="J417" s="833" t="s">
        <v>1750</v>
      </c>
      <c r="K417" s="833" t="s">
        <v>1750</v>
      </c>
      <c r="L417" s="834" t="s">
        <v>43</v>
      </c>
      <c r="M417" s="835" t="s">
        <v>1750</v>
      </c>
      <c r="N417" s="836" t="s">
        <v>43</v>
      </c>
      <c r="O417" s="837" t="s">
        <v>1750</v>
      </c>
      <c r="P417" s="838" t="s">
        <v>43</v>
      </c>
      <c r="Q417" s="804">
        <v>1E-3</v>
      </c>
      <c r="R417" s="805" t="s">
        <v>1797</v>
      </c>
      <c r="S417" s="527">
        <v>1E-3</v>
      </c>
      <c r="T417" s="528" t="s">
        <v>1797</v>
      </c>
    </row>
    <row r="418" spans="1:20" ht="15" customHeight="1" thickBot="1">
      <c r="A418" s="806" t="s">
        <v>1823</v>
      </c>
      <c r="B418" s="807" t="s">
        <v>1069</v>
      </c>
      <c r="C418" s="808">
        <v>54.938000000000002</v>
      </c>
      <c r="D418" s="809" t="s">
        <v>1801</v>
      </c>
      <c r="E418" s="823" t="s">
        <v>1750</v>
      </c>
      <c r="F418" s="823" t="s">
        <v>1750</v>
      </c>
      <c r="G418" s="824" t="s">
        <v>43</v>
      </c>
      <c r="H418" s="812">
        <v>7.3</v>
      </c>
      <c r="I418" s="813" t="s">
        <v>1796</v>
      </c>
      <c r="J418" s="825" t="s">
        <v>1750</v>
      </c>
      <c r="K418" s="825" t="s">
        <v>1750</v>
      </c>
      <c r="L418" s="826" t="s">
        <v>43</v>
      </c>
      <c r="M418" s="827" t="s">
        <v>1750</v>
      </c>
      <c r="N418" s="828" t="s">
        <v>43</v>
      </c>
      <c r="O418" s="829" t="s">
        <v>1750</v>
      </c>
      <c r="P418" s="830" t="s">
        <v>43</v>
      </c>
      <c r="Q418" s="819">
        <v>1E-3</v>
      </c>
      <c r="R418" s="820" t="s">
        <v>1797</v>
      </c>
      <c r="S418" s="521">
        <v>1E-3</v>
      </c>
      <c r="T418" s="522" t="s">
        <v>1797</v>
      </c>
    </row>
    <row r="419" spans="1:20" ht="15" customHeight="1">
      <c r="A419" s="791" t="s">
        <v>1070</v>
      </c>
      <c r="B419" s="792" t="s">
        <v>1071</v>
      </c>
      <c r="C419" s="793">
        <v>269.32</v>
      </c>
      <c r="D419" s="794" t="s">
        <v>1801</v>
      </c>
      <c r="E419" s="795">
        <v>4.8650999999999997E-9</v>
      </c>
      <c r="F419" s="795">
        <v>1.19E-10</v>
      </c>
      <c r="G419" s="796" t="s">
        <v>1801</v>
      </c>
      <c r="H419" s="821" t="s">
        <v>1750</v>
      </c>
      <c r="I419" s="822" t="s">
        <v>43</v>
      </c>
      <c r="J419" s="799">
        <v>4.5559000000000002E-2</v>
      </c>
      <c r="K419" s="799">
        <v>5.3232000000000001E-6</v>
      </c>
      <c r="L419" s="800" t="s">
        <v>2367</v>
      </c>
      <c r="M419" s="801">
        <v>636.29999999999995</v>
      </c>
      <c r="N419" s="801" t="s">
        <v>414</v>
      </c>
      <c r="O419" s="802">
        <v>57</v>
      </c>
      <c r="P419" s="803" t="s">
        <v>1801</v>
      </c>
      <c r="Q419" s="804">
        <v>2.3699999999999999E-4</v>
      </c>
      <c r="R419" s="805" t="s">
        <v>414</v>
      </c>
      <c r="S419" s="527">
        <v>1E-3</v>
      </c>
      <c r="T419" s="528" t="s">
        <v>1797</v>
      </c>
    </row>
    <row r="420" spans="1:20" ht="15" customHeight="1">
      <c r="A420" s="791" t="s">
        <v>1072</v>
      </c>
      <c r="B420" s="792" t="s">
        <v>1073</v>
      </c>
      <c r="C420" s="793">
        <v>149.66999999999999</v>
      </c>
      <c r="D420" s="794" t="s">
        <v>1801</v>
      </c>
      <c r="E420" s="795">
        <v>1.762E-10</v>
      </c>
      <c r="F420" s="795">
        <v>4.31E-12</v>
      </c>
      <c r="G420" s="796" t="s">
        <v>1801</v>
      </c>
      <c r="H420" s="821" t="s">
        <v>1750</v>
      </c>
      <c r="I420" s="822" t="s">
        <v>43</v>
      </c>
      <c r="J420" s="799">
        <v>6.7400600000000005E-2</v>
      </c>
      <c r="K420" s="799">
        <v>7.8752000000000004E-6</v>
      </c>
      <c r="L420" s="800" t="s">
        <v>2367</v>
      </c>
      <c r="M420" s="801">
        <v>66.16</v>
      </c>
      <c r="N420" s="801" t="s">
        <v>414</v>
      </c>
      <c r="O420" s="802">
        <v>500000</v>
      </c>
      <c r="P420" s="803" t="s">
        <v>1801</v>
      </c>
      <c r="Q420" s="804">
        <v>3.0299999999999998E-6</v>
      </c>
      <c r="R420" s="805" t="s">
        <v>414</v>
      </c>
      <c r="S420" s="527">
        <v>5.9899999999999999E-5</v>
      </c>
      <c r="T420" s="528" t="s">
        <v>414</v>
      </c>
    </row>
    <row r="421" spans="1:20" ht="15" customHeight="1" thickBot="1">
      <c r="A421" s="806" t="s">
        <v>2415</v>
      </c>
      <c r="B421" s="807" t="s">
        <v>2416</v>
      </c>
      <c r="C421" s="808">
        <v>167.25</v>
      </c>
      <c r="D421" s="809" t="s">
        <v>414</v>
      </c>
      <c r="E421" s="810">
        <v>1.4839999999999999E-6</v>
      </c>
      <c r="F421" s="810">
        <v>3.6300000000000001E-8</v>
      </c>
      <c r="G421" s="811" t="s">
        <v>414</v>
      </c>
      <c r="H421" s="812">
        <v>1.42</v>
      </c>
      <c r="I421" s="813" t="s">
        <v>1796</v>
      </c>
      <c r="J421" s="814">
        <v>4.6799100000000003E-2</v>
      </c>
      <c r="K421" s="814">
        <v>8.6820999999999994E-6</v>
      </c>
      <c r="L421" s="815" t="s">
        <v>2367</v>
      </c>
      <c r="M421" s="816">
        <v>1360</v>
      </c>
      <c r="N421" s="816" t="s">
        <v>414</v>
      </c>
      <c r="O421" s="817">
        <v>120</v>
      </c>
      <c r="P421" s="818" t="s">
        <v>414</v>
      </c>
      <c r="Q421" s="819">
        <v>7.3200000000000001E-3</v>
      </c>
      <c r="R421" s="820" t="s">
        <v>414</v>
      </c>
      <c r="S421" s="521">
        <v>4.1500000000000004</v>
      </c>
      <c r="T421" s="522" t="s">
        <v>414</v>
      </c>
    </row>
    <row r="422" spans="1:20" ht="15" customHeight="1">
      <c r="A422" s="791" t="s">
        <v>1074</v>
      </c>
      <c r="B422" s="792" t="s">
        <v>43</v>
      </c>
      <c r="C422" s="841" t="s">
        <v>1750</v>
      </c>
      <c r="D422" s="842" t="s">
        <v>43</v>
      </c>
      <c r="E422" s="831" t="s">
        <v>1750</v>
      </c>
      <c r="F422" s="831" t="s">
        <v>1750</v>
      </c>
      <c r="G422" s="832" t="s">
        <v>43</v>
      </c>
      <c r="H422" s="821" t="s">
        <v>1750</v>
      </c>
      <c r="I422" s="822" t="s">
        <v>43</v>
      </c>
      <c r="J422" s="833" t="s">
        <v>1750</v>
      </c>
      <c r="K422" s="833" t="s">
        <v>1750</v>
      </c>
      <c r="L422" s="834" t="s">
        <v>43</v>
      </c>
      <c r="M422" s="835" t="s">
        <v>1750</v>
      </c>
      <c r="N422" s="836" t="s">
        <v>43</v>
      </c>
      <c r="O422" s="837" t="s">
        <v>1750</v>
      </c>
      <c r="P422" s="838" t="s">
        <v>43</v>
      </c>
      <c r="Q422" s="843" t="s">
        <v>1750</v>
      </c>
      <c r="R422" s="844" t="s">
        <v>43</v>
      </c>
      <c r="S422" s="527">
        <v>0.16500000000000001</v>
      </c>
      <c r="T422" s="528" t="s">
        <v>414</v>
      </c>
    </row>
    <row r="423" spans="1:20" ht="15" customHeight="1">
      <c r="A423" s="791" t="s">
        <v>1824</v>
      </c>
      <c r="B423" s="792" t="s">
        <v>1075</v>
      </c>
      <c r="C423" s="793">
        <v>271.5</v>
      </c>
      <c r="D423" s="794" t="s">
        <v>1801</v>
      </c>
      <c r="E423" s="831" t="s">
        <v>1750</v>
      </c>
      <c r="F423" s="831" t="s">
        <v>1750</v>
      </c>
      <c r="G423" s="832" t="s">
        <v>43</v>
      </c>
      <c r="H423" s="797">
        <v>5.6</v>
      </c>
      <c r="I423" s="798" t="s">
        <v>1796</v>
      </c>
      <c r="J423" s="833" t="s">
        <v>1750</v>
      </c>
      <c r="K423" s="833" t="s">
        <v>1750</v>
      </c>
      <c r="L423" s="834" t="s">
        <v>43</v>
      </c>
      <c r="M423" s="835" t="s">
        <v>1750</v>
      </c>
      <c r="N423" s="836" t="s">
        <v>43</v>
      </c>
      <c r="O423" s="802">
        <v>69000</v>
      </c>
      <c r="P423" s="803" t="s">
        <v>1801</v>
      </c>
      <c r="Q423" s="804">
        <v>1E-3</v>
      </c>
      <c r="R423" s="805" t="s">
        <v>1797</v>
      </c>
      <c r="S423" s="527">
        <v>5.8E-4</v>
      </c>
      <c r="T423" s="528" t="s">
        <v>414</v>
      </c>
    </row>
    <row r="424" spans="1:20" ht="15" customHeight="1" thickBot="1">
      <c r="A424" s="806" t="s">
        <v>1076</v>
      </c>
      <c r="B424" s="807" t="s">
        <v>1077</v>
      </c>
      <c r="C424" s="808">
        <v>200.59</v>
      </c>
      <c r="D424" s="809" t="s">
        <v>1801</v>
      </c>
      <c r="E424" s="810">
        <v>0.35199999999999998</v>
      </c>
      <c r="F424" s="810">
        <v>8.6219999999999995E-3</v>
      </c>
      <c r="G424" s="811" t="s">
        <v>2369</v>
      </c>
      <c r="H424" s="812">
        <v>13.5336</v>
      </c>
      <c r="I424" s="813" t="s">
        <v>1796</v>
      </c>
      <c r="J424" s="814">
        <v>3.0700000000000002E-2</v>
      </c>
      <c r="K424" s="814">
        <v>6.2999999999999998E-6</v>
      </c>
      <c r="L424" s="815" t="s">
        <v>2367</v>
      </c>
      <c r="M424" s="827" t="s">
        <v>1750</v>
      </c>
      <c r="N424" s="828" t="s">
        <v>43</v>
      </c>
      <c r="O424" s="817">
        <v>0.06</v>
      </c>
      <c r="P424" s="818" t="s">
        <v>1801</v>
      </c>
      <c r="Q424" s="819">
        <v>1E-3</v>
      </c>
      <c r="R424" s="820" t="s">
        <v>1797</v>
      </c>
      <c r="S424" s="521">
        <v>1.8600000000000001E-3</v>
      </c>
      <c r="T424" s="522" t="s">
        <v>414</v>
      </c>
    </row>
    <row r="425" spans="1:20" ht="15" customHeight="1">
      <c r="A425" s="791" t="s">
        <v>1079</v>
      </c>
      <c r="B425" s="792" t="s">
        <v>1080</v>
      </c>
      <c r="C425" s="793">
        <v>216.6326</v>
      </c>
      <c r="D425" s="794" t="s">
        <v>2417</v>
      </c>
      <c r="E425" s="831" t="s">
        <v>1750</v>
      </c>
      <c r="F425" s="831" t="s">
        <v>1750</v>
      </c>
      <c r="G425" s="832" t="s">
        <v>43</v>
      </c>
      <c r="H425" s="821" t="s">
        <v>1750</v>
      </c>
      <c r="I425" s="822" t="s">
        <v>43</v>
      </c>
      <c r="J425" s="833" t="s">
        <v>1750</v>
      </c>
      <c r="K425" s="833" t="s">
        <v>1750</v>
      </c>
      <c r="L425" s="834" t="s">
        <v>43</v>
      </c>
      <c r="M425" s="835" t="s">
        <v>1750</v>
      </c>
      <c r="N425" s="836" t="s">
        <v>43</v>
      </c>
      <c r="O425" s="837" t="s">
        <v>1750</v>
      </c>
      <c r="P425" s="838" t="s">
        <v>43</v>
      </c>
      <c r="Q425" s="804">
        <v>1E-3</v>
      </c>
      <c r="R425" s="805" t="s">
        <v>1797</v>
      </c>
      <c r="S425" s="527">
        <v>7.4400000000000006E-5</v>
      </c>
      <c r="T425" s="528" t="s">
        <v>414</v>
      </c>
    </row>
    <row r="426" spans="1:20" ht="15" customHeight="1">
      <c r="A426" s="791" t="s">
        <v>1081</v>
      </c>
      <c r="B426" s="792" t="s">
        <v>1082</v>
      </c>
      <c r="C426" s="793">
        <v>336.74</v>
      </c>
      <c r="D426" s="794" t="s">
        <v>1801</v>
      </c>
      <c r="E426" s="795">
        <v>2.3140000000000001E-8</v>
      </c>
      <c r="F426" s="795">
        <v>5.6600000000000001E-10</v>
      </c>
      <c r="G426" s="796" t="s">
        <v>414</v>
      </c>
      <c r="H426" s="821" t="s">
        <v>1750</v>
      </c>
      <c r="I426" s="822" t="s">
        <v>43</v>
      </c>
      <c r="J426" s="799">
        <v>3.9254600000000001E-2</v>
      </c>
      <c r="K426" s="799">
        <v>4.5866000000000003E-6</v>
      </c>
      <c r="L426" s="800" t="s">
        <v>2367</v>
      </c>
      <c r="M426" s="801">
        <v>56.44</v>
      </c>
      <c r="N426" s="801" t="s">
        <v>414</v>
      </c>
      <c r="O426" s="802">
        <v>4370</v>
      </c>
      <c r="P426" s="803" t="s">
        <v>1801</v>
      </c>
      <c r="Q426" s="804">
        <v>5.9899999999999999E-5</v>
      </c>
      <c r="R426" s="805" t="s">
        <v>414</v>
      </c>
      <c r="S426" s="527">
        <v>3.19E-4</v>
      </c>
      <c r="T426" s="528" t="s">
        <v>414</v>
      </c>
    </row>
    <row r="427" spans="1:20" ht="15" customHeight="1" thickBot="1">
      <c r="A427" s="806" t="s">
        <v>1083</v>
      </c>
      <c r="B427" s="807" t="s">
        <v>1084</v>
      </c>
      <c r="C427" s="808">
        <v>298.51</v>
      </c>
      <c r="D427" s="809" t="s">
        <v>1801</v>
      </c>
      <c r="E427" s="810">
        <v>9.2800000000000001E-4</v>
      </c>
      <c r="F427" s="810">
        <v>2.27E-5</v>
      </c>
      <c r="G427" s="811" t="s">
        <v>1801</v>
      </c>
      <c r="H427" s="812">
        <v>1.02</v>
      </c>
      <c r="I427" s="813" t="s">
        <v>1796</v>
      </c>
      <c r="J427" s="814">
        <v>2.0400000000000001E-2</v>
      </c>
      <c r="K427" s="814">
        <v>5.0286999999999998E-6</v>
      </c>
      <c r="L427" s="815" t="s">
        <v>2367</v>
      </c>
      <c r="M427" s="816">
        <v>48970</v>
      </c>
      <c r="N427" s="816" t="s">
        <v>414</v>
      </c>
      <c r="O427" s="817">
        <v>3.5000000000000001E-3</v>
      </c>
      <c r="P427" s="818" t="s">
        <v>1801</v>
      </c>
      <c r="Q427" s="819">
        <v>4.1500000000000004</v>
      </c>
      <c r="R427" s="820" t="s">
        <v>414</v>
      </c>
      <c r="S427" s="521">
        <v>9.1299999999999997E-4</v>
      </c>
      <c r="T427" s="522" t="s">
        <v>414</v>
      </c>
    </row>
    <row r="428" spans="1:20" ht="15" customHeight="1">
      <c r="A428" s="791" t="s">
        <v>1085</v>
      </c>
      <c r="B428" s="792" t="s">
        <v>1086</v>
      </c>
      <c r="C428" s="793">
        <v>314.51</v>
      </c>
      <c r="D428" s="794" t="s">
        <v>1801</v>
      </c>
      <c r="E428" s="795">
        <v>1.2E-5</v>
      </c>
      <c r="F428" s="795">
        <v>2.9400000000000001E-7</v>
      </c>
      <c r="G428" s="796" t="s">
        <v>1801</v>
      </c>
      <c r="H428" s="797">
        <v>1.0569999999999999</v>
      </c>
      <c r="I428" s="798" t="s">
        <v>1796</v>
      </c>
      <c r="J428" s="799">
        <v>2.0189700000000001E-2</v>
      </c>
      <c r="K428" s="799">
        <v>4.9788999999999999E-6</v>
      </c>
      <c r="L428" s="800" t="s">
        <v>2367</v>
      </c>
      <c r="M428" s="801">
        <v>2350</v>
      </c>
      <c r="N428" s="801" t="s">
        <v>414</v>
      </c>
      <c r="O428" s="802">
        <v>2.2999999999999998</v>
      </c>
      <c r="P428" s="803" t="s">
        <v>1801</v>
      </c>
      <c r="Q428" s="804">
        <v>0.16500000000000001</v>
      </c>
      <c r="R428" s="805" t="s">
        <v>414</v>
      </c>
      <c r="S428" s="527">
        <v>4.8200000000000001E-4</v>
      </c>
      <c r="T428" s="528" t="s">
        <v>414</v>
      </c>
    </row>
    <row r="429" spans="1:20" ht="15" customHeight="1">
      <c r="A429" s="791" t="s">
        <v>1087</v>
      </c>
      <c r="B429" s="792" t="s">
        <v>1088</v>
      </c>
      <c r="C429" s="793">
        <v>279.33999999999997</v>
      </c>
      <c r="D429" s="794" t="s">
        <v>1801</v>
      </c>
      <c r="E429" s="795">
        <v>1.2060999999999999E-7</v>
      </c>
      <c r="F429" s="795">
        <v>2.9499999999999999E-9</v>
      </c>
      <c r="G429" s="796" t="s">
        <v>414</v>
      </c>
      <c r="H429" s="821" t="s">
        <v>1750</v>
      </c>
      <c r="I429" s="822" t="s">
        <v>43</v>
      </c>
      <c r="J429" s="799">
        <v>4.44629E-2</v>
      </c>
      <c r="K429" s="799">
        <v>5.1950999999999996E-6</v>
      </c>
      <c r="L429" s="800" t="s">
        <v>2367</v>
      </c>
      <c r="M429" s="801">
        <v>38.57</v>
      </c>
      <c r="N429" s="801" t="s">
        <v>414</v>
      </c>
      <c r="O429" s="802">
        <v>8400</v>
      </c>
      <c r="P429" s="803" t="s">
        <v>1801</v>
      </c>
      <c r="Q429" s="804">
        <v>5.8E-4</v>
      </c>
      <c r="R429" s="805" t="s">
        <v>414</v>
      </c>
      <c r="S429" s="527">
        <v>1.6900000000000001E-3</v>
      </c>
      <c r="T429" s="528" t="s">
        <v>414</v>
      </c>
    </row>
    <row r="430" spans="1:20" ht="15" customHeight="1" thickBot="1">
      <c r="A430" s="806" t="s">
        <v>104</v>
      </c>
      <c r="B430" s="807" t="s">
        <v>1089</v>
      </c>
      <c r="C430" s="808">
        <v>67.090999999999994</v>
      </c>
      <c r="D430" s="809" t="s">
        <v>1801</v>
      </c>
      <c r="E430" s="810">
        <v>1.00981E-2</v>
      </c>
      <c r="F430" s="810">
        <v>2.4699999999999999E-4</v>
      </c>
      <c r="G430" s="811" t="s">
        <v>414</v>
      </c>
      <c r="H430" s="812">
        <v>0.80010000000000003</v>
      </c>
      <c r="I430" s="813" t="s">
        <v>1796</v>
      </c>
      <c r="J430" s="814">
        <v>9.6429899999999999E-2</v>
      </c>
      <c r="K430" s="814">
        <v>1.06E-5</v>
      </c>
      <c r="L430" s="815" t="s">
        <v>2367</v>
      </c>
      <c r="M430" s="816">
        <v>13.05</v>
      </c>
      <c r="N430" s="816" t="s">
        <v>414</v>
      </c>
      <c r="O430" s="817">
        <v>25400</v>
      </c>
      <c r="P430" s="818" t="s">
        <v>1801</v>
      </c>
      <c r="Q430" s="819">
        <v>1.8600000000000001E-3</v>
      </c>
      <c r="R430" s="820" t="s">
        <v>414</v>
      </c>
      <c r="S430" s="521">
        <v>4.2799999999999998E-2</v>
      </c>
      <c r="T430" s="522" t="s">
        <v>414</v>
      </c>
    </row>
    <row r="431" spans="1:20" ht="15" customHeight="1">
      <c r="A431" s="791" t="s">
        <v>1090</v>
      </c>
      <c r="B431" s="792" t="s">
        <v>1091</v>
      </c>
      <c r="C431" s="793">
        <v>141.13</v>
      </c>
      <c r="D431" s="794" t="s">
        <v>1801</v>
      </c>
      <c r="E431" s="795">
        <v>3.5495000000000001E-8</v>
      </c>
      <c r="F431" s="795">
        <v>8.6819999999999996E-10</v>
      </c>
      <c r="G431" s="796" t="s">
        <v>1801</v>
      </c>
      <c r="H431" s="797">
        <v>1.31</v>
      </c>
      <c r="I431" s="798" t="s">
        <v>1796</v>
      </c>
      <c r="J431" s="799">
        <v>5.9623299999999997E-2</v>
      </c>
      <c r="K431" s="799">
        <v>9.1593000000000005E-6</v>
      </c>
      <c r="L431" s="800" t="s">
        <v>2367</v>
      </c>
      <c r="M431" s="801">
        <v>5.407</v>
      </c>
      <c r="N431" s="801" t="s">
        <v>414</v>
      </c>
      <c r="O431" s="802">
        <v>1000000</v>
      </c>
      <c r="P431" s="803" t="s">
        <v>1801</v>
      </c>
      <c r="Q431" s="804">
        <v>7.4400000000000006E-5</v>
      </c>
      <c r="R431" s="805" t="s">
        <v>414</v>
      </c>
      <c r="S431" s="527">
        <v>3.9599999999999998E-4</v>
      </c>
      <c r="T431" s="528" t="s">
        <v>414</v>
      </c>
    </row>
    <row r="432" spans="1:20" ht="15" customHeight="1">
      <c r="A432" s="791" t="s">
        <v>1092</v>
      </c>
      <c r="B432" s="792" t="s">
        <v>1093</v>
      </c>
      <c r="C432" s="793">
        <v>32.042000000000002</v>
      </c>
      <c r="D432" s="794" t="s">
        <v>1801</v>
      </c>
      <c r="E432" s="795">
        <v>1.8599999999999999E-4</v>
      </c>
      <c r="F432" s="795">
        <v>4.5499999999999996E-6</v>
      </c>
      <c r="G432" s="796" t="s">
        <v>1801</v>
      </c>
      <c r="H432" s="797">
        <v>0.79139999999999999</v>
      </c>
      <c r="I432" s="798" t="s">
        <v>1796</v>
      </c>
      <c r="J432" s="799">
        <v>0.1582741</v>
      </c>
      <c r="K432" s="799">
        <v>1.6500000000000001E-5</v>
      </c>
      <c r="L432" s="800" t="s">
        <v>2367</v>
      </c>
      <c r="M432" s="801">
        <v>1</v>
      </c>
      <c r="N432" s="801" t="s">
        <v>414</v>
      </c>
      <c r="O432" s="802">
        <v>1000000</v>
      </c>
      <c r="P432" s="803" t="s">
        <v>1801</v>
      </c>
      <c r="Q432" s="804">
        <v>3.19E-4</v>
      </c>
      <c r="R432" s="805" t="s">
        <v>414</v>
      </c>
      <c r="S432" s="527">
        <v>1.8000000000000001E-4</v>
      </c>
      <c r="T432" s="528" t="s">
        <v>414</v>
      </c>
    </row>
    <row r="433" spans="1:20" ht="15" customHeight="1" thickBot="1">
      <c r="A433" s="806" t="s">
        <v>1094</v>
      </c>
      <c r="B433" s="807" t="s">
        <v>1095</v>
      </c>
      <c r="C433" s="808">
        <v>302.33</v>
      </c>
      <c r="D433" s="809" t="s">
        <v>1801</v>
      </c>
      <c r="E433" s="810">
        <v>2.9312999999999998E-7</v>
      </c>
      <c r="F433" s="810">
        <v>7.1699999999999998E-9</v>
      </c>
      <c r="G433" s="811" t="s">
        <v>414</v>
      </c>
      <c r="H433" s="839" t="s">
        <v>1750</v>
      </c>
      <c r="I433" s="840" t="s">
        <v>43</v>
      </c>
      <c r="J433" s="814">
        <v>4.2179300000000003E-2</v>
      </c>
      <c r="K433" s="814">
        <v>4.9282999999999999E-6</v>
      </c>
      <c r="L433" s="815" t="s">
        <v>2367</v>
      </c>
      <c r="M433" s="816">
        <v>21.24</v>
      </c>
      <c r="N433" s="816" t="s">
        <v>414</v>
      </c>
      <c r="O433" s="817">
        <v>187</v>
      </c>
      <c r="P433" s="818" t="s">
        <v>1801</v>
      </c>
      <c r="Q433" s="819">
        <v>9.1299999999999997E-4</v>
      </c>
      <c r="R433" s="820" t="s">
        <v>414</v>
      </c>
      <c r="S433" s="521">
        <v>7.9199999999999995E-4</v>
      </c>
      <c r="T433" s="522" t="s">
        <v>414</v>
      </c>
    </row>
    <row r="434" spans="1:20" ht="15" customHeight="1">
      <c r="A434" s="791" t="s">
        <v>1096</v>
      </c>
      <c r="B434" s="792" t="s">
        <v>1097</v>
      </c>
      <c r="C434" s="793">
        <v>162.21</v>
      </c>
      <c r="D434" s="794" t="s">
        <v>1801</v>
      </c>
      <c r="E434" s="795">
        <v>8.0540000000000003E-10</v>
      </c>
      <c r="F434" s="795">
        <v>1.97E-11</v>
      </c>
      <c r="G434" s="796" t="s">
        <v>414</v>
      </c>
      <c r="H434" s="797">
        <v>1.2946</v>
      </c>
      <c r="I434" s="798" t="s">
        <v>1796</v>
      </c>
      <c r="J434" s="799">
        <v>4.759E-2</v>
      </c>
      <c r="K434" s="799">
        <v>8.3658000000000004E-6</v>
      </c>
      <c r="L434" s="800" t="s">
        <v>2367</v>
      </c>
      <c r="M434" s="801">
        <v>10</v>
      </c>
      <c r="N434" s="801" t="s">
        <v>414</v>
      </c>
      <c r="O434" s="802">
        <v>58000</v>
      </c>
      <c r="P434" s="803" t="s">
        <v>1801</v>
      </c>
      <c r="Q434" s="804">
        <v>4.8200000000000001E-4</v>
      </c>
      <c r="R434" s="805" t="s">
        <v>414</v>
      </c>
      <c r="S434" s="527">
        <v>1.75E-3</v>
      </c>
      <c r="T434" s="528" t="s">
        <v>414</v>
      </c>
    </row>
    <row r="435" spans="1:20" ht="15" customHeight="1">
      <c r="A435" s="791" t="s">
        <v>1098</v>
      </c>
      <c r="B435" s="792" t="s">
        <v>1099</v>
      </c>
      <c r="C435" s="793">
        <v>168.15</v>
      </c>
      <c r="D435" s="794" t="s">
        <v>1801</v>
      </c>
      <c r="E435" s="795">
        <v>5.1104E-7</v>
      </c>
      <c r="F435" s="795">
        <v>1.2499999999999999E-8</v>
      </c>
      <c r="G435" s="796" t="s">
        <v>1801</v>
      </c>
      <c r="H435" s="797">
        <v>1.2068000000000001</v>
      </c>
      <c r="I435" s="798" t="s">
        <v>1796</v>
      </c>
      <c r="J435" s="799">
        <v>4.3046300000000003E-2</v>
      </c>
      <c r="K435" s="799">
        <v>7.8493999999999998E-6</v>
      </c>
      <c r="L435" s="800" t="s">
        <v>2367</v>
      </c>
      <c r="M435" s="801">
        <v>71.31</v>
      </c>
      <c r="N435" s="801" t="s">
        <v>414</v>
      </c>
      <c r="O435" s="802">
        <v>115</v>
      </c>
      <c r="P435" s="803" t="s">
        <v>1801</v>
      </c>
      <c r="Q435" s="804">
        <v>1.6900000000000001E-3</v>
      </c>
      <c r="R435" s="805" t="s">
        <v>414</v>
      </c>
      <c r="S435" s="527">
        <v>9.6199999999999996E-4</v>
      </c>
      <c r="T435" s="528" t="s">
        <v>414</v>
      </c>
    </row>
    <row r="436" spans="1:20" ht="15" customHeight="1" thickBot="1">
      <c r="A436" s="806" t="s">
        <v>51</v>
      </c>
      <c r="B436" s="807" t="s">
        <v>1100</v>
      </c>
      <c r="C436" s="808">
        <v>345.66</v>
      </c>
      <c r="D436" s="809" t="s">
        <v>1801</v>
      </c>
      <c r="E436" s="810">
        <v>8.2993000000000003E-6</v>
      </c>
      <c r="F436" s="810">
        <v>2.03E-7</v>
      </c>
      <c r="G436" s="811" t="s">
        <v>1801</v>
      </c>
      <c r="H436" s="812">
        <v>1.41</v>
      </c>
      <c r="I436" s="813" t="s">
        <v>1796</v>
      </c>
      <c r="J436" s="814">
        <v>2.2084900000000001E-2</v>
      </c>
      <c r="K436" s="814">
        <v>5.5925999999999996E-6</v>
      </c>
      <c r="L436" s="815" t="s">
        <v>2367</v>
      </c>
      <c r="M436" s="816">
        <v>26890</v>
      </c>
      <c r="N436" s="816" t="s">
        <v>414</v>
      </c>
      <c r="O436" s="817">
        <v>0.1</v>
      </c>
      <c r="P436" s="818" t="s">
        <v>1801</v>
      </c>
      <c r="Q436" s="819">
        <v>4.2799999999999998E-2</v>
      </c>
      <c r="R436" s="820" t="s">
        <v>414</v>
      </c>
      <c r="S436" s="521">
        <v>1.73E-4</v>
      </c>
      <c r="T436" s="522" t="s">
        <v>414</v>
      </c>
    </row>
    <row r="437" spans="1:20" ht="15" customHeight="1">
      <c r="A437" s="791" t="s">
        <v>1101</v>
      </c>
      <c r="B437" s="792" t="s">
        <v>1102</v>
      </c>
      <c r="C437" s="793">
        <v>118.13</v>
      </c>
      <c r="D437" s="794" t="s">
        <v>1801</v>
      </c>
      <c r="E437" s="795">
        <v>1.27E-5</v>
      </c>
      <c r="F437" s="795">
        <v>3.1100000000000002E-7</v>
      </c>
      <c r="G437" s="796" t="s">
        <v>414</v>
      </c>
      <c r="H437" s="797">
        <v>1.0074000000000001</v>
      </c>
      <c r="I437" s="798" t="s">
        <v>1796</v>
      </c>
      <c r="J437" s="799">
        <v>6.5834699999999996E-2</v>
      </c>
      <c r="K437" s="799">
        <v>8.7051999999999993E-6</v>
      </c>
      <c r="L437" s="800" t="s">
        <v>2367</v>
      </c>
      <c r="M437" s="801">
        <v>2.492</v>
      </c>
      <c r="N437" s="801" t="s">
        <v>414</v>
      </c>
      <c r="O437" s="802">
        <v>1000000</v>
      </c>
      <c r="P437" s="803" t="s">
        <v>1801</v>
      </c>
      <c r="Q437" s="804">
        <v>3.9599999999999998E-4</v>
      </c>
      <c r="R437" s="805" t="s">
        <v>414</v>
      </c>
      <c r="S437" s="527">
        <v>3.1900000000000001E-3</v>
      </c>
      <c r="T437" s="528" t="s">
        <v>414</v>
      </c>
    </row>
    <row r="438" spans="1:20" ht="15" customHeight="1">
      <c r="A438" s="791" t="s">
        <v>1103</v>
      </c>
      <c r="B438" s="792" t="s">
        <v>1104</v>
      </c>
      <c r="C438" s="793">
        <v>76.096000000000004</v>
      </c>
      <c r="D438" s="794" t="s">
        <v>1801</v>
      </c>
      <c r="E438" s="795">
        <v>1.3499999999999999E-5</v>
      </c>
      <c r="F438" s="795">
        <v>3.3000000000000002E-7</v>
      </c>
      <c r="G438" s="796" t="s">
        <v>1801</v>
      </c>
      <c r="H438" s="797">
        <v>0.9647</v>
      </c>
      <c r="I438" s="798" t="s">
        <v>1796</v>
      </c>
      <c r="J438" s="799">
        <v>9.5155699999999996E-2</v>
      </c>
      <c r="K438" s="799">
        <v>1.1E-5</v>
      </c>
      <c r="L438" s="800" t="s">
        <v>2367</v>
      </c>
      <c r="M438" s="801">
        <v>1</v>
      </c>
      <c r="N438" s="801" t="s">
        <v>414</v>
      </c>
      <c r="O438" s="802">
        <v>1000000</v>
      </c>
      <c r="P438" s="803" t="s">
        <v>1801</v>
      </c>
      <c r="Q438" s="804">
        <v>1.8000000000000001E-4</v>
      </c>
      <c r="R438" s="805" t="s">
        <v>414</v>
      </c>
      <c r="S438" s="527">
        <v>2.5000000000000001E-3</v>
      </c>
      <c r="T438" s="528" t="s">
        <v>414</v>
      </c>
    </row>
    <row r="439" spans="1:20" ht="15" customHeight="1" thickBot="1">
      <c r="A439" s="806" t="s">
        <v>1105</v>
      </c>
      <c r="B439" s="807" t="s">
        <v>1106</v>
      </c>
      <c r="C439" s="808">
        <v>74.08</v>
      </c>
      <c r="D439" s="809" t="s">
        <v>1801</v>
      </c>
      <c r="E439" s="810">
        <v>4.7016000000000002E-3</v>
      </c>
      <c r="F439" s="810">
        <v>1.15E-4</v>
      </c>
      <c r="G439" s="811" t="s">
        <v>1801</v>
      </c>
      <c r="H439" s="812">
        <v>0.93420000000000003</v>
      </c>
      <c r="I439" s="813" t="s">
        <v>1796</v>
      </c>
      <c r="J439" s="814">
        <v>9.5776299999999995E-2</v>
      </c>
      <c r="K439" s="814">
        <v>1.1E-5</v>
      </c>
      <c r="L439" s="815" t="s">
        <v>2367</v>
      </c>
      <c r="M439" s="816">
        <v>3.0640000000000001</v>
      </c>
      <c r="N439" s="816" t="s">
        <v>414</v>
      </c>
      <c r="O439" s="817">
        <v>243000</v>
      </c>
      <c r="P439" s="818" t="s">
        <v>1801</v>
      </c>
      <c r="Q439" s="819">
        <v>7.9199999999999995E-4</v>
      </c>
      <c r="R439" s="820" t="s">
        <v>414</v>
      </c>
      <c r="S439" s="521">
        <v>3.5500000000000002E-3</v>
      </c>
      <c r="T439" s="522" t="s">
        <v>414</v>
      </c>
    </row>
    <row r="440" spans="1:20" ht="15" customHeight="1">
      <c r="A440" s="791" t="s">
        <v>1107</v>
      </c>
      <c r="B440" s="792" t="s">
        <v>1108</v>
      </c>
      <c r="C440" s="793">
        <v>86.090999999999994</v>
      </c>
      <c r="D440" s="794" t="s">
        <v>1801</v>
      </c>
      <c r="E440" s="795">
        <v>8.1356999999999992E-3</v>
      </c>
      <c r="F440" s="795">
        <v>1.9900000000000001E-4</v>
      </c>
      <c r="G440" s="796" t="s">
        <v>414</v>
      </c>
      <c r="H440" s="797">
        <v>0.95350000000000001</v>
      </c>
      <c r="I440" s="798" t="s">
        <v>1796</v>
      </c>
      <c r="J440" s="799">
        <v>8.5997199999999996E-2</v>
      </c>
      <c r="K440" s="799">
        <v>1.0200000000000001E-5</v>
      </c>
      <c r="L440" s="800" t="s">
        <v>2367</v>
      </c>
      <c r="M440" s="801">
        <v>5.8440000000000003</v>
      </c>
      <c r="N440" s="801" t="s">
        <v>414</v>
      </c>
      <c r="O440" s="802">
        <v>49400</v>
      </c>
      <c r="P440" s="803" t="s">
        <v>1801</v>
      </c>
      <c r="Q440" s="804">
        <v>1.75E-3</v>
      </c>
      <c r="R440" s="805" t="s">
        <v>414</v>
      </c>
      <c r="S440" s="527">
        <v>4.1599999999999996E-3</v>
      </c>
      <c r="T440" s="528" t="s">
        <v>414</v>
      </c>
    </row>
    <row r="441" spans="1:20" ht="15" customHeight="1">
      <c r="A441" s="791" t="s">
        <v>1109</v>
      </c>
      <c r="B441" s="792" t="s">
        <v>1110</v>
      </c>
      <c r="C441" s="793">
        <v>72.108000000000004</v>
      </c>
      <c r="D441" s="794" t="s">
        <v>1801</v>
      </c>
      <c r="E441" s="795">
        <v>2.3262000000000001E-3</v>
      </c>
      <c r="F441" s="795">
        <v>5.6900000000000001E-5</v>
      </c>
      <c r="G441" s="796" t="s">
        <v>1801</v>
      </c>
      <c r="H441" s="797">
        <v>0.79990000000000006</v>
      </c>
      <c r="I441" s="798" t="s">
        <v>1796</v>
      </c>
      <c r="J441" s="799">
        <v>9.1446200000000005E-2</v>
      </c>
      <c r="K441" s="799">
        <v>1.0200000000000001E-5</v>
      </c>
      <c r="L441" s="800" t="s">
        <v>2367</v>
      </c>
      <c r="M441" s="801">
        <v>4.51</v>
      </c>
      <c r="N441" s="801" t="s">
        <v>414</v>
      </c>
      <c r="O441" s="802">
        <v>223000</v>
      </c>
      <c r="P441" s="803" t="s">
        <v>1801</v>
      </c>
      <c r="Q441" s="804">
        <v>9.6199999999999996E-4</v>
      </c>
      <c r="R441" s="805" t="s">
        <v>414</v>
      </c>
      <c r="S441" s="527">
        <v>9.8400000000000007E-5</v>
      </c>
      <c r="T441" s="528" t="s">
        <v>414</v>
      </c>
    </row>
    <row r="442" spans="1:20" ht="15" customHeight="1" thickBot="1">
      <c r="A442" s="806" t="s">
        <v>1825</v>
      </c>
      <c r="B442" s="807" t="s">
        <v>1826</v>
      </c>
      <c r="C442" s="808">
        <v>46.072000000000003</v>
      </c>
      <c r="D442" s="809" t="s">
        <v>1801</v>
      </c>
      <c r="E442" s="810">
        <v>1.239E-4</v>
      </c>
      <c r="F442" s="810">
        <v>3.0309999999999999E-6</v>
      </c>
      <c r="G442" s="811" t="s">
        <v>1801</v>
      </c>
      <c r="H442" s="812">
        <v>0.86599999999999999</v>
      </c>
      <c r="I442" s="813" t="s">
        <v>1798</v>
      </c>
      <c r="J442" s="814">
        <v>0.12908939999999999</v>
      </c>
      <c r="K442" s="814">
        <v>1.4E-5</v>
      </c>
      <c r="L442" s="815" t="s">
        <v>2367</v>
      </c>
      <c r="M442" s="816">
        <v>13.31</v>
      </c>
      <c r="N442" s="816" t="s">
        <v>414</v>
      </c>
      <c r="O442" s="817">
        <v>1000000</v>
      </c>
      <c r="P442" s="818" t="s">
        <v>1801</v>
      </c>
      <c r="Q442" s="819">
        <v>1.73E-4</v>
      </c>
      <c r="R442" s="820" t="s">
        <v>414</v>
      </c>
      <c r="S442" s="521">
        <v>6.6000000000000003E-2</v>
      </c>
      <c r="T442" s="522" t="s">
        <v>414</v>
      </c>
    </row>
    <row r="443" spans="1:20" ht="15" customHeight="1">
      <c r="A443" s="791" t="s">
        <v>1111</v>
      </c>
      <c r="B443" s="792" t="s">
        <v>1112</v>
      </c>
      <c r="C443" s="793">
        <v>100.16</v>
      </c>
      <c r="D443" s="794" t="s">
        <v>1801</v>
      </c>
      <c r="E443" s="795">
        <v>5.6419E-3</v>
      </c>
      <c r="F443" s="795">
        <v>1.3799999999999999E-4</v>
      </c>
      <c r="G443" s="796" t="s">
        <v>414</v>
      </c>
      <c r="H443" s="797">
        <v>0.79649999999999999</v>
      </c>
      <c r="I443" s="798" t="s">
        <v>1796</v>
      </c>
      <c r="J443" s="799">
        <v>6.97797E-2</v>
      </c>
      <c r="K443" s="799">
        <v>8.3476999999999997E-6</v>
      </c>
      <c r="L443" s="800" t="s">
        <v>2367</v>
      </c>
      <c r="M443" s="801">
        <v>12.6</v>
      </c>
      <c r="N443" s="801" t="s">
        <v>414</v>
      </c>
      <c r="O443" s="802">
        <v>19000</v>
      </c>
      <c r="P443" s="803" t="s">
        <v>1801</v>
      </c>
      <c r="Q443" s="804">
        <v>3.1900000000000001E-3</v>
      </c>
      <c r="R443" s="805" t="s">
        <v>414</v>
      </c>
      <c r="S443" s="527">
        <v>1.3799999999999999E-4</v>
      </c>
      <c r="T443" s="528" t="s">
        <v>414</v>
      </c>
    </row>
    <row r="444" spans="1:20" ht="15" customHeight="1">
      <c r="A444" s="791" t="s">
        <v>1113</v>
      </c>
      <c r="B444" s="792" t="s">
        <v>1114</v>
      </c>
      <c r="C444" s="793">
        <v>57.052</v>
      </c>
      <c r="D444" s="794" t="s">
        <v>1801</v>
      </c>
      <c r="E444" s="795">
        <v>3.7857700000000001E-2</v>
      </c>
      <c r="F444" s="795">
        <v>9.2599999999999996E-4</v>
      </c>
      <c r="G444" s="796" t="s">
        <v>1801</v>
      </c>
      <c r="H444" s="797">
        <v>0.95879999999999999</v>
      </c>
      <c r="I444" s="798" t="s">
        <v>1796</v>
      </c>
      <c r="J444" s="799">
        <v>0.1165494</v>
      </c>
      <c r="K444" s="799">
        <v>1.31E-5</v>
      </c>
      <c r="L444" s="800" t="s">
        <v>2367</v>
      </c>
      <c r="M444" s="801">
        <v>39.6</v>
      </c>
      <c r="N444" s="801" t="s">
        <v>414</v>
      </c>
      <c r="O444" s="802">
        <v>29200</v>
      </c>
      <c r="P444" s="803" t="s">
        <v>1801</v>
      </c>
      <c r="Q444" s="804">
        <v>2.5000000000000001E-3</v>
      </c>
      <c r="R444" s="805" t="s">
        <v>414</v>
      </c>
      <c r="S444" s="527">
        <v>2.1099999999999999E-3</v>
      </c>
      <c r="T444" s="528" t="s">
        <v>414</v>
      </c>
    </row>
    <row r="445" spans="1:20" ht="15" customHeight="1" thickBot="1">
      <c r="A445" s="806" t="s">
        <v>1115</v>
      </c>
      <c r="B445" s="807" t="s">
        <v>1116</v>
      </c>
      <c r="C445" s="808">
        <v>100.12</v>
      </c>
      <c r="D445" s="809" t="s">
        <v>1801</v>
      </c>
      <c r="E445" s="810">
        <v>1.30417E-2</v>
      </c>
      <c r="F445" s="810">
        <v>3.19E-4</v>
      </c>
      <c r="G445" s="811" t="s">
        <v>414</v>
      </c>
      <c r="H445" s="812">
        <v>0.93769999999999998</v>
      </c>
      <c r="I445" s="813" t="s">
        <v>1796</v>
      </c>
      <c r="J445" s="814">
        <v>7.5044700000000006E-2</v>
      </c>
      <c r="K445" s="814">
        <v>9.2087000000000004E-6</v>
      </c>
      <c r="L445" s="815" t="s">
        <v>2367</v>
      </c>
      <c r="M445" s="816">
        <v>9.14</v>
      </c>
      <c r="N445" s="816" t="s">
        <v>414</v>
      </c>
      <c r="O445" s="817">
        <v>15000</v>
      </c>
      <c r="P445" s="818" t="s">
        <v>1801</v>
      </c>
      <c r="Q445" s="819">
        <v>3.5500000000000002E-3</v>
      </c>
      <c r="R445" s="820" t="s">
        <v>414</v>
      </c>
      <c r="S445" s="521">
        <v>5.3900000000000001E-6</v>
      </c>
      <c r="T445" s="522" t="s">
        <v>414</v>
      </c>
    </row>
    <row r="446" spans="1:20" ht="15" customHeight="1">
      <c r="A446" s="791" t="s">
        <v>1117</v>
      </c>
      <c r="B446" s="792" t="s">
        <v>1118</v>
      </c>
      <c r="C446" s="793">
        <v>263.20999999999998</v>
      </c>
      <c r="D446" s="794" t="s">
        <v>1801</v>
      </c>
      <c r="E446" s="795">
        <v>4.0883000000000003E-6</v>
      </c>
      <c r="F446" s="795">
        <v>9.9999999999999995E-8</v>
      </c>
      <c r="G446" s="796" t="s">
        <v>1801</v>
      </c>
      <c r="H446" s="797">
        <v>1.3580000000000001</v>
      </c>
      <c r="I446" s="798" t="s">
        <v>1796</v>
      </c>
      <c r="J446" s="799">
        <v>2.4984599999999999E-2</v>
      </c>
      <c r="K446" s="799">
        <v>6.4392000000000001E-6</v>
      </c>
      <c r="L446" s="800" t="s">
        <v>2367</v>
      </c>
      <c r="M446" s="801">
        <v>729.3</v>
      </c>
      <c r="N446" s="801" t="s">
        <v>414</v>
      </c>
      <c r="O446" s="802">
        <v>37.700000000000003</v>
      </c>
      <c r="P446" s="803" t="s">
        <v>1801</v>
      </c>
      <c r="Q446" s="804">
        <v>4.1599999999999996E-3</v>
      </c>
      <c r="R446" s="805" t="s">
        <v>414</v>
      </c>
      <c r="S446" s="527">
        <v>3.8400000000000001E-3</v>
      </c>
      <c r="T446" s="528" t="s">
        <v>414</v>
      </c>
    </row>
    <row r="447" spans="1:20" ht="15" customHeight="1">
      <c r="A447" s="791" t="s">
        <v>1119</v>
      </c>
      <c r="B447" s="792" t="s">
        <v>1120</v>
      </c>
      <c r="C447" s="793">
        <v>96.022999999999996</v>
      </c>
      <c r="D447" s="794" t="s">
        <v>1801</v>
      </c>
      <c r="E447" s="795">
        <v>4.9879999999999997E-10</v>
      </c>
      <c r="F447" s="795">
        <v>1.2200000000000001E-11</v>
      </c>
      <c r="G447" s="796" t="s">
        <v>1801</v>
      </c>
      <c r="H447" s="821" t="s">
        <v>1750</v>
      </c>
      <c r="I447" s="822" t="s">
        <v>43</v>
      </c>
      <c r="J447" s="799">
        <v>9.06087E-2</v>
      </c>
      <c r="K447" s="799">
        <v>1.06E-5</v>
      </c>
      <c r="L447" s="800" t="s">
        <v>2367</v>
      </c>
      <c r="M447" s="801">
        <v>1.407</v>
      </c>
      <c r="N447" s="801" t="s">
        <v>414</v>
      </c>
      <c r="O447" s="802">
        <v>20000</v>
      </c>
      <c r="P447" s="803" t="s">
        <v>1801</v>
      </c>
      <c r="Q447" s="804">
        <v>9.8400000000000007E-5</v>
      </c>
      <c r="R447" s="805" t="s">
        <v>414</v>
      </c>
      <c r="S447" s="527">
        <v>5.7200000000000001E-5</v>
      </c>
      <c r="T447" s="528" t="s">
        <v>414</v>
      </c>
    </row>
    <row r="448" spans="1:20" ht="15" customHeight="1" thickBot="1">
      <c r="A448" s="806" t="s">
        <v>1121</v>
      </c>
      <c r="B448" s="807" t="s">
        <v>1122</v>
      </c>
      <c r="C448" s="808">
        <v>354.54</v>
      </c>
      <c r="D448" s="809" t="s">
        <v>1801</v>
      </c>
      <c r="E448" s="810">
        <v>0.10711370000000001</v>
      </c>
      <c r="F448" s="810">
        <v>2.6199999999999999E-3</v>
      </c>
      <c r="G448" s="811" t="s">
        <v>1801</v>
      </c>
      <c r="H448" s="812">
        <v>0.89</v>
      </c>
      <c r="I448" s="813" t="s">
        <v>2418</v>
      </c>
      <c r="J448" s="814">
        <v>1.7396999999999999E-2</v>
      </c>
      <c r="K448" s="814">
        <v>4.1792999999999999E-6</v>
      </c>
      <c r="L448" s="815" t="s">
        <v>2367</v>
      </c>
      <c r="M448" s="816">
        <v>715.8</v>
      </c>
      <c r="N448" s="816" t="s">
        <v>414</v>
      </c>
      <c r="O448" s="817">
        <v>89</v>
      </c>
      <c r="P448" s="818" t="s">
        <v>1801</v>
      </c>
      <c r="Q448" s="819">
        <v>6.6000000000000003E-2</v>
      </c>
      <c r="R448" s="820" t="s">
        <v>414</v>
      </c>
      <c r="S448" s="521">
        <v>2.96E-3</v>
      </c>
      <c r="T448" s="522" t="s">
        <v>414</v>
      </c>
    </row>
    <row r="449" spans="1:20" ht="15" customHeight="1">
      <c r="A449" s="791" t="s">
        <v>1123</v>
      </c>
      <c r="B449" s="792" t="s">
        <v>1124</v>
      </c>
      <c r="C449" s="793">
        <v>110.13</v>
      </c>
      <c r="D449" s="794" t="s">
        <v>1801</v>
      </c>
      <c r="E449" s="795">
        <v>1.6479999999999999E-4</v>
      </c>
      <c r="F449" s="795">
        <v>4.0300000000000004E-6</v>
      </c>
      <c r="G449" s="796" t="s">
        <v>1801</v>
      </c>
      <c r="H449" s="797">
        <v>1.2943</v>
      </c>
      <c r="I449" s="798" t="s">
        <v>1796</v>
      </c>
      <c r="J449" s="799">
        <v>7.8905600000000006E-2</v>
      </c>
      <c r="K449" s="799">
        <v>1.06E-5</v>
      </c>
      <c r="L449" s="800" t="s">
        <v>2367</v>
      </c>
      <c r="M449" s="801">
        <v>4.3319999999999999</v>
      </c>
      <c r="N449" s="801" t="s">
        <v>414</v>
      </c>
      <c r="O449" s="802">
        <v>200000</v>
      </c>
      <c r="P449" s="803" t="s">
        <v>1798</v>
      </c>
      <c r="Q449" s="804">
        <v>1.3799999999999999E-4</v>
      </c>
      <c r="R449" s="805" t="s">
        <v>414</v>
      </c>
      <c r="S449" s="527">
        <v>4.1900000000000002E-5</v>
      </c>
      <c r="T449" s="528" t="s">
        <v>414</v>
      </c>
    </row>
    <row r="450" spans="1:20" ht="15" customHeight="1">
      <c r="A450" s="791" t="s">
        <v>1125</v>
      </c>
      <c r="B450" s="792" t="s">
        <v>1126</v>
      </c>
      <c r="C450" s="793">
        <v>88.150999999999996</v>
      </c>
      <c r="D450" s="794" t="s">
        <v>1801</v>
      </c>
      <c r="E450" s="795">
        <v>2.39984E-2</v>
      </c>
      <c r="F450" s="795">
        <v>5.8699999999999996E-4</v>
      </c>
      <c r="G450" s="796" t="s">
        <v>1801</v>
      </c>
      <c r="H450" s="797">
        <v>0.73529999999999995</v>
      </c>
      <c r="I450" s="798" t="s">
        <v>1796</v>
      </c>
      <c r="J450" s="799">
        <v>7.5267200000000006E-2</v>
      </c>
      <c r="K450" s="799">
        <v>8.5903999999999999E-6</v>
      </c>
      <c r="L450" s="800" t="s">
        <v>2367</v>
      </c>
      <c r="M450" s="801">
        <v>11.56</v>
      </c>
      <c r="N450" s="801" t="s">
        <v>414</v>
      </c>
      <c r="O450" s="802">
        <v>51000</v>
      </c>
      <c r="P450" s="803" t="s">
        <v>1801</v>
      </c>
      <c r="Q450" s="804">
        <v>2.1099999999999999E-3</v>
      </c>
      <c r="R450" s="805" t="s">
        <v>414</v>
      </c>
      <c r="S450" s="525" t="s">
        <v>1750</v>
      </c>
      <c r="T450" s="526" t="s">
        <v>43</v>
      </c>
    </row>
    <row r="451" spans="1:20" ht="15" customHeight="1" thickBot="1">
      <c r="A451" s="806" t="s">
        <v>1827</v>
      </c>
      <c r="B451" s="807" t="s">
        <v>1828</v>
      </c>
      <c r="C451" s="808">
        <v>195.09</v>
      </c>
      <c r="D451" s="809" t="s">
        <v>1801</v>
      </c>
      <c r="E451" s="810">
        <v>2.6080000000000002E-16</v>
      </c>
      <c r="F451" s="810">
        <v>6.3799999999999999E-18</v>
      </c>
      <c r="G451" s="811" t="s">
        <v>1801</v>
      </c>
      <c r="H451" s="839" t="s">
        <v>1750</v>
      </c>
      <c r="I451" s="840" t="s">
        <v>43</v>
      </c>
      <c r="J451" s="814">
        <v>5.6484600000000003E-2</v>
      </c>
      <c r="K451" s="814">
        <v>6.5997999999999999E-6</v>
      </c>
      <c r="L451" s="815" t="s">
        <v>2367</v>
      </c>
      <c r="M451" s="816">
        <v>201.5</v>
      </c>
      <c r="N451" s="816" t="s">
        <v>414</v>
      </c>
      <c r="O451" s="817">
        <v>1000000</v>
      </c>
      <c r="P451" s="818" t="s">
        <v>1801</v>
      </c>
      <c r="Q451" s="819">
        <v>5.3900000000000001E-6</v>
      </c>
      <c r="R451" s="820" t="s">
        <v>414</v>
      </c>
      <c r="S451" s="529" t="s">
        <v>1750</v>
      </c>
      <c r="T451" s="530" t="s">
        <v>43</v>
      </c>
    </row>
    <row r="452" spans="1:20" ht="15" customHeight="1">
      <c r="A452" s="791" t="s">
        <v>1127</v>
      </c>
      <c r="B452" s="792" t="s">
        <v>1128</v>
      </c>
      <c r="C452" s="793">
        <v>152.15</v>
      </c>
      <c r="D452" s="794" t="s">
        <v>1801</v>
      </c>
      <c r="E452" s="795">
        <v>3.3892000000000002E-7</v>
      </c>
      <c r="F452" s="795">
        <v>8.2900000000000001E-9</v>
      </c>
      <c r="G452" s="796" t="s">
        <v>1801</v>
      </c>
      <c r="H452" s="821" t="s">
        <v>1750</v>
      </c>
      <c r="I452" s="822" t="s">
        <v>43</v>
      </c>
      <c r="J452" s="799">
        <v>6.6666199999999995E-2</v>
      </c>
      <c r="K452" s="799">
        <v>7.7894000000000003E-6</v>
      </c>
      <c r="L452" s="800" t="s">
        <v>2367</v>
      </c>
      <c r="M452" s="801">
        <v>178.6</v>
      </c>
      <c r="N452" s="801" t="s">
        <v>414</v>
      </c>
      <c r="O452" s="802">
        <v>10000</v>
      </c>
      <c r="P452" s="803" t="s">
        <v>1801</v>
      </c>
      <c r="Q452" s="804">
        <v>3.8400000000000001E-3</v>
      </c>
      <c r="R452" s="805" t="s">
        <v>414</v>
      </c>
      <c r="S452" s="527">
        <v>0.90300000000000002</v>
      </c>
      <c r="T452" s="528" t="s">
        <v>414</v>
      </c>
    </row>
    <row r="453" spans="1:20" ht="15" customHeight="1">
      <c r="A453" s="791" t="s">
        <v>1129</v>
      </c>
      <c r="B453" s="792" t="s">
        <v>1130</v>
      </c>
      <c r="C453" s="793">
        <v>147.09</v>
      </c>
      <c r="D453" s="794" t="s">
        <v>1801</v>
      </c>
      <c r="E453" s="795">
        <v>4.988E-11</v>
      </c>
      <c r="F453" s="795">
        <v>1.2200000000000001E-12</v>
      </c>
      <c r="G453" s="796" t="s">
        <v>1801</v>
      </c>
      <c r="H453" s="821" t="s">
        <v>1750</v>
      </c>
      <c r="I453" s="822" t="s">
        <v>43</v>
      </c>
      <c r="J453" s="799">
        <v>6.8186499999999997E-2</v>
      </c>
      <c r="K453" s="799">
        <v>7.9670000000000001E-6</v>
      </c>
      <c r="L453" s="800" t="s">
        <v>2367</v>
      </c>
      <c r="M453" s="801">
        <v>72.02</v>
      </c>
      <c r="N453" s="801" t="s">
        <v>414</v>
      </c>
      <c r="O453" s="802">
        <v>267000</v>
      </c>
      <c r="P453" s="803" t="s">
        <v>1801</v>
      </c>
      <c r="Q453" s="804">
        <v>5.7200000000000001E-5</v>
      </c>
      <c r="R453" s="805" t="s">
        <v>414</v>
      </c>
      <c r="S453" s="527">
        <v>3.5400000000000002E-3</v>
      </c>
      <c r="T453" s="528" t="s">
        <v>414</v>
      </c>
    </row>
    <row r="454" spans="1:20" ht="15" customHeight="1" thickBot="1">
      <c r="A454" s="806" t="s">
        <v>1131</v>
      </c>
      <c r="B454" s="807" t="s">
        <v>1132</v>
      </c>
      <c r="C454" s="808">
        <v>143.62</v>
      </c>
      <c r="D454" s="809" t="s">
        <v>1801</v>
      </c>
      <c r="E454" s="810">
        <v>8.5900000000000001E-5</v>
      </c>
      <c r="F454" s="810">
        <v>2.0999999999999998E-6</v>
      </c>
      <c r="G454" s="811" t="s">
        <v>1801</v>
      </c>
      <c r="H454" s="839" t="s">
        <v>1750</v>
      </c>
      <c r="I454" s="840" t="s">
        <v>43</v>
      </c>
      <c r="J454" s="814">
        <v>6.9280400000000006E-2</v>
      </c>
      <c r="K454" s="814">
        <v>8.0948999999999994E-6</v>
      </c>
      <c r="L454" s="815" t="s">
        <v>2367</v>
      </c>
      <c r="M454" s="816">
        <v>115</v>
      </c>
      <c r="N454" s="816" t="s">
        <v>414</v>
      </c>
      <c r="O454" s="817">
        <v>8292</v>
      </c>
      <c r="P454" s="818" t="s">
        <v>1801</v>
      </c>
      <c r="Q454" s="819">
        <v>1.0499999999999999E-5</v>
      </c>
      <c r="R454" s="820" t="s">
        <v>414</v>
      </c>
      <c r="S454" s="521">
        <v>1.9699999999999999E-2</v>
      </c>
      <c r="T454" s="522" t="s">
        <v>414</v>
      </c>
    </row>
    <row r="455" spans="1:20" ht="15" customHeight="1">
      <c r="A455" s="791" t="s">
        <v>1133</v>
      </c>
      <c r="B455" s="792" t="s">
        <v>1134</v>
      </c>
      <c r="C455" s="793">
        <v>139.97</v>
      </c>
      <c r="D455" s="794" t="s">
        <v>1801</v>
      </c>
      <c r="E455" s="831" t="s">
        <v>1750</v>
      </c>
      <c r="F455" s="831" t="s">
        <v>1750</v>
      </c>
      <c r="G455" s="832" t="s">
        <v>43</v>
      </c>
      <c r="H455" s="821" t="s">
        <v>1750</v>
      </c>
      <c r="I455" s="822" t="s">
        <v>43</v>
      </c>
      <c r="J455" s="799">
        <v>7.0479600000000003E-2</v>
      </c>
      <c r="K455" s="799">
        <v>8.2349999999999999E-6</v>
      </c>
      <c r="L455" s="800" t="s">
        <v>2367</v>
      </c>
      <c r="M455" s="801">
        <v>43.89</v>
      </c>
      <c r="N455" s="801" t="s">
        <v>414</v>
      </c>
      <c r="O455" s="802">
        <v>256000</v>
      </c>
      <c r="P455" s="803" t="s">
        <v>1801</v>
      </c>
      <c r="Q455" s="804">
        <v>4.1900000000000002E-5</v>
      </c>
      <c r="R455" s="805" t="s">
        <v>414</v>
      </c>
      <c r="S455" s="527">
        <v>8.4396700000000005E-2</v>
      </c>
      <c r="T455" s="528" t="s">
        <v>1797</v>
      </c>
    </row>
    <row r="456" spans="1:20" ht="15" customHeight="1">
      <c r="A456" s="791" t="s">
        <v>1829</v>
      </c>
      <c r="B456" s="792" t="s">
        <v>1830</v>
      </c>
      <c r="C456" s="793">
        <v>158.62863999999999</v>
      </c>
      <c r="D456" s="794" t="s">
        <v>2168</v>
      </c>
      <c r="E456" s="831" t="s">
        <v>1750</v>
      </c>
      <c r="F456" s="831" t="s">
        <v>1750</v>
      </c>
      <c r="G456" s="832" t="s">
        <v>43</v>
      </c>
      <c r="H456" s="821" t="s">
        <v>1750</v>
      </c>
      <c r="I456" s="822" t="s">
        <v>43</v>
      </c>
      <c r="J456" s="799">
        <v>6.4838400000000004E-2</v>
      </c>
      <c r="K456" s="799">
        <v>7.5758999999999998E-6</v>
      </c>
      <c r="L456" s="800" t="s">
        <v>2367</v>
      </c>
      <c r="M456" s="835" t="s">
        <v>1750</v>
      </c>
      <c r="N456" s="836" t="s">
        <v>43</v>
      </c>
      <c r="O456" s="837" t="s">
        <v>1750</v>
      </c>
      <c r="P456" s="838" t="s">
        <v>43</v>
      </c>
      <c r="Q456" s="843" t="s">
        <v>1750</v>
      </c>
      <c r="R456" s="844" t="s">
        <v>43</v>
      </c>
      <c r="S456" s="527">
        <v>1.3799999999999999E-3</v>
      </c>
      <c r="T456" s="528" t="s">
        <v>414</v>
      </c>
    </row>
    <row r="457" spans="1:20" ht="15" customHeight="1" thickBot="1">
      <c r="A457" s="806" t="s">
        <v>1831</v>
      </c>
      <c r="B457" s="807" t="s">
        <v>1832</v>
      </c>
      <c r="C457" s="808">
        <v>220.25</v>
      </c>
      <c r="D457" s="809" t="s">
        <v>2419</v>
      </c>
      <c r="E457" s="823" t="s">
        <v>1750</v>
      </c>
      <c r="F457" s="823" t="s">
        <v>1750</v>
      </c>
      <c r="G457" s="824" t="s">
        <v>43</v>
      </c>
      <c r="H457" s="839" t="s">
        <v>1750</v>
      </c>
      <c r="I457" s="840" t="s">
        <v>43</v>
      </c>
      <c r="J457" s="814">
        <v>5.20966E-2</v>
      </c>
      <c r="K457" s="814">
        <v>6.0870999999999997E-6</v>
      </c>
      <c r="L457" s="815" t="s">
        <v>2367</v>
      </c>
      <c r="M457" s="827" t="s">
        <v>1750</v>
      </c>
      <c r="N457" s="828" t="s">
        <v>43</v>
      </c>
      <c r="O457" s="829" t="s">
        <v>1750</v>
      </c>
      <c r="P457" s="830" t="s">
        <v>43</v>
      </c>
      <c r="Q457" s="847" t="s">
        <v>1750</v>
      </c>
      <c r="R457" s="848" t="s">
        <v>43</v>
      </c>
      <c r="S457" s="521">
        <v>0.18099999999999999</v>
      </c>
      <c r="T457" s="522" t="s">
        <v>414</v>
      </c>
    </row>
    <row r="458" spans="1:20" ht="15" customHeight="1">
      <c r="A458" s="791" t="s">
        <v>1135</v>
      </c>
      <c r="B458" s="792" t="s">
        <v>1136</v>
      </c>
      <c r="C458" s="793">
        <v>268.36</v>
      </c>
      <c r="D458" s="794" t="s">
        <v>1801</v>
      </c>
      <c r="E458" s="795">
        <v>2.142E-4</v>
      </c>
      <c r="F458" s="795">
        <v>5.2399999999999998E-6</v>
      </c>
      <c r="G458" s="796" t="s">
        <v>414</v>
      </c>
      <c r="H458" s="797">
        <v>1.28</v>
      </c>
      <c r="I458" s="798" t="s">
        <v>1796</v>
      </c>
      <c r="J458" s="799">
        <v>2.40562E-2</v>
      </c>
      <c r="K458" s="799">
        <v>6.1427999999999999E-6</v>
      </c>
      <c r="L458" s="800" t="s">
        <v>2367</v>
      </c>
      <c r="M458" s="801">
        <v>961600</v>
      </c>
      <c r="N458" s="801" t="s">
        <v>414</v>
      </c>
      <c r="O458" s="802">
        <v>2.8999999999999998E-3</v>
      </c>
      <c r="P458" s="803" t="s">
        <v>1801</v>
      </c>
      <c r="Q458" s="804">
        <v>0.90300000000000002</v>
      </c>
      <c r="R458" s="805" t="s">
        <v>414</v>
      </c>
      <c r="S458" s="527">
        <v>6.9900000000000004E-2</v>
      </c>
      <c r="T458" s="528" t="s">
        <v>414</v>
      </c>
    </row>
    <row r="459" spans="1:20" ht="15" customHeight="1">
      <c r="A459" s="791" t="s">
        <v>1137</v>
      </c>
      <c r="B459" s="792" t="s">
        <v>1138</v>
      </c>
      <c r="C459" s="793">
        <v>84.933000000000007</v>
      </c>
      <c r="D459" s="794" t="s">
        <v>1801</v>
      </c>
      <c r="E459" s="795">
        <v>0.13286999999999999</v>
      </c>
      <c r="F459" s="795">
        <v>3.2499999999999999E-3</v>
      </c>
      <c r="G459" s="796" t="s">
        <v>1801</v>
      </c>
      <c r="H459" s="797">
        <v>1.3266</v>
      </c>
      <c r="I459" s="798" t="s">
        <v>1796</v>
      </c>
      <c r="J459" s="799">
        <v>9.9936200000000003E-2</v>
      </c>
      <c r="K459" s="799">
        <v>1.2500000000000001E-5</v>
      </c>
      <c r="L459" s="800" t="s">
        <v>2367</v>
      </c>
      <c r="M459" s="801">
        <v>21.73</v>
      </c>
      <c r="N459" s="801" t="s">
        <v>414</v>
      </c>
      <c r="O459" s="802">
        <v>13000</v>
      </c>
      <c r="P459" s="803" t="s">
        <v>1801</v>
      </c>
      <c r="Q459" s="804">
        <v>3.5400000000000002E-3</v>
      </c>
      <c r="R459" s="805" t="s">
        <v>414</v>
      </c>
      <c r="S459" s="527">
        <v>3.3899999999999998E-3</v>
      </c>
      <c r="T459" s="528" t="s">
        <v>414</v>
      </c>
    </row>
    <row r="460" spans="1:20" ht="15" customHeight="1" thickBot="1">
      <c r="A460" s="806" t="s">
        <v>1139</v>
      </c>
      <c r="B460" s="807" t="s">
        <v>1140</v>
      </c>
      <c r="C460" s="808">
        <v>267.16000000000003</v>
      </c>
      <c r="D460" s="809" t="s">
        <v>1801</v>
      </c>
      <c r="E460" s="810">
        <v>1.6599E-9</v>
      </c>
      <c r="F460" s="810">
        <v>4.0600000000000001E-11</v>
      </c>
      <c r="G460" s="811" t="s">
        <v>1801</v>
      </c>
      <c r="H460" s="839" t="s">
        <v>1750</v>
      </c>
      <c r="I460" s="840" t="s">
        <v>43</v>
      </c>
      <c r="J460" s="814">
        <v>4.5804299999999999E-2</v>
      </c>
      <c r="K460" s="814">
        <v>5.3519000000000004E-6</v>
      </c>
      <c r="L460" s="815" t="s">
        <v>2367</v>
      </c>
      <c r="M460" s="816">
        <v>5698</v>
      </c>
      <c r="N460" s="816" t="s">
        <v>414</v>
      </c>
      <c r="O460" s="817">
        <v>13.9</v>
      </c>
      <c r="P460" s="818" t="s">
        <v>1801</v>
      </c>
      <c r="Q460" s="819">
        <v>1.9699999999999999E-2</v>
      </c>
      <c r="R460" s="820" t="s">
        <v>414</v>
      </c>
      <c r="S460" s="521">
        <v>1.32E-3</v>
      </c>
      <c r="T460" s="522" t="s">
        <v>414</v>
      </c>
    </row>
    <row r="461" spans="1:20" ht="15" customHeight="1">
      <c r="A461" s="791" t="s">
        <v>1141</v>
      </c>
      <c r="B461" s="792" t="s">
        <v>1142</v>
      </c>
      <c r="C461" s="793">
        <v>254.38</v>
      </c>
      <c r="D461" s="794" t="s">
        <v>1801</v>
      </c>
      <c r="E461" s="795">
        <v>4.3744999999999999E-8</v>
      </c>
      <c r="F461" s="795">
        <v>1.07E-9</v>
      </c>
      <c r="G461" s="796" t="s">
        <v>1801</v>
      </c>
      <c r="H461" s="821" t="s">
        <v>1750</v>
      </c>
      <c r="I461" s="822" t="s">
        <v>43</v>
      </c>
      <c r="J461" s="799">
        <v>4.7325800000000001E-2</v>
      </c>
      <c r="K461" s="799">
        <v>5.5296999999999998E-6</v>
      </c>
      <c r="L461" s="800" t="s">
        <v>2367</v>
      </c>
      <c r="M461" s="801">
        <v>2667</v>
      </c>
      <c r="N461" s="801" t="s">
        <v>414</v>
      </c>
      <c r="O461" s="802">
        <v>4.1399999999999997</v>
      </c>
      <c r="P461" s="803" t="s">
        <v>1801</v>
      </c>
      <c r="Q461" s="804">
        <v>8.4396700000000005E-2</v>
      </c>
      <c r="R461" s="805" t="s">
        <v>1797</v>
      </c>
      <c r="S461" s="527">
        <v>1.96</v>
      </c>
      <c r="T461" s="528" t="s">
        <v>414</v>
      </c>
    </row>
    <row r="462" spans="1:20" ht="15" customHeight="1">
      <c r="A462" s="791" t="s">
        <v>1143</v>
      </c>
      <c r="B462" s="792" t="s">
        <v>1144</v>
      </c>
      <c r="C462" s="793">
        <v>198.27</v>
      </c>
      <c r="D462" s="794" t="s">
        <v>1801</v>
      </c>
      <c r="E462" s="795">
        <v>2.1668E-9</v>
      </c>
      <c r="F462" s="795">
        <v>5.2999999999999998E-11</v>
      </c>
      <c r="G462" s="796" t="s">
        <v>1801</v>
      </c>
      <c r="H462" s="821" t="s">
        <v>1750</v>
      </c>
      <c r="I462" s="822" t="s">
        <v>43</v>
      </c>
      <c r="J462" s="799">
        <v>5.5878999999999998E-2</v>
      </c>
      <c r="K462" s="799">
        <v>6.5289999999999997E-6</v>
      </c>
      <c r="L462" s="800" t="s">
        <v>2367</v>
      </c>
      <c r="M462" s="801">
        <v>2126</v>
      </c>
      <c r="N462" s="801" t="s">
        <v>414</v>
      </c>
      <c r="O462" s="802">
        <v>1000</v>
      </c>
      <c r="P462" s="803" t="s">
        <v>1801</v>
      </c>
      <c r="Q462" s="804">
        <v>1.3799999999999999E-3</v>
      </c>
      <c r="R462" s="805" t="s">
        <v>414</v>
      </c>
      <c r="S462" s="527">
        <v>5.16E-2</v>
      </c>
      <c r="T462" s="528" t="s">
        <v>414</v>
      </c>
    </row>
    <row r="463" spans="1:20" ht="15" customHeight="1" thickBot="1">
      <c r="A463" s="806" t="s">
        <v>1145</v>
      </c>
      <c r="B463" s="807" t="s">
        <v>1146</v>
      </c>
      <c r="C463" s="808">
        <v>250.26</v>
      </c>
      <c r="D463" s="809" t="s">
        <v>1801</v>
      </c>
      <c r="E463" s="810">
        <v>3.6600000000000002E-5</v>
      </c>
      <c r="F463" s="810">
        <v>8.9500000000000001E-7</v>
      </c>
      <c r="G463" s="811" t="s">
        <v>1801</v>
      </c>
      <c r="H463" s="812">
        <v>1.1970000000000001</v>
      </c>
      <c r="I463" s="813" t="s">
        <v>1796</v>
      </c>
      <c r="J463" s="814">
        <v>2.4173699999999999E-2</v>
      </c>
      <c r="K463" s="814">
        <v>6.1530999999999996E-6</v>
      </c>
      <c r="L463" s="815" t="s">
        <v>2367</v>
      </c>
      <c r="M463" s="816">
        <v>284900</v>
      </c>
      <c r="N463" s="816" t="s">
        <v>414</v>
      </c>
      <c r="O463" s="817">
        <v>0.82879999999999998</v>
      </c>
      <c r="P463" s="818" t="s">
        <v>1801</v>
      </c>
      <c r="Q463" s="819">
        <v>0.18099999999999999</v>
      </c>
      <c r="R463" s="820" t="s">
        <v>414</v>
      </c>
      <c r="S463" s="521">
        <v>1.89E-2</v>
      </c>
      <c r="T463" s="522" t="s">
        <v>414</v>
      </c>
    </row>
    <row r="464" spans="1:20" ht="15" customHeight="1">
      <c r="A464" s="791" t="s">
        <v>1147</v>
      </c>
      <c r="B464" s="792" t="s">
        <v>1148</v>
      </c>
      <c r="C464" s="793">
        <v>118.18</v>
      </c>
      <c r="D464" s="794" t="s">
        <v>1801</v>
      </c>
      <c r="E464" s="795">
        <v>0.10425180000000001</v>
      </c>
      <c r="F464" s="795">
        <v>2.5500000000000002E-3</v>
      </c>
      <c r="G464" s="796" t="s">
        <v>414</v>
      </c>
      <c r="H464" s="797">
        <v>0.91059999999999997</v>
      </c>
      <c r="I464" s="798" t="s">
        <v>1796</v>
      </c>
      <c r="J464" s="799">
        <v>6.2902E-2</v>
      </c>
      <c r="K464" s="799">
        <v>8.1911000000000002E-6</v>
      </c>
      <c r="L464" s="800" t="s">
        <v>2367</v>
      </c>
      <c r="M464" s="801">
        <v>697.8</v>
      </c>
      <c r="N464" s="801" t="s">
        <v>414</v>
      </c>
      <c r="O464" s="802">
        <v>116</v>
      </c>
      <c r="P464" s="803" t="s">
        <v>1801</v>
      </c>
      <c r="Q464" s="804">
        <v>6.9900000000000004E-2</v>
      </c>
      <c r="R464" s="805" t="s">
        <v>414</v>
      </c>
      <c r="S464" s="527">
        <v>1E-3</v>
      </c>
      <c r="T464" s="528" t="s">
        <v>1797</v>
      </c>
    </row>
    <row r="465" spans="1:20" ht="15" customHeight="1">
      <c r="A465" s="791" t="s">
        <v>1149</v>
      </c>
      <c r="B465" s="792" t="s">
        <v>1150</v>
      </c>
      <c r="C465" s="793">
        <v>283.8</v>
      </c>
      <c r="D465" s="794" t="s">
        <v>1801</v>
      </c>
      <c r="E465" s="795">
        <v>3.6795000000000001E-7</v>
      </c>
      <c r="F465" s="795">
        <v>8.9999999999999995E-9</v>
      </c>
      <c r="G465" s="796" t="s">
        <v>1801</v>
      </c>
      <c r="H465" s="797">
        <v>1.1200000000000001</v>
      </c>
      <c r="I465" s="798" t="s">
        <v>1796</v>
      </c>
      <c r="J465" s="799">
        <v>2.1922299999999999E-2</v>
      </c>
      <c r="K465" s="799">
        <v>5.4827E-6</v>
      </c>
      <c r="L465" s="800" t="s">
        <v>2367</v>
      </c>
      <c r="M465" s="801">
        <v>488.5</v>
      </c>
      <c r="N465" s="801" t="s">
        <v>414</v>
      </c>
      <c r="O465" s="802">
        <v>530</v>
      </c>
      <c r="P465" s="803" t="s">
        <v>1801</v>
      </c>
      <c r="Q465" s="804">
        <v>3.3899999999999998E-3</v>
      </c>
      <c r="R465" s="805" t="s">
        <v>414</v>
      </c>
      <c r="S465" s="527">
        <v>1E-3</v>
      </c>
      <c r="T465" s="528" t="s">
        <v>1797</v>
      </c>
    </row>
    <row r="466" spans="1:20" ht="15" customHeight="1" thickBot="1">
      <c r="A466" s="806" t="s">
        <v>1151</v>
      </c>
      <c r="B466" s="807" t="s">
        <v>1152</v>
      </c>
      <c r="C466" s="808">
        <v>214.29</v>
      </c>
      <c r="D466" s="809" t="s">
        <v>1801</v>
      </c>
      <c r="E466" s="810">
        <v>4.7833000000000002E-9</v>
      </c>
      <c r="F466" s="810">
        <v>1.1700000000000001E-10</v>
      </c>
      <c r="G466" s="811" t="s">
        <v>414</v>
      </c>
      <c r="H466" s="812">
        <v>1.31</v>
      </c>
      <c r="I466" s="813" t="s">
        <v>1796</v>
      </c>
      <c r="J466" s="814">
        <v>2.7339700000000002E-2</v>
      </c>
      <c r="K466" s="814">
        <v>7.1291000000000001E-6</v>
      </c>
      <c r="L466" s="815" t="s">
        <v>2367</v>
      </c>
      <c r="M466" s="816">
        <v>53.13</v>
      </c>
      <c r="N466" s="816" t="s">
        <v>414</v>
      </c>
      <c r="O466" s="817">
        <v>1050</v>
      </c>
      <c r="P466" s="818" t="s">
        <v>1801</v>
      </c>
      <c r="Q466" s="819">
        <v>1.32E-3</v>
      </c>
      <c r="R466" s="820" t="s">
        <v>414</v>
      </c>
      <c r="S466" s="521">
        <v>4.9800000000000001E-3</v>
      </c>
      <c r="T466" s="522" t="s">
        <v>414</v>
      </c>
    </row>
    <row r="467" spans="1:20" ht="15" customHeight="1">
      <c r="A467" s="791" t="s">
        <v>2232</v>
      </c>
      <c r="B467" s="792" t="s">
        <v>383</v>
      </c>
      <c r="C467" s="793">
        <v>381.37</v>
      </c>
      <c r="D467" s="794" t="s">
        <v>1801</v>
      </c>
      <c r="E467" s="795">
        <v>5.3969999999999999E-15</v>
      </c>
      <c r="F467" s="795">
        <v>1.32E-16</v>
      </c>
      <c r="G467" s="796" t="s">
        <v>414</v>
      </c>
      <c r="H467" s="821" t="s">
        <v>1750</v>
      </c>
      <c r="I467" s="822" t="s">
        <v>43</v>
      </c>
      <c r="J467" s="799">
        <v>3.6129000000000001E-2</v>
      </c>
      <c r="K467" s="799">
        <v>4.2213999999999999E-6</v>
      </c>
      <c r="L467" s="800" t="s">
        <v>2367</v>
      </c>
      <c r="M467" s="801">
        <v>92.5</v>
      </c>
      <c r="N467" s="801" t="s">
        <v>414</v>
      </c>
      <c r="O467" s="802">
        <v>9500</v>
      </c>
      <c r="P467" s="803" t="s">
        <v>1801</v>
      </c>
      <c r="Q467" s="804">
        <v>3.2899999999999997E-4</v>
      </c>
      <c r="R467" s="805" t="s">
        <v>414</v>
      </c>
      <c r="S467" s="527">
        <v>2.6200000000000001E-2</v>
      </c>
      <c r="T467" s="528" t="s">
        <v>414</v>
      </c>
    </row>
    <row r="468" spans="1:20" ht="15" customHeight="1">
      <c r="A468" s="791" t="s">
        <v>1153</v>
      </c>
      <c r="B468" s="792" t="s">
        <v>1154</v>
      </c>
      <c r="C468" s="793">
        <v>170.34</v>
      </c>
      <c r="D468" s="794" t="s">
        <v>414</v>
      </c>
      <c r="E468" s="795">
        <v>334.42354999999998</v>
      </c>
      <c r="F468" s="795">
        <v>8.18</v>
      </c>
      <c r="G468" s="796" t="s">
        <v>414</v>
      </c>
      <c r="H468" s="797">
        <v>0.877</v>
      </c>
      <c r="I468" s="798" t="s">
        <v>2399</v>
      </c>
      <c r="J468" s="799">
        <v>3.6193999999999997E-2</v>
      </c>
      <c r="K468" s="799">
        <v>6.4309999999999999E-6</v>
      </c>
      <c r="L468" s="800" t="s">
        <v>2367</v>
      </c>
      <c r="M468" s="801">
        <v>4818</v>
      </c>
      <c r="N468" s="801" t="s">
        <v>414</v>
      </c>
      <c r="O468" s="802">
        <v>3.7000000000000002E-3</v>
      </c>
      <c r="P468" s="803" t="s">
        <v>414</v>
      </c>
      <c r="Q468" s="804">
        <v>1.96</v>
      </c>
      <c r="R468" s="805" t="s">
        <v>414</v>
      </c>
      <c r="S468" s="527">
        <v>9.4400000000000004E-5</v>
      </c>
      <c r="T468" s="528" t="s">
        <v>414</v>
      </c>
    </row>
    <row r="469" spans="1:20" ht="15" customHeight="1" thickBot="1">
      <c r="A469" s="806" t="s">
        <v>1155</v>
      </c>
      <c r="B469" s="807" t="s">
        <v>1156</v>
      </c>
      <c r="C469" s="808">
        <v>545.54999999999995</v>
      </c>
      <c r="D469" s="809" t="s">
        <v>1801</v>
      </c>
      <c r="E469" s="810">
        <v>3.3156199999999997E-2</v>
      </c>
      <c r="F469" s="810">
        <v>8.1099999999999998E-4</v>
      </c>
      <c r="G469" s="811" t="s">
        <v>1801</v>
      </c>
      <c r="H469" s="812">
        <v>2.25</v>
      </c>
      <c r="I469" s="813" t="s">
        <v>2399</v>
      </c>
      <c r="J469" s="814">
        <v>2.1880199999999999E-2</v>
      </c>
      <c r="K469" s="814">
        <v>5.6296000000000003E-6</v>
      </c>
      <c r="L469" s="815" t="s">
        <v>2367</v>
      </c>
      <c r="M469" s="816">
        <v>356600</v>
      </c>
      <c r="N469" s="816" t="s">
        <v>414</v>
      </c>
      <c r="O469" s="817">
        <v>8.5000000000000006E-2</v>
      </c>
      <c r="P469" s="818" t="s">
        <v>1801</v>
      </c>
      <c r="Q469" s="819">
        <v>5.16E-2</v>
      </c>
      <c r="R469" s="820" t="s">
        <v>414</v>
      </c>
      <c r="S469" s="529" t="s">
        <v>1750</v>
      </c>
      <c r="T469" s="530" t="s">
        <v>43</v>
      </c>
    </row>
    <row r="470" spans="1:20" ht="15" customHeight="1">
      <c r="A470" s="791" t="s">
        <v>1157</v>
      </c>
      <c r="B470" s="792" t="s">
        <v>1158</v>
      </c>
      <c r="C470" s="793">
        <v>187.31</v>
      </c>
      <c r="D470" s="794" t="s">
        <v>1801</v>
      </c>
      <c r="E470" s="795">
        <v>1.6760000000000001E-4</v>
      </c>
      <c r="F470" s="795">
        <v>4.0999999999999997E-6</v>
      </c>
      <c r="G470" s="796" t="s">
        <v>1801</v>
      </c>
      <c r="H470" s="797">
        <v>1.0629999999999999</v>
      </c>
      <c r="I470" s="798" t="s">
        <v>1796</v>
      </c>
      <c r="J470" s="799">
        <v>3.1556099999999997E-2</v>
      </c>
      <c r="K470" s="799">
        <v>6.8179999999999998E-6</v>
      </c>
      <c r="L470" s="800" t="s">
        <v>2367</v>
      </c>
      <c r="M470" s="801">
        <v>181.9</v>
      </c>
      <c r="N470" s="801" t="s">
        <v>414</v>
      </c>
      <c r="O470" s="802">
        <v>970</v>
      </c>
      <c r="P470" s="803" t="s">
        <v>1801</v>
      </c>
      <c r="Q470" s="804">
        <v>1.89E-2</v>
      </c>
      <c r="R470" s="805" t="s">
        <v>414</v>
      </c>
      <c r="S470" s="527">
        <v>8.0700000000000008E-3</v>
      </c>
      <c r="T470" s="528" t="s">
        <v>414</v>
      </c>
    </row>
    <row r="471" spans="1:20" ht="15" customHeight="1">
      <c r="A471" s="791" t="s">
        <v>1159</v>
      </c>
      <c r="B471" s="792" t="s">
        <v>1160</v>
      </c>
      <c r="C471" s="793">
        <v>95.94</v>
      </c>
      <c r="D471" s="794" t="s">
        <v>1801</v>
      </c>
      <c r="E471" s="831" t="s">
        <v>1750</v>
      </c>
      <c r="F471" s="831" t="s">
        <v>1750</v>
      </c>
      <c r="G471" s="832" t="s">
        <v>43</v>
      </c>
      <c r="H471" s="797">
        <v>10.199999999999999</v>
      </c>
      <c r="I471" s="798" t="s">
        <v>1796</v>
      </c>
      <c r="J471" s="833" t="s">
        <v>1750</v>
      </c>
      <c r="K471" s="833" t="s">
        <v>1750</v>
      </c>
      <c r="L471" s="834" t="s">
        <v>43</v>
      </c>
      <c r="M471" s="835" t="s">
        <v>1750</v>
      </c>
      <c r="N471" s="836" t="s">
        <v>43</v>
      </c>
      <c r="O471" s="837" t="s">
        <v>1750</v>
      </c>
      <c r="P471" s="838" t="s">
        <v>43</v>
      </c>
      <c r="Q471" s="804">
        <v>1E-3</v>
      </c>
      <c r="R471" s="805" t="s">
        <v>1797</v>
      </c>
      <c r="S471" s="527">
        <v>8.0400000000000003E-3</v>
      </c>
      <c r="T471" s="528" t="s">
        <v>414</v>
      </c>
    </row>
    <row r="472" spans="1:20" ht="15" customHeight="1" thickBot="1">
      <c r="A472" s="806" t="s">
        <v>1161</v>
      </c>
      <c r="B472" s="807" t="s">
        <v>1162</v>
      </c>
      <c r="C472" s="808">
        <v>51.48</v>
      </c>
      <c r="D472" s="809" t="s">
        <v>414</v>
      </c>
      <c r="E472" s="823" t="s">
        <v>1750</v>
      </c>
      <c r="F472" s="823" t="s">
        <v>1750</v>
      </c>
      <c r="G472" s="824" t="s">
        <v>43</v>
      </c>
      <c r="H472" s="839" t="s">
        <v>1750</v>
      </c>
      <c r="I472" s="840" t="s">
        <v>43</v>
      </c>
      <c r="J472" s="825" t="s">
        <v>1750</v>
      </c>
      <c r="K472" s="825" t="s">
        <v>1750</v>
      </c>
      <c r="L472" s="826" t="s">
        <v>43</v>
      </c>
      <c r="M472" s="827" t="s">
        <v>1750</v>
      </c>
      <c r="N472" s="828" t="s">
        <v>43</v>
      </c>
      <c r="O472" s="829" t="s">
        <v>1750</v>
      </c>
      <c r="P472" s="830" t="s">
        <v>43</v>
      </c>
      <c r="Q472" s="819">
        <v>1E-3</v>
      </c>
      <c r="R472" s="820" t="s">
        <v>1797</v>
      </c>
      <c r="S472" s="521">
        <v>1E-3</v>
      </c>
      <c r="T472" s="522" t="s">
        <v>1797</v>
      </c>
    </row>
    <row r="473" spans="1:20" ht="15" customHeight="1">
      <c r="A473" s="791" t="s">
        <v>1163</v>
      </c>
      <c r="B473" s="792" t="s">
        <v>1164</v>
      </c>
      <c r="C473" s="793">
        <v>107.16</v>
      </c>
      <c r="D473" s="794" t="s">
        <v>1801</v>
      </c>
      <c r="E473" s="795">
        <v>3.6299999999999999E-4</v>
      </c>
      <c r="F473" s="795">
        <v>8.8799999999999997E-6</v>
      </c>
      <c r="G473" s="796" t="s">
        <v>1801</v>
      </c>
      <c r="H473" s="797">
        <v>0.98909999999999998</v>
      </c>
      <c r="I473" s="798" t="s">
        <v>1796</v>
      </c>
      <c r="J473" s="799">
        <v>7.2099899999999995E-2</v>
      </c>
      <c r="K473" s="799">
        <v>9.1284000000000006E-6</v>
      </c>
      <c r="L473" s="800" t="s">
        <v>2367</v>
      </c>
      <c r="M473" s="801">
        <v>82.08</v>
      </c>
      <c r="N473" s="801" t="s">
        <v>414</v>
      </c>
      <c r="O473" s="802">
        <v>5620</v>
      </c>
      <c r="P473" s="803" t="s">
        <v>1801</v>
      </c>
      <c r="Q473" s="804">
        <v>4.9800000000000001E-3</v>
      </c>
      <c r="R473" s="805" t="s">
        <v>414</v>
      </c>
      <c r="S473" s="527">
        <v>1E-3</v>
      </c>
      <c r="T473" s="528" t="s">
        <v>1797</v>
      </c>
    </row>
    <row r="474" spans="1:20" ht="15" customHeight="1">
      <c r="A474" s="791" t="s">
        <v>2233</v>
      </c>
      <c r="B474" s="792" t="s">
        <v>1490</v>
      </c>
      <c r="C474" s="793">
        <v>274.76</v>
      </c>
      <c r="D474" s="794" t="s">
        <v>1801</v>
      </c>
      <c r="E474" s="795">
        <v>1.7498E-7</v>
      </c>
      <c r="F474" s="795">
        <v>4.2800000000000001E-9</v>
      </c>
      <c r="G474" s="796" t="s">
        <v>414</v>
      </c>
      <c r="H474" s="821" t="s">
        <v>1750</v>
      </c>
      <c r="I474" s="822" t="s">
        <v>43</v>
      </c>
      <c r="J474" s="799">
        <v>4.4955700000000001E-2</v>
      </c>
      <c r="K474" s="799">
        <v>5.2526999999999997E-6</v>
      </c>
      <c r="L474" s="800" t="s">
        <v>2367</v>
      </c>
      <c r="M474" s="801">
        <v>6075</v>
      </c>
      <c r="N474" s="801" t="s">
        <v>414</v>
      </c>
      <c r="O474" s="802">
        <v>142</v>
      </c>
      <c r="P474" s="803" t="s">
        <v>1801</v>
      </c>
      <c r="Q474" s="804">
        <v>3.3700000000000002E-3</v>
      </c>
      <c r="R474" s="805" t="s">
        <v>414</v>
      </c>
      <c r="S474" s="527">
        <v>2.0000000000000001E-4</v>
      </c>
      <c r="T474" s="528" t="s">
        <v>1797</v>
      </c>
    </row>
    <row r="475" spans="1:20" ht="15" customHeight="1" thickBot="1">
      <c r="A475" s="806" t="s">
        <v>1165</v>
      </c>
      <c r="B475" s="807" t="s">
        <v>1166</v>
      </c>
      <c r="C475" s="808">
        <v>260.33999999999997</v>
      </c>
      <c r="D475" s="809" t="s">
        <v>1801</v>
      </c>
      <c r="E475" s="810">
        <v>8.3810000000000007E-9</v>
      </c>
      <c r="F475" s="810">
        <v>2.0499999999999999E-10</v>
      </c>
      <c r="G475" s="811" t="s">
        <v>1801</v>
      </c>
      <c r="H475" s="839" t="s">
        <v>1750</v>
      </c>
      <c r="I475" s="840" t="s">
        <v>43</v>
      </c>
      <c r="J475" s="814">
        <v>4.6600799999999998E-2</v>
      </c>
      <c r="K475" s="814">
        <v>5.4449000000000002E-6</v>
      </c>
      <c r="L475" s="815" t="s">
        <v>2367</v>
      </c>
      <c r="M475" s="816">
        <v>51890</v>
      </c>
      <c r="N475" s="816" t="s">
        <v>414</v>
      </c>
      <c r="O475" s="817">
        <v>7.3529999999999998</v>
      </c>
      <c r="P475" s="818" t="s">
        <v>1801</v>
      </c>
      <c r="Q475" s="819">
        <v>2.6200000000000001E-2</v>
      </c>
      <c r="R475" s="820" t="s">
        <v>414</v>
      </c>
      <c r="S475" s="521">
        <v>2.0000000000000001E-4</v>
      </c>
      <c r="T475" s="522" t="s">
        <v>1797</v>
      </c>
    </row>
    <row r="476" spans="1:20" ht="15" customHeight="1">
      <c r="A476" s="791" t="s">
        <v>1167</v>
      </c>
      <c r="B476" s="792" t="s">
        <v>1168</v>
      </c>
      <c r="C476" s="793">
        <v>380.79</v>
      </c>
      <c r="D476" s="794" t="s">
        <v>1801</v>
      </c>
      <c r="E476" s="795">
        <v>2.6614999999999998E-3</v>
      </c>
      <c r="F476" s="795">
        <v>6.5099999999999997E-5</v>
      </c>
      <c r="G476" s="796" t="s">
        <v>414</v>
      </c>
      <c r="H476" s="797">
        <v>1.96</v>
      </c>
      <c r="I476" s="798" t="s">
        <v>1796</v>
      </c>
      <c r="J476" s="799">
        <v>2.45667E-2</v>
      </c>
      <c r="K476" s="799">
        <v>6.4300000000000003E-6</v>
      </c>
      <c r="L476" s="800" t="s">
        <v>2367</v>
      </c>
      <c r="M476" s="801">
        <v>126.7</v>
      </c>
      <c r="N476" s="801" t="s">
        <v>414</v>
      </c>
      <c r="O476" s="802">
        <v>1.5</v>
      </c>
      <c r="P476" s="803" t="s">
        <v>1801</v>
      </c>
      <c r="Q476" s="804">
        <v>9.4400000000000004E-5</v>
      </c>
      <c r="R476" s="805" t="s">
        <v>414</v>
      </c>
      <c r="S476" s="527">
        <v>2.0000000000000001E-4</v>
      </c>
      <c r="T476" s="528" t="s">
        <v>1797</v>
      </c>
    </row>
    <row r="477" spans="1:20" ht="15" customHeight="1">
      <c r="A477" s="791" t="s">
        <v>1169</v>
      </c>
      <c r="B477" s="792" t="s">
        <v>2165</v>
      </c>
      <c r="C477" s="841" t="s">
        <v>1750</v>
      </c>
      <c r="D477" s="842" t="s">
        <v>43</v>
      </c>
      <c r="E477" s="795">
        <v>1.79886E-2</v>
      </c>
      <c r="F477" s="795">
        <v>4.4000000000000002E-4</v>
      </c>
      <c r="G477" s="796" t="s">
        <v>414</v>
      </c>
      <c r="H477" s="821" t="s">
        <v>1750</v>
      </c>
      <c r="I477" s="822" t="s">
        <v>43</v>
      </c>
      <c r="J477" s="833" t="s">
        <v>1750</v>
      </c>
      <c r="K477" s="833" t="s">
        <v>1750</v>
      </c>
      <c r="L477" s="834" t="s">
        <v>43</v>
      </c>
      <c r="M477" s="835" t="s">
        <v>1750</v>
      </c>
      <c r="N477" s="836" t="s">
        <v>43</v>
      </c>
      <c r="O477" s="802">
        <v>31</v>
      </c>
      <c r="P477" s="803" t="s">
        <v>414</v>
      </c>
      <c r="Q477" s="843" t="s">
        <v>1750</v>
      </c>
      <c r="R477" s="844" t="s">
        <v>43</v>
      </c>
      <c r="S477" s="527">
        <v>1E-3</v>
      </c>
      <c r="T477" s="528" t="s">
        <v>1797</v>
      </c>
    </row>
    <row r="478" spans="1:20" ht="15" customHeight="1" thickBot="1">
      <c r="A478" s="806" t="s">
        <v>1170</v>
      </c>
      <c r="B478" s="807" t="s">
        <v>1171</v>
      </c>
      <c r="C478" s="808">
        <v>143.19</v>
      </c>
      <c r="D478" s="809" t="s">
        <v>1801</v>
      </c>
      <c r="E478" s="810">
        <v>3.3115E-6</v>
      </c>
      <c r="F478" s="810">
        <v>8.0999999999999997E-8</v>
      </c>
      <c r="G478" s="811" t="s">
        <v>1801</v>
      </c>
      <c r="H478" s="812">
        <v>1.6414</v>
      </c>
      <c r="I478" s="813" t="s">
        <v>1796</v>
      </c>
      <c r="J478" s="814">
        <v>6.44512E-2</v>
      </c>
      <c r="K478" s="814">
        <v>1.04E-5</v>
      </c>
      <c r="L478" s="815" t="s">
        <v>2367</v>
      </c>
      <c r="M478" s="816">
        <v>2478</v>
      </c>
      <c r="N478" s="816" t="s">
        <v>414</v>
      </c>
      <c r="O478" s="817">
        <v>189</v>
      </c>
      <c r="P478" s="818" t="s">
        <v>1801</v>
      </c>
      <c r="Q478" s="819">
        <v>8.0700000000000008E-3</v>
      </c>
      <c r="R478" s="820" t="s">
        <v>414</v>
      </c>
      <c r="S478" s="521">
        <v>1E-3</v>
      </c>
      <c r="T478" s="522" t="s">
        <v>1797</v>
      </c>
    </row>
    <row r="479" spans="1:20" ht="15" customHeight="1">
      <c r="A479" s="791" t="s">
        <v>1172</v>
      </c>
      <c r="B479" s="792" t="s">
        <v>1173</v>
      </c>
      <c r="C479" s="793">
        <v>271.36</v>
      </c>
      <c r="D479" s="794" t="s">
        <v>1801</v>
      </c>
      <c r="E479" s="795">
        <v>3.4382999999999998E-8</v>
      </c>
      <c r="F479" s="795">
        <v>8.4099999999999999E-10</v>
      </c>
      <c r="G479" s="796" t="s">
        <v>414</v>
      </c>
      <c r="H479" s="821" t="s">
        <v>1750</v>
      </c>
      <c r="I479" s="822" t="s">
        <v>43</v>
      </c>
      <c r="J479" s="799">
        <v>4.53304E-2</v>
      </c>
      <c r="K479" s="799">
        <v>5.2965E-6</v>
      </c>
      <c r="L479" s="800" t="s">
        <v>2367</v>
      </c>
      <c r="M479" s="801">
        <v>3218</v>
      </c>
      <c r="N479" s="801" t="s">
        <v>414</v>
      </c>
      <c r="O479" s="802">
        <v>73</v>
      </c>
      <c r="P479" s="803" t="s">
        <v>1801</v>
      </c>
      <c r="Q479" s="804">
        <v>8.0400000000000003E-3</v>
      </c>
      <c r="R479" s="805" t="s">
        <v>414</v>
      </c>
      <c r="S479" s="527">
        <v>1E-3</v>
      </c>
      <c r="T479" s="528" t="s">
        <v>1797</v>
      </c>
    </row>
    <row r="480" spans="1:20" ht="15" customHeight="1">
      <c r="A480" s="791" t="s">
        <v>2234</v>
      </c>
      <c r="B480" s="792" t="s">
        <v>2235</v>
      </c>
      <c r="C480" s="793">
        <v>176.8</v>
      </c>
      <c r="D480" s="794" t="s">
        <v>1801</v>
      </c>
      <c r="E480" s="831" t="s">
        <v>1750</v>
      </c>
      <c r="F480" s="831" t="s">
        <v>1750</v>
      </c>
      <c r="G480" s="832" t="s">
        <v>43</v>
      </c>
      <c r="H480" s="797">
        <v>1.798</v>
      </c>
      <c r="I480" s="798" t="s">
        <v>1802</v>
      </c>
      <c r="J480" s="799">
        <v>4.61757E-2</v>
      </c>
      <c r="K480" s="799">
        <v>9.6750999999999999E-6</v>
      </c>
      <c r="L480" s="800" t="s">
        <v>2367</v>
      </c>
      <c r="M480" s="801">
        <v>1</v>
      </c>
      <c r="N480" s="801" t="s">
        <v>414</v>
      </c>
      <c r="O480" s="802">
        <v>166000</v>
      </c>
      <c r="P480" s="803" t="s">
        <v>1801</v>
      </c>
      <c r="Q480" s="804">
        <v>1.9400000000000001E-5</v>
      </c>
      <c r="R480" s="805" t="s">
        <v>414</v>
      </c>
      <c r="S480" s="527">
        <v>4.4600000000000004E-3</v>
      </c>
      <c r="T480" s="528" t="s">
        <v>414</v>
      </c>
    </row>
    <row r="481" spans="1:20" ht="15" customHeight="1" thickBot="1">
      <c r="A481" s="806" t="s">
        <v>2236</v>
      </c>
      <c r="B481" s="807" t="s">
        <v>2237</v>
      </c>
      <c r="C481" s="808">
        <v>118.72</v>
      </c>
      <c r="D481" s="809" t="s">
        <v>1801</v>
      </c>
      <c r="E481" s="823" t="s">
        <v>1750</v>
      </c>
      <c r="F481" s="823" t="s">
        <v>1750</v>
      </c>
      <c r="G481" s="824" t="s">
        <v>43</v>
      </c>
      <c r="H481" s="839" t="s">
        <v>1750</v>
      </c>
      <c r="I481" s="840" t="s">
        <v>43</v>
      </c>
      <c r="J481" s="814">
        <v>7.8657099999999994E-2</v>
      </c>
      <c r="K481" s="814">
        <v>9.1904999999999995E-6</v>
      </c>
      <c r="L481" s="815" t="s">
        <v>2367</v>
      </c>
      <c r="M481" s="827" t="s">
        <v>1750</v>
      </c>
      <c r="N481" s="828" t="s">
        <v>43</v>
      </c>
      <c r="O481" s="817">
        <v>93</v>
      </c>
      <c r="P481" s="818" t="s">
        <v>1802</v>
      </c>
      <c r="Q481" s="819">
        <v>1.3200000000000001E-5</v>
      </c>
      <c r="R481" s="820" t="s">
        <v>414</v>
      </c>
      <c r="S481" s="521">
        <v>2.2100000000000002E-3</v>
      </c>
      <c r="T481" s="522" t="s">
        <v>414</v>
      </c>
    </row>
    <row r="482" spans="1:20" ht="15" customHeight="1">
      <c r="A482" s="791" t="s">
        <v>1174</v>
      </c>
      <c r="B482" s="792" t="s">
        <v>1175</v>
      </c>
      <c r="C482" s="793">
        <v>170.73400000000001</v>
      </c>
      <c r="D482" s="794" t="s">
        <v>1796</v>
      </c>
      <c r="E482" s="795">
        <v>20.440000000000001</v>
      </c>
      <c r="F482" s="795">
        <v>0.5</v>
      </c>
      <c r="G482" s="796" t="s">
        <v>2172</v>
      </c>
      <c r="H482" s="797">
        <v>1.31</v>
      </c>
      <c r="I482" s="798" t="s">
        <v>1796</v>
      </c>
      <c r="J482" s="799">
        <v>4.3301899999999997E-2</v>
      </c>
      <c r="K482" s="799">
        <v>8.1704000000000006E-6</v>
      </c>
      <c r="L482" s="800" t="s">
        <v>2367</v>
      </c>
      <c r="M482" s="835" t="s">
        <v>1750</v>
      </c>
      <c r="N482" s="836" t="s">
        <v>43</v>
      </c>
      <c r="O482" s="802">
        <v>180</v>
      </c>
      <c r="P482" s="803" t="s">
        <v>1802</v>
      </c>
      <c r="Q482" s="843" t="s">
        <v>1750</v>
      </c>
      <c r="R482" s="844" t="s">
        <v>43</v>
      </c>
      <c r="S482" s="527">
        <v>5.4099999999999999E-3</v>
      </c>
      <c r="T482" s="528" t="s">
        <v>414</v>
      </c>
    </row>
    <row r="483" spans="1:20" ht="15" customHeight="1">
      <c r="A483" s="791" t="s">
        <v>2238</v>
      </c>
      <c r="B483" s="792" t="s">
        <v>2239</v>
      </c>
      <c r="C483" s="793">
        <v>92.708100000000002</v>
      </c>
      <c r="D483" s="794" t="s">
        <v>2420</v>
      </c>
      <c r="E483" s="831" t="s">
        <v>1750</v>
      </c>
      <c r="F483" s="831" t="s">
        <v>1750</v>
      </c>
      <c r="G483" s="832" t="s">
        <v>43</v>
      </c>
      <c r="H483" s="821" t="s">
        <v>1750</v>
      </c>
      <c r="I483" s="822" t="s">
        <v>43</v>
      </c>
      <c r="J483" s="833" t="s">
        <v>1750</v>
      </c>
      <c r="K483" s="833" t="s">
        <v>1750</v>
      </c>
      <c r="L483" s="834" t="s">
        <v>43</v>
      </c>
      <c r="M483" s="835" t="s">
        <v>1750</v>
      </c>
      <c r="N483" s="836" t="s">
        <v>43</v>
      </c>
      <c r="O483" s="837" t="s">
        <v>1750</v>
      </c>
      <c r="P483" s="838" t="s">
        <v>43</v>
      </c>
      <c r="Q483" s="804">
        <v>1E-3</v>
      </c>
      <c r="R483" s="805" t="s">
        <v>1797</v>
      </c>
      <c r="S483" s="527">
        <v>9.8600000000000003E-9</v>
      </c>
      <c r="T483" s="528" t="s">
        <v>414</v>
      </c>
    </row>
    <row r="484" spans="1:20" ht="15" customHeight="1" thickBot="1">
      <c r="A484" s="806" t="s">
        <v>1176</v>
      </c>
      <c r="B484" s="807" t="s">
        <v>1177</v>
      </c>
      <c r="C484" s="808">
        <v>74.69</v>
      </c>
      <c r="D484" s="809" t="s">
        <v>414</v>
      </c>
      <c r="E484" s="823" t="s">
        <v>1750</v>
      </c>
      <c r="F484" s="823" t="s">
        <v>1750</v>
      </c>
      <c r="G484" s="824" t="s">
        <v>43</v>
      </c>
      <c r="H484" s="812">
        <v>6.72</v>
      </c>
      <c r="I484" s="813" t="s">
        <v>1796</v>
      </c>
      <c r="J484" s="825" t="s">
        <v>1750</v>
      </c>
      <c r="K484" s="825" t="s">
        <v>1750</v>
      </c>
      <c r="L484" s="826" t="s">
        <v>43</v>
      </c>
      <c r="M484" s="827" t="s">
        <v>1750</v>
      </c>
      <c r="N484" s="828" t="s">
        <v>43</v>
      </c>
      <c r="O484" s="829" t="s">
        <v>1750</v>
      </c>
      <c r="P484" s="830" t="s">
        <v>43</v>
      </c>
      <c r="Q484" s="819">
        <v>1E-3</v>
      </c>
      <c r="R484" s="820" t="s">
        <v>1797</v>
      </c>
      <c r="S484" s="521">
        <v>3.5200000000000002E-5</v>
      </c>
      <c r="T484" s="522" t="s">
        <v>414</v>
      </c>
    </row>
    <row r="485" spans="1:20" ht="15" customHeight="1">
      <c r="A485" s="791" t="s">
        <v>1178</v>
      </c>
      <c r="B485" s="792" t="s">
        <v>2421</v>
      </c>
      <c r="C485" s="841" t="s">
        <v>1750</v>
      </c>
      <c r="D485" s="842" t="s">
        <v>43</v>
      </c>
      <c r="E485" s="831" t="s">
        <v>1750</v>
      </c>
      <c r="F485" s="831" t="s">
        <v>1750</v>
      </c>
      <c r="G485" s="832" t="s">
        <v>43</v>
      </c>
      <c r="H485" s="821" t="s">
        <v>1750</v>
      </c>
      <c r="I485" s="822" t="s">
        <v>43</v>
      </c>
      <c r="J485" s="833" t="s">
        <v>1750</v>
      </c>
      <c r="K485" s="833" t="s">
        <v>1750</v>
      </c>
      <c r="L485" s="834" t="s">
        <v>43</v>
      </c>
      <c r="M485" s="835" t="s">
        <v>1750</v>
      </c>
      <c r="N485" s="836" t="s">
        <v>43</v>
      </c>
      <c r="O485" s="837" t="s">
        <v>1750</v>
      </c>
      <c r="P485" s="838" t="s">
        <v>43</v>
      </c>
      <c r="Q485" s="804">
        <v>2.0000000000000001E-4</v>
      </c>
      <c r="R485" s="805" t="s">
        <v>1797</v>
      </c>
      <c r="S485" s="527">
        <v>1.7200000000000001E-4</v>
      </c>
      <c r="T485" s="528" t="s">
        <v>414</v>
      </c>
    </row>
    <row r="486" spans="1:20" ht="15" customHeight="1">
      <c r="A486" s="791" t="s">
        <v>1179</v>
      </c>
      <c r="B486" s="792" t="s">
        <v>1180</v>
      </c>
      <c r="C486" s="793">
        <v>58.71</v>
      </c>
      <c r="D486" s="794" t="s">
        <v>1801</v>
      </c>
      <c r="E486" s="831" t="s">
        <v>1750</v>
      </c>
      <c r="F486" s="831" t="s">
        <v>1750</v>
      </c>
      <c r="G486" s="832" t="s">
        <v>43</v>
      </c>
      <c r="H486" s="797">
        <v>8.9</v>
      </c>
      <c r="I486" s="798" t="s">
        <v>1796</v>
      </c>
      <c r="J486" s="833" t="s">
        <v>1750</v>
      </c>
      <c r="K486" s="833" t="s">
        <v>1750</v>
      </c>
      <c r="L486" s="834" t="s">
        <v>43</v>
      </c>
      <c r="M486" s="835" t="s">
        <v>1750</v>
      </c>
      <c r="N486" s="836" t="s">
        <v>43</v>
      </c>
      <c r="O486" s="837" t="s">
        <v>1750</v>
      </c>
      <c r="P486" s="838" t="s">
        <v>43</v>
      </c>
      <c r="Q486" s="804">
        <v>2.0000000000000001E-4</v>
      </c>
      <c r="R486" s="805" t="s">
        <v>1797</v>
      </c>
      <c r="S486" s="527">
        <v>9.9400000000000009E-4</v>
      </c>
      <c r="T486" s="528" t="s">
        <v>414</v>
      </c>
    </row>
    <row r="487" spans="1:20" ht="15" customHeight="1" thickBot="1">
      <c r="A487" s="806" t="s">
        <v>1181</v>
      </c>
      <c r="B487" s="807" t="s">
        <v>1182</v>
      </c>
      <c r="C487" s="808">
        <v>240.21</v>
      </c>
      <c r="D487" s="809" t="s">
        <v>1796</v>
      </c>
      <c r="E487" s="823" t="s">
        <v>1750</v>
      </c>
      <c r="F487" s="823" t="s">
        <v>1750</v>
      </c>
      <c r="G487" s="824" t="s">
        <v>43</v>
      </c>
      <c r="H487" s="812">
        <v>5.87</v>
      </c>
      <c r="I487" s="813" t="s">
        <v>1796</v>
      </c>
      <c r="J487" s="825" t="s">
        <v>1750</v>
      </c>
      <c r="K487" s="825" t="s">
        <v>1750</v>
      </c>
      <c r="L487" s="826" t="s">
        <v>43</v>
      </c>
      <c r="M487" s="827" t="s">
        <v>1750</v>
      </c>
      <c r="N487" s="828" t="s">
        <v>43</v>
      </c>
      <c r="O487" s="829" t="s">
        <v>1750</v>
      </c>
      <c r="P487" s="830" t="s">
        <v>43</v>
      </c>
      <c r="Q487" s="819">
        <v>2.0000000000000001E-4</v>
      </c>
      <c r="R487" s="820" t="s">
        <v>1797</v>
      </c>
      <c r="S487" s="521">
        <v>1.05E-4</v>
      </c>
      <c r="T487" s="522" t="s">
        <v>414</v>
      </c>
    </row>
    <row r="488" spans="1:20" ht="15" customHeight="1">
      <c r="A488" s="791" t="s">
        <v>2240</v>
      </c>
      <c r="B488" s="792" t="s">
        <v>2241</v>
      </c>
      <c r="C488" s="793">
        <v>188.87899999999999</v>
      </c>
      <c r="D488" s="794" t="s">
        <v>1796</v>
      </c>
      <c r="E488" s="831" t="s">
        <v>1750</v>
      </c>
      <c r="F488" s="831" t="s">
        <v>1750</v>
      </c>
      <c r="G488" s="832" t="s">
        <v>43</v>
      </c>
      <c r="H488" s="821" t="s">
        <v>1750</v>
      </c>
      <c r="I488" s="822" t="s">
        <v>43</v>
      </c>
      <c r="J488" s="799">
        <v>5.7716200000000002E-2</v>
      </c>
      <c r="K488" s="799">
        <v>6.7437000000000003E-6</v>
      </c>
      <c r="L488" s="800" t="s">
        <v>2367</v>
      </c>
      <c r="M488" s="835" t="s">
        <v>1750</v>
      </c>
      <c r="N488" s="836" t="s">
        <v>43</v>
      </c>
      <c r="O488" s="837" t="s">
        <v>1750</v>
      </c>
      <c r="P488" s="838" t="s">
        <v>43</v>
      </c>
      <c r="Q488" s="843" t="s">
        <v>1750</v>
      </c>
      <c r="R488" s="844" t="s">
        <v>43</v>
      </c>
      <c r="S488" s="527">
        <v>4.17E-4</v>
      </c>
      <c r="T488" s="528" t="s">
        <v>414</v>
      </c>
    </row>
    <row r="489" spans="1:20" ht="15" customHeight="1">
      <c r="A489" s="791" t="s">
        <v>1183</v>
      </c>
      <c r="B489" s="792" t="s">
        <v>1184</v>
      </c>
      <c r="C489" s="793">
        <v>62</v>
      </c>
      <c r="D489" s="794" t="s">
        <v>414</v>
      </c>
      <c r="E489" s="831" t="s">
        <v>1750</v>
      </c>
      <c r="F489" s="831" t="s">
        <v>1750</v>
      </c>
      <c r="G489" s="832" t="s">
        <v>43</v>
      </c>
      <c r="H489" s="821" t="s">
        <v>1750</v>
      </c>
      <c r="I489" s="822" t="s">
        <v>43</v>
      </c>
      <c r="J489" s="833" t="s">
        <v>1750</v>
      </c>
      <c r="K489" s="833" t="s">
        <v>1750</v>
      </c>
      <c r="L489" s="834" t="s">
        <v>43</v>
      </c>
      <c r="M489" s="835" t="s">
        <v>1750</v>
      </c>
      <c r="N489" s="836" t="s">
        <v>43</v>
      </c>
      <c r="O489" s="837" t="s">
        <v>1750</v>
      </c>
      <c r="P489" s="838" t="s">
        <v>43</v>
      </c>
      <c r="Q489" s="804">
        <v>1E-3</v>
      </c>
      <c r="R489" s="805" t="s">
        <v>1797</v>
      </c>
      <c r="S489" s="527">
        <v>2.0600000000000002E-3</v>
      </c>
      <c r="T489" s="528" t="s">
        <v>414</v>
      </c>
    </row>
    <row r="490" spans="1:20" ht="15" customHeight="1" thickBot="1">
      <c r="A490" s="806" t="s">
        <v>1833</v>
      </c>
      <c r="B490" s="807" t="s">
        <v>2422</v>
      </c>
      <c r="C490" s="845" t="s">
        <v>1750</v>
      </c>
      <c r="D490" s="846" t="s">
        <v>43</v>
      </c>
      <c r="E490" s="823" t="s">
        <v>1750</v>
      </c>
      <c r="F490" s="823" t="s">
        <v>1750</v>
      </c>
      <c r="G490" s="824" t="s">
        <v>43</v>
      </c>
      <c r="H490" s="839" t="s">
        <v>1750</v>
      </c>
      <c r="I490" s="840" t="s">
        <v>43</v>
      </c>
      <c r="J490" s="825" t="s">
        <v>1750</v>
      </c>
      <c r="K490" s="825" t="s">
        <v>1750</v>
      </c>
      <c r="L490" s="826" t="s">
        <v>43</v>
      </c>
      <c r="M490" s="827" t="s">
        <v>1750</v>
      </c>
      <c r="N490" s="828" t="s">
        <v>43</v>
      </c>
      <c r="O490" s="829" t="s">
        <v>1750</v>
      </c>
      <c r="P490" s="830" t="s">
        <v>43</v>
      </c>
      <c r="Q490" s="819">
        <v>1E-3</v>
      </c>
      <c r="R490" s="820" t="s">
        <v>1797</v>
      </c>
      <c r="S490" s="521">
        <v>4.8999999999999998E-4</v>
      </c>
      <c r="T490" s="522" t="s">
        <v>414</v>
      </c>
    </row>
    <row r="491" spans="1:20" ht="15" customHeight="1">
      <c r="A491" s="791" t="s">
        <v>1185</v>
      </c>
      <c r="B491" s="792" t="s">
        <v>1186</v>
      </c>
      <c r="C491" s="793">
        <v>47.01</v>
      </c>
      <c r="D491" s="794" t="s">
        <v>414</v>
      </c>
      <c r="E491" s="831" t="s">
        <v>1750</v>
      </c>
      <c r="F491" s="831" t="s">
        <v>1750</v>
      </c>
      <c r="G491" s="832" t="s">
        <v>43</v>
      </c>
      <c r="H491" s="821" t="s">
        <v>1750</v>
      </c>
      <c r="I491" s="822" t="s">
        <v>43</v>
      </c>
      <c r="J491" s="833" t="s">
        <v>1750</v>
      </c>
      <c r="K491" s="833" t="s">
        <v>1750</v>
      </c>
      <c r="L491" s="834" t="s">
        <v>43</v>
      </c>
      <c r="M491" s="835" t="s">
        <v>1750</v>
      </c>
      <c r="N491" s="836" t="s">
        <v>43</v>
      </c>
      <c r="O491" s="837" t="s">
        <v>1750</v>
      </c>
      <c r="P491" s="838" t="s">
        <v>43</v>
      </c>
      <c r="Q491" s="804">
        <v>1E-3</v>
      </c>
      <c r="R491" s="805" t="s">
        <v>1797</v>
      </c>
      <c r="S491" s="527">
        <v>3.9500000000000001E-4</v>
      </c>
      <c r="T491" s="528" t="s">
        <v>414</v>
      </c>
    </row>
    <row r="492" spans="1:20" ht="15" customHeight="1">
      <c r="A492" s="791" t="s">
        <v>1187</v>
      </c>
      <c r="B492" s="792" t="s">
        <v>1188</v>
      </c>
      <c r="C492" s="793">
        <v>138.13</v>
      </c>
      <c r="D492" s="794" t="s">
        <v>1801</v>
      </c>
      <c r="E492" s="795">
        <v>2.4121000000000002E-6</v>
      </c>
      <c r="F492" s="795">
        <v>5.8999999999999999E-8</v>
      </c>
      <c r="G492" s="796" t="s">
        <v>1801</v>
      </c>
      <c r="H492" s="797">
        <v>0.90149999999999997</v>
      </c>
      <c r="I492" s="798" t="s">
        <v>1796</v>
      </c>
      <c r="J492" s="799">
        <v>5.1919300000000002E-2</v>
      </c>
      <c r="K492" s="799">
        <v>7.4143999999999997E-6</v>
      </c>
      <c r="L492" s="800" t="s">
        <v>2367</v>
      </c>
      <c r="M492" s="801">
        <v>111.3</v>
      </c>
      <c r="N492" s="801" t="s">
        <v>414</v>
      </c>
      <c r="O492" s="802">
        <v>1470</v>
      </c>
      <c r="P492" s="803" t="s">
        <v>1801</v>
      </c>
      <c r="Q492" s="804">
        <v>4.4600000000000004E-3</v>
      </c>
      <c r="R492" s="805" t="s">
        <v>414</v>
      </c>
      <c r="S492" s="527">
        <v>1.1299999999999999E-2</v>
      </c>
      <c r="T492" s="528" t="s">
        <v>414</v>
      </c>
    </row>
    <row r="493" spans="1:20" ht="15" customHeight="1" thickBot="1">
      <c r="A493" s="806" t="s">
        <v>1189</v>
      </c>
      <c r="B493" s="807" t="s">
        <v>1190</v>
      </c>
      <c r="C493" s="808">
        <v>138.13</v>
      </c>
      <c r="D493" s="809" t="s">
        <v>1801</v>
      </c>
      <c r="E493" s="810">
        <v>5.1512999999999999E-8</v>
      </c>
      <c r="F493" s="810">
        <v>1.26E-9</v>
      </c>
      <c r="G493" s="811" t="s">
        <v>1801</v>
      </c>
      <c r="H493" s="812">
        <v>1.4239999999999999</v>
      </c>
      <c r="I493" s="813" t="s">
        <v>1796</v>
      </c>
      <c r="J493" s="814">
        <v>6.3660099999999997E-2</v>
      </c>
      <c r="K493" s="814">
        <v>9.7544999999999995E-6</v>
      </c>
      <c r="L493" s="815" t="s">
        <v>2367</v>
      </c>
      <c r="M493" s="816">
        <v>109.1</v>
      </c>
      <c r="N493" s="816" t="s">
        <v>414</v>
      </c>
      <c r="O493" s="817">
        <v>728</v>
      </c>
      <c r="P493" s="818" t="s">
        <v>1801</v>
      </c>
      <c r="Q493" s="819">
        <v>2.2100000000000002E-3</v>
      </c>
      <c r="R493" s="820" t="s">
        <v>414</v>
      </c>
      <c r="S493" s="521">
        <v>2.33E-3</v>
      </c>
      <c r="T493" s="522" t="s">
        <v>414</v>
      </c>
    </row>
    <row r="494" spans="1:20" ht="15" customHeight="1">
      <c r="A494" s="791" t="s">
        <v>83</v>
      </c>
      <c r="B494" s="792" t="s">
        <v>1191</v>
      </c>
      <c r="C494" s="793">
        <v>123.11</v>
      </c>
      <c r="D494" s="794" t="s">
        <v>1801</v>
      </c>
      <c r="E494" s="795">
        <v>9.812E-4</v>
      </c>
      <c r="F494" s="795">
        <v>2.4000000000000001E-5</v>
      </c>
      <c r="G494" s="796" t="s">
        <v>1801</v>
      </c>
      <c r="H494" s="797">
        <v>1.2037</v>
      </c>
      <c r="I494" s="798" t="s">
        <v>1796</v>
      </c>
      <c r="J494" s="799">
        <v>6.8054000000000003E-2</v>
      </c>
      <c r="K494" s="799">
        <v>9.4494999999999999E-6</v>
      </c>
      <c r="L494" s="800" t="s">
        <v>2367</v>
      </c>
      <c r="M494" s="801">
        <v>226.4</v>
      </c>
      <c r="N494" s="801" t="s">
        <v>414</v>
      </c>
      <c r="O494" s="802">
        <v>2090</v>
      </c>
      <c r="P494" s="803" t="s">
        <v>1801</v>
      </c>
      <c r="Q494" s="804">
        <v>5.4099999999999999E-3</v>
      </c>
      <c r="R494" s="805" t="s">
        <v>414</v>
      </c>
      <c r="S494" s="527">
        <v>2.4700000000000001E-5</v>
      </c>
      <c r="T494" s="528" t="s">
        <v>1797</v>
      </c>
    </row>
    <row r="495" spans="1:20" ht="15" customHeight="1">
      <c r="A495" s="791" t="s">
        <v>1192</v>
      </c>
      <c r="B495" s="792" t="s">
        <v>1193</v>
      </c>
      <c r="C495" s="793">
        <v>387.3</v>
      </c>
      <c r="D495" s="794" t="s">
        <v>1801</v>
      </c>
      <c r="E495" s="795">
        <v>1.3449999999999999E-21</v>
      </c>
      <c r="F495" s="795">
        <v>3.2900000000000002E-23</v>
      </c>
      <c r="G495" s="796" t="s">
        <v>1801</v>
      </c>
      <c r="H495" s="821" t="s">
        <v>1750</v>
      </c>
      <c r="I495" s="822" t="s">
        <v>43</v>
      </c>
      <c r="J495" s="799">
        <v>3.5759300000000001E-2</v>
      </c>
      <c r="K495" s="799">
        <v>4.1782000000000001E-6</v>
      </c>
      <c r="L495" s="800" t="s">
        <v>2367</v>
      </c>
      <c r="M495" s="801">
        <v>10</v>
      </c>
      <c r="N495" s="801" t="s">
        <v>414</v>
      </c>
      <c r="O495" s="802">
        <v>1000000</v>
      </c>
      <c r="P495" s="803" t="s">
        <v>1801</v>
      </c>
      <c r="Q495" s="804">
        <v>9.8600000000000003E-9</v>
      </c>
      <c r="R495" s="805" t="s">
        <v>414</v>
      </c>
      <c r="S495" s="527">
        <v>8.7200000000000005E-4</v>
      </c>
      <c r="T495" s="528" t="s">
        <v>414</v>
      </c>
    </row>
    <row r="496" spans="1:20" ht="15" customHeight="1" thickBot="1">
      <c r="A496" s="806" t="s">
        <v>1194</v>
      </c>
      <c r="B496" s="807" t="s">
        <v>1195</v>
      </c>
      <c r="C496" s="808">
        <v>238.16</v>
      </c>
      <c r="D496" s="809" t="s">
        <v>1801</v>
      </c>
      <c r="E496" s="810">
        <v>5.4370000000000002E-11</v>
      </c>
      <c r="F496" s="810">
        <v>1.33E-12</v>
      </c>
      <c r="G496" s="811" t="s">
        <v>1801</v>
      </c>
      <c r="H496" s="839" t="s">
        <v>1750</v>
      </c>
      <c r="I496" s="840" t="s">
        <v>43</v>
      </c>
      <c r="J496" s="814">
        <v>4.9450899999999999E-2</v>
      </c>
      <c r="K496" s="814">
        <v>5.7779000000000002E-6</v>
      </c>
      <c r="L496" s="815" t="s">
        <v>2367</v>
      </c>
      <c r="M496" s="816">
        <v>116.8</v>
      </c>
      <c r="N496" s="816" t="s">
        <v>414</v>
      </c>
      <c r="O496" s="817">
        <v>79.5</v>
      </c>
      <c r="P496" s="818" t="s">
        <v>1801</v>
      </c>
      <c r="Q496" s="819">
        <v>3.5200000000000002E-5</v>
      </c>
      <c r="R496" s="820" t="s">
        <v>414</v>
      </c>
      <c r="S496" s="521">
        <v>2.5099999999999998E-4</v>
      </c>
      <c r="T496" s="522" t="s">
        <v>414</v>
      </c>
    </row>
    <row r="497" spans="1:20" ht="15" customHeight="1">
      <c r="A497" s="791" t="s">
        <v>1196</v>
      </c>
      <c r="B497" s="792" t="s">
        <v>1197</v>
      </c>
      <c r="C497" s="793">
        <v>198.14</v>
      </c>
      <c r="D497" s="794" t="s">
        <v>1801</v>
      </c>
      <c r="E497" s="795">
        <v>1.267E-11</v>
      </c>
      <c r="F497" s="795">
        <v>3.0999999999999999E-13</v>
      </c>
      <c r="G497" s="796" t="s">
        <v>1801</v>
      </c>
      <c r="H497" s="821" t="s">
        <v>1750</v>
      </c>
      <c r="I497" s="822" t="s">
        <v>43</v>
      </c>
      <c r="J497" s="799">
        <v>5.5903500000000002E-2</v>
      </c>
      <c r="K497" s="799">
        <v>6.5319000000000001E-6</v>
      </c>
      <c r="L497" s="800" t="s">
        <v>2367</v>
      </c>
      <c r="M497" s="801">
        <v>349.7</v>
      </c>
      <c r="N497" s="801" t="s">
        <v>414</v>
      </c>
      <c r="O497" s="802">
        <v>210</v>
      </c>
      <c r="P497" s="803" t="s">
        <v>1801</v>
      </c>
      <c r="Q497" s="804">
        <v>1.7200000000000001E-4</v>
      </c>
      <c r="R497" s="805" t="s">
        <v>414</v>
      </c>
      <c r="S497" s="527">
        <v>1.4500000000000001E-2</v>
      </c>
      <c r="T497" s="528" t="s">
        <v>414</v>
      </c>
    </row>
    <row r="498" spans="1:20" ht="15" customHeight="1">
      <c r="A498" s="791" t="s">
        <v>1198</v>
      </c>
      <c r="B498" s="792" t="s">
        <v>1199</v>
      </c>
      <c r="C498" s="793">
        <v>227.09</v>
      </c>
      <c r="D498" s="794" t="s">
        <v>1801</v>
      </c>
      <c r="E498" s="795">
        <v>3.5404999999999998E-6</v>
      </c>
      <c r="F498" s="795">
        <v>8.6599999999999995E-8</v>
      </c>
      <c r="G498" s="796" t="s">
        <v>414</v>
      </c>
      <c r="H498" s="797">
        <v>1.5931</v>
      </c>
      <c r="I498" s="798" t="s">
        <v>1796</v>
      </c>
      <c r="J498" s="799">
        <v>2.9014999999999999E-2</v>
      </c>
      <c r="K498" s="799">
        <v>7.7427999999999998E-6</v>
      </c>
      <c r="L498" s="800" t="s">
        <v>2367</v>
      </c>
      <c r="M498" s="801">
        <v>115.8</v>
      </c>
      <c r="N498" s="801" t="s">
        <v>414</v>
      </c>
      <c r="O498" s="802">
        <v>1380</v>
      </c>
      <c r="P498" s="803" t="s">
        <v>1801</v>
      </c>
      <c r="Q498" s="804">
        <v>9.9400000000000009E-4</v>
      </c>
      <c r="R498" s="805" t="s">
        <v>414</v>
      </c>
      <c r="S498" s="527">
        <v>5.3300000000000005E-4</v>
      </c>
      <c r="T498" s="528" t="s">
        <v>414</v>
      </c>
    </row>
    <row r="499" spans="1:20" ht="15" customHeight="1" thickBot="1">
      <c r="A499" s="806" t="s">
        <v>1200</v>
      </c>
      <c r="B499" s="807" t="s">
        <v>1201</v>
      </c>
      <c r="C499" s="808">
        <v>104.07</v>
      </c>
      <c r="D499" s="809" t="s">
        <v>1801</v>
      </c>
      <c r="E499" s="810">
        <v>1.8189999999999999E-14</v>
      </c>
      <c r="F499" s="810">
        <v>4.4500000000000003E-16</v>
      </c>
      <c r="G499" s="811" t="s">
        <v>1801</v>
      </c>
      <c r="H499" s="812">
        <v>2</v>
      </c>
      <c r="I499" s="813" t="s">
        <v>2399</v>
      </c>
      <c r="J499" s="814">
        <v>9.9693699999999996E-2</v>
      </c>
      <c r="K499" s="814">
        <v>1.42E-5</v>
      </c>
      <c r="L499" s="815" t="s">
        <v>2367</v>
      </c>
      <c r="M499" s="816">
        <v>20.65</v>
      </c>
      <c r="N499" s="816" t="s">
        <v>414</v>
      </c>
      <c r="O499" s="817">
        <v>4400</v>
      </c>
      <c r="P499" s="818" t="s">
        <v>1801</v>
      </c>
      <c r="Q499" s="819">
        <v>1.05E-4</v>
      </c>
      <c r="R499" s="820" t="s">
        <v>414</v>
      </c>
      <c r="S499" s="521">
        <v>1.7799999999999999E-4</v>
      </c>
      <c r="T499" s="522" t="s">
        <v>414</v>
      </c>
    </row>
    <row r="500" spans="1:20" ht="15" customHeight="1">
      <c r="A500" s="791" t="s">
        <v>1202</v>
      </c>
      <c r="B500" s="792" t="s">
        <v>1203</v>
      </c>
      <c r="C500" s="793">
        <v>61.040999999999997</v>
      </c>
      <c r="D500" s="794" t="s">
        <v>1801</v>
      </c>
      <c r="E500" s="795">
        <v>1.1693000000000001E-3</v>
      </c>
      <c r="F500" s="795">
        <v>2.8600000000000001E-5</v>
      </c>
      <c r="G500" s="796" t="s">
        <v>1801</v>
      </c>
      <c r="H500" s="797">
        <v>1.1371</v>
      </c>
      <c r="I500" s="798" t="s">
        <v>1796</v>
      </c>
      <c r="J500" s="799">
        <v>0.11928370000000001</v>
      </c>
      <c r="K500" s="799">
        <v>1.3900000000000001E-5</v>
      </c>
      <c r="L500" s="800" t="s">
        <v>2367</v>
      </c>
      <c r="M500" s="801">
        <v>10.32</v>
      </c>
      <c r="N500" s="801" t="s">
        <v>414</v>
      </c>
      <c r="O500" s="802">
        <v>111000</v>
      </c>
      <c r="P500" s="803" t="s">
        <v>1801</v>
      </c>
      <c r="Q500" s="804">
        <v>4.17E-4</v>
      </c>
      <c r="R500" s="805" t="s">
        <v>414</v>
      </c>
      <c r="S500" s="527">
        <v>6.2200000000000005E-4</v>
      </c>
      <c r="T500" s="528" t="s">
        <v>414</v>
      </c>
    </row>
    <row r="501" spans="1:20" ht="15" customHeight="1">
      <c r="A501" s="791" t="s">
        <v>170</v>
      </c>
      <c r="B501" s="792" t="s">
        <v>1204</v>
      </c>
      <c r="C501" s="793">
        <v>89.094999999999999</v>
      </c>
      <c r="D501" s="794" t="s">
        <v>1801</v>
      </c>
      <c r="E501" s="795">
        <v>4.8650999999999998E-3</v>
      </c>
      <c r="F501" s="795">
        <v>1.1900000000000001E-4</v>
      </c>
      <c r="G501" s="796" t="s">
        <v>414</v>
      </c>
      <c r="H501" s="797">
        <v>0.98209999999999997</v>
      </c>
      <c r="I501" s="798" t="s">
        <v>1796</v>
      </c>
      <c r="J501" s="799">
        <v>8.4693400000000002E-2</v>
      </c>
      <c r="K501" s="799">
        <v>1.0200000000000001E-5</v>
      </c>
      <c r="L501" s="800" t="s">
        <v>2367</v>
      </c>
      <c r="M501" s="801">
        <v>30.8</v>
      </c>
      <c r="N501" s="801" t="s">
        <v>414</v>
      </c>
      <c r="O501" s="802">
        <v>17000</v>
      </c>
      <c r="P501" s="803" t="s">
        <v>1801</v>
      </c>
      <c r="Q501" s="804">
        <v>2.0600000000000002E-3</v>
      </c>
      <c r="R501" s="805" t="s">
        <v>414</v>
      </c>
      <c r="S501" s="527">
        <v>3.21E-4</v>
      </c>
      <c r="T501" s="528" t="s">
        <v>414</v>
      </c>
    </row>
    <row r="502" spans="1:20" ht="15" customHeight="1" thickBot="1">
      <c r="A502" s="806" t="s">
        <v>1205</v>
      </c>
      <c r="B502" s="807" t="s">
        <v>1206</v>
      </c>
      <c r="C502" s="808">
        <v>117.11</v>
      </c>
      <c r="D502" s="809" t="s">
        <v>1801</v>
      </c>
      <c r="E502" s="810">
        <v>5.3966000000000002E-9</v>
      </c>
      <c r="F502" s="810">
        <v>1.3200000000000001E-10</v>
      </c>
      <c r="G502" s="811" t="s">
        <v>1801</v>
      </c>
      <c r="H502" s="839" t="s">
        <v>1750</v>
      </c>
      <c r="I502" s="840" t="s">
        <v>43</v>
      </c>
      <c r="J502" s="814">
        <v>7.9376299999999997E-2</v>
      </c>
      <c r="K502" s="814">
        <v>9.2745000000000007E-6</v>
      </c>
      <c r="L502" s="815" t="s">
        <v>2367</v>
      </c>
      <c r="M502" s="816">
        <v>20.98</v>
      </c>
      <c r="N502" s="816" t="s">
        <v>414</v>
      </c>
      <c r="O502" s="817">
        <v>13000</v>
      </c>
      <c r="P502" s="818" t="s">
        <v>1801</v>
      </c>
      <c r="Q502" s="819">
        <v>4.8999999999999998E-4</v>
      </c>
      <c r="R502" s="820" t="s">
        <v>414</v>
      </c>
      <c r="S502" s="521">
        <v>1.1299999999999999E-2</v>
      </c>
      <c r="T502" s="522" t="s">
        <v>414</v>
      </c>
    </row>
    <row r="503" spans="1:20" ht="15" customHeight="1">
      <c r="A503" s="791" t="s">
        <v>1207</v>
      </c>
      <c r="B503" s="792" t="s">
        <v>1208</v>
      </c>
      <c r="C503" s="793">
        <v>103.08</v>
      </c>
      <c r="D503" s="794" t="s">
        <v>1801</v>
      </c>
      <c r="E503" s="795">
        <v>4.0514999999999999E-9</v>
      </c>
      <c r="F503" s="795">
        <v>9.9099999999999999E-11</v>
      </c>
      <c r="G503" s="796" t="s">
        <v>1801</v>
      </c>
      <c r="H503" s="821" t="s">
        <v>1750</v>
      </c>
      <c r="I503" s="822" t="s">
        <v>43</v>
      </c>
      <c r="J503" s="799">
        <v>8.6424600000000004E-2</v>
      </c>
      <c r="K503" s="799">
        <v>1.01E-5</v>
      </c>
      <c r="L503" s="800" t="s">
        <v>2367</v>
      </c>
      <c r="M503" s="801">
        <v>11</v>
      </c>
      <c r="N503" s="801" t="s">
        <v>414</v>
      </c>
      <c r="O503" s="802">
        <v>14400</v>
      </c>
      <c r="P503" s="803" t="s">
        <v>1801</v>
      </c>
      <c r="Q503" s="804">
        <v>3.9500000000000001E-4</v>
      </c>
      <c r="R503" s="805" t="s">
        <v>414</v>
      </c>
      <c r="S503" s="527">
        <v>8.9899999999999997E-3</v>
      </c>
      <c r="T503" s="528" t="s">
        <v>414</v>
      </c>
    </row>
    <row r="504" spans="1:20" ht="15" customHeight="1">
      <c r="A504" s="791" t="s">
        <v>1209</v>
      </c>
      <c r="B504" s="792" t="s">
        <v>1210</v>
      </c>
      <c r="C504" s="793">
        <v>158.25</v>
      </c>
      <c r="D504" s="794" t="s">
        <v>1801</v>
      </c>
      <c r="E504" s="795">
        <v>5.3970000000000005E-4</v>
      </c>
      <c r="F504" s="795">
        <v>1.3200000000000001E-5</v>
      </c>
      <c r="G504" s="796" t="s">
        <v>1801</v>
      </c>
      <c r="H504" s="797">
        <v>0.90090000000000003</v>
      </c>
      <c r="I504" s="798" t="s">
        <v>2168</v>
      </c>
      <c r="J504" s="799">
        <v>4.2166299999999997E-2</v>
      </c>
      <c r="K504" s="799">
        <v>6.8307999999999999E-6</v>
      </c>
      <c r="L504" s="800" t="s">
        <v>2367</v>
      </c>
      <c r="M504" s="801">
        <v>914.6</v>
      </c>
      <c r="N504" s="801" t="s">
        <v>414</v>
      </c>
      <c r="O504" s="802">
        <v>1270</v>
      </c>
      <c r="P504" s="803" t="s">
        <v>1801</v>
      </c>
      <c r="Q504" s="804">
        <v>1.1299999999999999E-2</v>
      </c>
      <c r="R504" s="805" t="s">
        <v>414</v>
      </c>
      <c r="S504" s="527">
        <v>0.01</v>
      </c>
      <c r="T504" s="528" t="s">
        <v>414</v>
      </c>
    </row>
    <row r="505" spans="1:20" ht="15" customHeight="1" thickBot="1">
      <c r="A505" s="806" t="s">
        <v>1211</v>
      </c>
      <c r="B505" s="807" t="s">
        <v>1212</v>
      </c>
      <c r="C505" s="808">
        <v>130.19</v>
      </c>
      <c r="D505" s="809" t="s">
        <v>1801</v>
      </c>
      <c r="E505" s="810">
        <v>2.2000000000000001E-4</v>
      </c>
      <c r="F505" s="810">
        <v>5.3800000000000002E-6</v>
      </c>
      <c r="G505" s="811" t="s">
        <v>1801</v>
      </c>
      <c r="H505" s="812">
        <v>0.9163</v>
      </c>
      <c r="I505" s="813" t="s">
        <v>1796</v>
      </c>
      <c r="J505" s="814">
        <v>5.6439900000000001E-2</v>
      </c>
      <c r="K505" s="814">
        <v>7.7579999999999992E-6</v>
      </c>
      <c r="L505" s="815" t="s">
        <v>2367</v>
      </c>
      <c r="M505" s="816">
        <v>275.39999999999998</v>
      </c>
      <c r="N505" s="816" t="s">
        <v>414</v>
      </c>
      <c r="O505" s="817">
        <v>13000</v>
      </c>
      <c r="P505" s="818" t="s">
        <v>1801</v>
      </c>
      <c r="Q505" s="819">
        <v>2.33E-3</v>
      </c>
      <c r="R505" s="820" t="s">
        <v>414</v>
      </c>
      <c r="S505" s="521">
        <v>1.7</v>
      </c>
      <c r="T505" s="522" t="s">
        <v>414</v>
      </c>
    </row>
    <row r="506" spans="1:20" ht="15" customHeight="1">
      <c r="A506" s="791" t="s">
        <v>1213</v>
      </c>
      <c r="B506" s="792" t="s">
        <v>1214</v>
      </c>
      <c r="C506" s="793">
        <v>134.13999999999999</v>
      </c>
      <c r="D506" s="794" t="s">
        <v>1801</v>
      </c>
      <c r="E506" s="795">
        <v>1.983E-10</v>
      </c>
      <c r="F506" s="795">
        <v>4.8499999999999997E-12</v>
      </c>
      <c r="G506" s="796" t="s">
        <v>1801</v>
      </c>
      <c r="H506" s="821" t="s">
        <v>1750</v>
      </c>
      <c r="I506" s="822" t="s">
        <v>43</v>
      </c>
      <c r="J506" s="799">
        <v>7.2507199999999994E-2</v>
      </c>
      <c r="K506" s="799">
        <v>8.4718999999999993E-6</v>
      </c>
      <c r="L506" s="800" t="s">
        <v>2367</v>
      </c>
      <c r="M506" s="801">
        <v>1</v>
      </c>
      <c r="N506" s="801" t="s">
        <v>414</v>
      </c>
      <c r="O506" s="802">
        <v>1000000</v>
      </c>
      <c r="P506" s="803" t="s">
        <v>1801</v>
      </c>
      <c r="Q506" s="804">
        <v>2.4700000000000001E-5</v>
      </c>
      <c r="R506" s="805" t="s">
        <v>1797</v>
      </c>
      <c r="S506" s="527">
        <v>1.0499999999999999E-3</v>
      </c>
      <c r="T506" s="528" t="s">
        <v>414</v>
      </c>
    </row>
    <row r="507" spans="1:20" ht="15" customHeight="1">
      <c r="A507" s="791" t="s">
        <v>1215</v>
      </c>
      <c r="B507" s="792" t="s">
        <v>1216</v>
      </c>
      <c r="C507" s="793">
        <v>102.14</v>
      </c>
      <c r="D507" s="794" t="s">
        <v>1801</v>
      </c>
      <c r="E507" s="795">
        <v>1.484E-4</v>
      </c>
      <c r="F507" s="795">
        <v>3.63E-6</v>
      </c>
      <c r="G507" s="796" t="s">
        <v>1801</v>
      </c>
      <c r="H507" s="797">
        <v>0.94220000000000004</v>
      </c>
      <c r="I507" s="798" t="s">
        <v>1796</v>
      </c>
      <c r="J507" s="799">
        <v>7.3841000000000004E-2</v>
      </c>
      <c r="K507" s="799">
        <v>9.1252000000000003E-6</v>
      </c>
      <c r="L507" s="800" t="s">
        <v>2367</v>
      </c>
      <c r="M507" s="801">
        <v>82.92</v>
      </c>
      <c r="N507" s="801" t="s">
        <v>414</v>
      </c>
      <c r="O507" s="802">
        <v>106000</v>
      </c>
      <c r="P507" s="803" t="s">
        <v>1801</v>
      </c>
      <c r="Q507" s="804">
        <v>8.7200000000000005E-4</v>
      </c>
      <c r="R507" s="805" t="s">
        <v>414</v>
      </c>
      <c r="S507" s="527">
        <v>7.6600000000000001E-3</v>
      </c>
      <c r="T507" s="528" t="s">
        <v>414</v>
      </c>
    </row>
    <row r="508" spans="1:20" ht="15" customHeight="1" thickBot="1">
      <c r="A508" s="806" t="s">
        <v>1217</v>
      </c>
      <c r="B508" s="807" t="s">
        <v>1218</v>
      </c>
      <c r="C508" s="808">
        <v>74.082999999999998</v>
      </c>
      <c r="D508" s="809" t="s">
        <v>1801</v>
      </c>
      <c r="E508" s="810">
        <v>7.4400000000000006E-5</v>
      </c>
      <c r="F508" s="810">
        <v>1.8199999999999999E-6</v>
      </c>
      <c r="G508" s="811" t="s">
        <v>1801</v>
      </c>
      <c r="H508" s="812">
        <v>1.0047999999999999</v>
      </c>
      <c r="I508" s="813" t="s">
        <v>1796</v>
      </c>
      <c r="J508" s="814">
        <v>9.8767400000000005E-2</v>
      </c>
      <c r="K508" s="814">
        <v>1.15E-5</v>
      </c>
      <c r="L508" s="815" t="s">
        <v>2367</v>
      </c>
      <c r="M508" s="816">
        <v>22.79</v>
      </c>
      <c r="N508" s="816" t="s">
        <v>414</v>
      </c>
      <c r="O508" s="817">
        <v>1000000</v>
      </c>
      <c r="P508" s="818" t="s">
        <v>1801</v>
      </c>
      <c r="Q508" s="819">
        <v>2.5099999999999998E-4</v>
      </c>
      <c r="R508" s="820" t="s">
        <v>414</v>
      </c>
      <c r="S508" s="521">
        <v>3.0599999999999999E-2</v>
      </c>
      <c r="T508" s="522" t="s">
        <v>414</v>
      </c>
    </row>
    <row r="509" spans="1:20" ht="15" customHeight="1">
      <c r="A509" s="791" t="s">
        <v>1219</v>
      </c>
      <c r="B509" s="792" t="s">
        <v>1220</v>
      </c>
      <c r="C509" s="793">
        <v>198.23</v>
      </c>
      <c r="D509" s="794" t="s">
        <v>1801</v>
      </c>
      <c r="E509" s="795">
        <v>4.9499999999999997E-5</v>
      </c>
      <c r="F509" s="795">
        <v>1.2100000000000001E-6</v>
      </c>
      <c r="G509" s="796" t="s">
        <v>1801</v>
      </c>
      <c r="H509" s="821" t="s">
        <v>1750</v>
      </c>
      <c r="I509" s="822" t="s">
        <v>43</v>
      </c>
      <c r="J509" s="799">
        <v>5.5886600000000002E-2</v>
      </c>
      <c r="K509" s="799">
        <v>6.5298999999999999E-6</v>
      </c>
      <c r="L509" s="800" t="s">
        <v>2367</v>
      </c>
      <c r="M509" s="801">
        <v>2632</v>
      </c>
      <c r="N509" s="801" t="s">
        <v>414</v>
      </c>
      <c r="O509" s="802">
        <v>35</v>
      </c>
      <c r="P509" s="803" t="s">
        <v>1801</v>
      </c>
      <c r="Q509" s="804">
        <v>1.4500000000000001E-2</v>
      </c>
      <c r="R509" s="805" t="s">
        <v>414</v>
      </c>
      <c r="S509" s="527">
        <v>4.3600000000000003E-5</v>
      </c>
      <c r="T509" s="528" t="s">
        <v>414</v>
      </c>
    </row>
    <row r="510" spans="1:20" ht="15" customHeight="1">
      <c r="A510" s="791" t="s">
        <v>1221</v>
      </c>
      <c r="B510" s="792" t="s">
        <v>1222</v>
      </c>
      <c r="C510" s="793">
        <v>88.11</v>
      </c>
      <c r="D510" s="794" t="s">
        <v>1801</v>
      </c>
      <c r="E510" s="795">
        <v>5.8900000000000002E-5</v>
      </c>
      <c r="F510" s="795">
        <v>1.44E-6</v>
      </c>
      <c r="G510" s="796" t="s">
        <v>1801</v>
      </c>
      <c r="H510" s="797">
        <v>0.94479999999999997</v>
      </c>
      <c r="I510" s="798" t="s">
        <v>2168</v>
      </c>
      <c r="J510" s="799">
        <v>8.4054699999999996E-2</v>
      </c>
      <c r="K510" s="799">
        <v>9.9876000000000007E-6</v>
      </c>
      <c r="L510" s="800" t="s">
        <v>2367</v>
      </c>
      <c r="M510" s="801">
        <v>43.47</v>
      </c>
      <c r="N510" s="801" t="s">
        <v>414</v>
      </c>
      <c r="O510" s="802">
        <v>300000</v>
      </c>
      <c r="P510" s="803" t="s">
        <v>1801</v>
      </c>
      <c r="Q510" s="804">
        <v>5.3300000000000005E-4</v>
      </c>
      <c r="R510" s="805" t="s">
        <v>414</v>
      </c>
      <c r="S510" s="527">
        <v>8.3000000000000002E-6</v>
      </c>
      <c r="T510" s="528" t="s">
        <v>414</v>
      </c>
    </row>
    <row r="511" spans="1:20" ht="15" customHeight="1" thickBot="1">
      <c r="A511" s="806" t="s">
        <v>1223</v>
      </c>
      <c r="B511" s="807" t="s">
        <v>1224</v>
      </c>
      <c r="C511" s="808">
        <v>116.12</v>
      </c>
      <c r="D511" s="809" t="s">
        <v>1801</v>
      </c>
      <c r="E511" s="810">
        <v>1.0016000000000001E-6</v>
      </c>
      <c r="F511" s="810">
        <v>2.4500000000000001E-8</v>
      </c>
      <c r="G511" s="811" t="s">
        <v>1801</v>
      </c>
      <c r="H511" s="839" t="s">
        <v>1750</v>
      </c>
      <c r="I511" s="840" t="s">
        <v>43</v>
      </c>
      <c r="J511" s="814">
        <v>7.9826800000000003E-2</v>
      </c>
      <c r="K511" s="814">
        <v>9.3270999999999992E-6</v>
      </c>
      <c r="L511" s="815" t="s">
        <v>2367</v>
      </c>
      <c r="M511" s="816">
        <v>22.51</v>
      </c>
      <c r="N511" s="816" t="s">
        <v>414</v>
      </c>
      <c r="O511" s="817">
        <v>1000000</v>
      </c>
      <c r="P511" s="818" t="s">
        <v>1801</v>
      </c>
      <c r="Q511" s="819">
        <v>1.7799999999999999E-4</v>
      </c>
      <c r="R511" s="820" t="s">
        <v>414</v>
      </c>
      <c r="S511" s="521">
        <v>5.3699999999999998E-3</v>
      </c>
      <c r="T511" s="522" t="s">
        <v>414</v>
      </c>
    </row>
    <row r="512" spans="1:20" ht="15" customHeight="1">
      <c r="A512" s="791" t="s">
        <v>1225</v>
      </c>
      <c r="B512" s="792" t="s">
        <v>1226</v>
      </c>
      <c r="C512" s="793">
        <v>114.15</v>
      </c>
      <c r="D512" s="794" t="s">
        <v>1801</v>
      </c>
      <c r="E512" s="795">
        <v>3.4499999999999998E-5</v>
      </c>
      <c r="F512" s="795">
        <v>8.4399999999999999E-7</v>
      </c>
      <c r="G512" s="796" t="s">
        <v>1801</v>
      </c>
      <c r="H512" s="797">
        <v>1.0630999999999999</v>
      </c>
      <c r="I512" s="798" t="s">
        <v>1796</v>
      </c>
      <c r="J512" s="799">
        <v>6.9889999999999994E-2</v>
      </c>
      <c r="K512" s="799">
        <v>9.1776E-6</v>
      </c>
      <c r="L512" s="800" t="s">
        <v>2367</v>
      </c>
      <c r="M512" s="801">
        <v>167.5</v>
      </c>
      <c r="N512" s="801" t="s">
        <v>414</v>
      </c>
      <c r="O512" s="802">
        <v>76500</v>
      </c>
      <c r="P512" s="803" t="s">
        <v>1801</v>
      </c>
      <c r="Q512" s="804">
        <v>6.2200000000000005E-4</v>
      </c>
      <c r="R512" s="805" t="s">
        <v>414</v>
      </c>
      <c r="S512" s="527">
        <v>2.8000000000000001E-2</v>
      </c>
      <c r="T512" s="528" t="s">
        <v>414</v>
      </c>
    </row>
    <row r="513" spans="1:20" ht="15" customHeight="1">
      <c r="A513" s="791" t="s">
        <v>1227</v>
      </c>
      <c r="B513" s="792" t="s">
        <v>1228</v>
      </c>
      <c r="C513" s="793">
        <v>100.12</v>
      </c>
      <c r="D513" s="794" t="s">
        <v>1801</v>
      </c>
      <c r="E513" s="795">
        <v>1.9991999999999998E-6</v>
      </c>
      <c r="F513" s="795">
        <v>4.8900000000000001E-8</v>
      </c>
      <c r="G513" s="796" t="s">
        <v>1801</v>
      </c>
      <c r="H513" s="797">
        <v>1.085</v>
      </c>
      <c r="I513" s="798" t="s">
        <v>1796</v>
      </c>
      <c r="J513" s="799">
        <v>7.9971200000000006E-2</v>
      </c>
      <c r="K513" s="799">
        <v>1.01E-5</v>
      </c>
      <c r="L513" s="800" t="s">
        <v>2367</v>
      </c>
      <c r="M513" s="801">
        <v>91.91</v>
      </c>
      <c r="N513" s="801" t="s">
        <v>414</v>
      </c>
      <c r="O513" s="802">
        <v>1000000</v>
      </c>
      <c r="P513" s="803" t="s">
        <v>1801</v>
      </c>
      <c r="Q513" s="804">
        <v>3.21E-4</v>
      </c>
      <c r="R513" s="805" t="s">
        <v>414</v>
      </c>
      <c r="S513" s="527">
        <v>4.49E-5</v>
      </c>
      <c r="T513" s="528" t="s">
        <v>414</v>
      </c>
    </row>
    <row r="514" spans="1:20" ht="15" customHeight="1" thickBot="1">
      <c r="A514" s="806" t="s">
        <v>1229</v>
      </c>
      <c r="B514" s="807" t="s">
        <v>1230</v>
      </c>
      <c r="C514" s="808">
        <v>137.13999999999999</v>
      </c>
      <c r="D514" s="809" t="s">
        <v>1801</v>
      </c>
      <c r="E514" s="810">
        <v>3.8020000000000003E-4</v>
      </c>
      <c r="F514" s="810">
        <v>9.3000000000000007E-6</v>
      </c>
      <c r="G514" s="811" t="s">
        <v>1801</v>
      </c>
      <c r="H514" s="812">
        <v>1.1580999999999999</v>
      </c>
      <c r="I514" s="813" t="s">
        <v>1796</v>
      </c>
      <c r="J514" s="814">
        <v>5.8686000000000002E-2</v>
      </c>
      <c r="K514" s="814">
        <v>8.6541000000000007E-6</v>
      </c>
      <c r="L514" s="815" t="s">
        <v>2367</v>
      </c>
      <c r="M514" s="816">
        <v>363.2</v>
      </c>
      <c r="N514" s="816" t="s">
        <v>414</v>
      </c>
      <c r="O514" s="817">
        <v>500</v>
      </c>
      <c r="P514" s="818" t="s">
        <v>1801</v>
      </c>
      <c r="Q514" s="819">
        <v>1.1299999999999999E-2</v>
      </c>
      <c r="R514" s="820" t="s">
        <v>414</v>
      </c>
      <c r="S514" s="521">
        <v>4.7099999999999998E-3</v>
      </c>
      <c r="T514" s="522" t="s">
        <v>414</v>
      </c>
    </row>
    <row r="515" spans="1:20" ht="15" customHeight="1">
      <c r="A515" s="791" t="s">
        <v>174</v>
      </c>
      <c r="B515" s="792" t="s">
        <v>1231</v>
      </c>
      <c r="C515" s="793">
        <v>137.13999999999999</v>
      </c>
      <c r="D515" s="794" t="s">
        <v>1801</v>
      </c>
      <c r="E515" s="795">
        <v>5.1099999999999995E-4</v>
      </c>
      <c r="F515" s="795">
        <v>1.2500000000000001E-5</v>
      </c>
      <c r="G515" s="796" t="s">
        <v>1801</v>
      </c>
      <c r="H515" s="797">
        <v>1.1611</v>
      </c>
      <c r="I515" s="798" t="s">
        <v>1796</v>
      </c>
      <c r="J515" s="799">
        <v>5.87535E-2</v>
      </c>
      <c r="K515" s="799">
        <v>8.6674999999999996E-6</v>
      </c>
      <c r="L515" s="800" t="s">
        <v>2367</v>
      </c>
      <c r="M515" s="801">
        <v>370.6</v>
      </c>
      <c r="N515" s="801" t="s">
        <v>414</v>
      </c>
      <c r="O515" s="802">
        <v>650</v>
      </c>
      <c r="P515" s="803" t="s">
        <v>1801</v>
      </c>
      <c r="Q515" s="804">
        <v>8.9899999999999997E-3</v>
      </c>
      <c r="R515" s="805" t="s">
        <v>414</v>
      </c>
      <c r="S515" s="527">
        <v>5.7700000000000001E-8</v>
      </c>
      <c r="T515" s="528" t="s">
        <v>414</v>
      </c>
    </row>
    <row r="516" spans="1:20" ht="15" customHeight="1">
      <c r="A516" s="791" t="s">
        <v>1232</v>
      </c>
      <c r="B516" s="792" t="s">
        <v>1233</v>
      </c>
      <c r="C516" s="793">
        <v>137.13999999999999</v>
      </c>
      <c r="D516" s="794" t="s">
        <v>1801</v>
      </c>
      <c r="E516" s="795">
        <v>2.3020000000000001E-4</v>
      </c>
      <c r="F516" s="795">
        <v>5.6300000000000003E-6</v>
      </c>
      <c r="G516" s="796" t="s">
        <v>1801</v>
      </c>
      <c r="H516" s="797">
        <v>1.1037999999999999</v>
      </c>
      <c r="I516" s="798" t="s">
        <v>1796</v>
      </c>
      <c r="J516" s="799">
        <v>5.74432E-2</v>
      </c>
      <c r="K516" s="799">
        <v>8.4083000000000005E-6</v>
      </c>
      <c r="L516" s="800" t="s">
        <v>2367</v>
      </c>
      <c r="M516" s="801">
        <v>363.2</v>
      </c>
      <c r="N516" s="801" t="s">
        <v>414</v>
      </c>
      <c r="O516" s="802">
        <v>442</v>
      </c>
      <c r="P516" s="803" t="s">
        <v>1801</v>
      </c>
      <c r="Q516" s="804">
        <v>0.01</v>
      </c>
      <c r="R516" s="805" t="s">
        <v>414</v>
      </c>
      <c r="S516" s="527">
        <v>1.2800000000000001E-2</v>
      </c>
      <c r="T516" s="528" t="s">
        <v>414</v>
      </c>
    </row>
    <row r="517" spans="1:20" ht="15" customHeight="1" thickBot="1">
      <c r="A517" s="806" t="s">
        <v>1234</v>
      </c>
      <c r="B517" s="807" t="s">
        <v>1235</v>
      </c>
      <c r="C517" s="808">
        <v>128.26</v>
      </c>
      <c r="D517" s="809" t="s">
        <v>1801</v>
      </c>
      <c r="E517" s="810">
        <v>139.00245000000001</v>
      </c>
      <c r="F517" s="810">
        <v>3.4</v>
      </c>
      <c r="G517" s="811" t="s">
        <v>414</v>
      </c>
      <c r="H517" s="812">
        <v>0.71919999999999995</v>
      </c>
      <c r="I517" s="813" t="s">
        <v>1796</v>
      </c>
      <c r="J517" s="814">
        <v>5.1431999999999999E-2</v>
      </c>
      <c r="K517" s="814">
        <v>6.7689999999999999E-6</v>
      </c>
      <c r="L517" s="815" t="s">
        <v>2367</v>
      </c>
      <c r="M517" s="816">
        <v>796</v>
      </c>
      <c r="N517" s="816" t="s">
        <v>414</v>
      </c>
      <c r="O517" s="817">
        <v>0.22</v>
      </c>
      <c r="P517" s="818" t="s">
        <v>1801</v>
      </c>
      <c r="Q517" s="819">
        <v>1.7</v>
      </c>
      <c r="R517" s="820" t="s">
        <v>414</v>
      </c>
      <c r="S517" s="521">
        <v>3.9699999999999999E-2</v>
      </c>
      <c r="T517" s="522" t="s">
        <v>414</v>
      </c>
    </row>
    <row r="518" spans="1:20" ht="15" customHeight="1">
      <c r="A518" s="791" t="s">
        <v>1236</v>
      </c>
      <c r="B518" s="792" t="s">
        <v>1237</v>
      </c>
      <c r="C518" s="793">
        <v>303.67</v>
      </c>
      <c r="D518" s="794" t="s">
        <v>1801</v>
      </c>
      <c r="E518" s="795">
        <v>1.4022999999999999E-8</v>
      </c>
      <c r="F518" s="795">
        <v>3.43E-10</v>
      </c>
      <c r="G518" s="796" t="s">
        <v>414</v>
      </c>
      <c r="H518" s="821" t="s">
        <v>1750</v>
      </c>
      <c r="I518" s="822" t="s">
        <v>43</v>
      </c>
      <c r="J518" s="799">
        <v>4.2055099999999998E-2</v>
      </c>
      <c r="K518" s="799">
        <v>4.9138000000000003E-6</v>
      </c>
      <c r="L518" s="800" t="s">
        <v>2367</v>
      </c>
      <c r="M518" s="801">
        <v>3118</v>
      </c>
      <c r="N518" s="801" t="s">
        <v>414</v>
      </c>
      <c r="O518" s="802">
        <v>33.700000000000003</v>
      </c>
      <c r="P518" s="803" t="s">
        <v>1801</v>
      </c>
      <c r="Q518" s="804">
        <v>1.0499999999999999E-3</v>
      </c>
      <c r="R518" s="805" t="s">
        <v>414</v>
      </c>
      <c r="S518" s="527">
        <v>0.115</v>
      </c>
      <c r="T518" s="528" t="s">
        <v>414</v>
      </c>
    </row>
    <row r="519" spans="1:20" ht="15" customHeight="1">
      <c r="A519" s="791" t="s">
        <v>1239</v>
      </c>
      <c r="B519" s="792" t="s">
        <v>1240</v>
      </c>
      <c r="C519" s="793">
        <v>801.38</v>
      </c>
      <c r="D519" s="794" t="s">
        <v>1801</v>
      </c>
      <c r="E519" s="795">
        <v>3.0581E-6</v>
      </c>
      <c r="F519" s="795">
        <v>7.4799999999999995E-8</v>
      </c>
      <c r="G519" s="796" t="s">
        <v>1801</v>
      </c>
      <c r="H519" s="821" t="s">
        <v>1750</v>
      </c>
      <c r="I519" s="822" t="s">
        <v>43</v>
      </c>
      <c r="J519" s="799">
        <v>2.2022199999999999E-2</v>
      </c>
      <c r="K519" s="799">
        <v>2.5731E-6</v>
      </c>
      <c r="L519" s="800" t="s">
        <v>2367</v>
      </c>
      <c r="M519" s="801">
        <v>98980</v>
      </c>
      <c r="N519" s="801" t="s">
        <v>414</v>
      </c>
      <c r="O519" s="802">
        <v>1.11E-8</v>
      </c>
      <c r="P519" s="803" t="s">
        <v>1801</v>
      </c>
      <c r="Q519" s="804">
        <v>3.0599999999999999E-2</v>
      </c>
      <c r="R519" s="805" t="s">
        <v>414</v>
      </c>
      <c r="S519" s="527">
        <v>3.73E-2</v>
      </c>
      <c r="T519" s="528" t="s">
        <v>414</v>
      </c>
    </row>
    <row r="520" spans="1:20" ht="15" customHeight="1" thickBot="1">
      <c r="A520" s="806" t="s">
        <v>2111</v>
      </c>
      <c r="B520" s="807" t="s">
        <v>1241</v>
      </c>
      <c r="C520" s="808">
        <v>296.16000000000003</v>
      </c>
      <c r="D520" s="809" t="s">
        <v>1801</v>
      </c>
      <c r="E520" s="810">
        <v>3.5445999999999999E-8</v>
      </c>
      <c r="F520" s="810">
        <v>8.67E-10</v>
      </c>
      <c r="G520" s="811" t="s">
        <v>1801</v>
      </c>
      <c r="H520" s="839" t="s">
        <v>1750</v>
      </c>
      <c r="I520" s="840" t="s">
        <v>43</v>
      </c>
      <c r="J520" s="814">
        <v>4.2763099999999998E-2</v>
      </c>
      <c r="K520" s="814">
        <v>4.9965000000000004E-6</v>
      </c>
      <c r="L520" s="815" t="s">
        <v>2367</v>
      </c>
      <c r="M520" s="816">
        <v>531.6</v>
      </c>
      <c r="N520" s="816" t="s">
        <v>414</v>
      </c>
      <c r="O520" s="817">
        <v>5</v>
      </c>
      <c r="P520" s="818" t="s">
        <v>1801</v>
      </c>
      <c r="Q520" s="819">
        <v>4.3600000000000003E-5</v>
      </c>
      <c r="R520" s="820" t="s">
        <v>414</v>
      </c>
      <c r="S520" s="521">
        <v>3.73E-2</v>
      </c>
      <c r="T520" s="522" t="s">
        <v>414</v>
      </c>
    </row>
    <row r="521" spans="1:20" ht="15" customHeight="1">
      <c r="A521" s="791" t="s">
        <v>1242</v>
      </c>
      <c r="B521" s="792" t="s">
        <v>1243</v>
      </c>
      <c r="C521" s="793">
        <v>286.25</v>
      </c>
      <c r="D521" s="794" t="s">
        <v>1801</v>
      </c>
      <c r="E521" s="795">
        <v>1.5401E-8</v>
      </c>
      <c r="F521" s="795">
        <v>3.767E-10</v>
      </c>
      <c r="G521" s="796" t="s">
        <v>1801</v>
      </c>
      <c r="H521" s="797">
        <v>1.0900000000000001</v>
      </c>
      <c r="I521" s="798" t="s">
        <v>1796</v>
      </c>
      <c r="J521" s="799">
        <v>2.1539900000000001E-2</v>
      </c>
      <c r="K521" s="799">
        <v>5.3664E-6</v>
      </c>
      <c r="L521" s="800" t="s">
        <v>2367</v>
      </c>
      <c r="M521" s="801">
        <v>20.12</v>
      </c>
      <c r="N521" s="801" t="s">
        <v>414</v>
      </c>
      <c r="O521" s="802">
        <v>1000000</v>
      </c>
      <c r="P521" s="803" t="s">
        <v>1801</v>
      </c>
      <c r="Q521" s="804">
        <v>8.3000000000000002E-6</v>
      </c>
      <c r="R521" s="805" t="s">
        <v>414</v>
      </c>
      <c r="S521" s="527">
        <v>0.16800000000000001</v>
      </c>
      <c r="T521" s="528" t="s">
        <v>414</v>
      </c>
    </row>
    <row r="522" spans="1:20" ht="15" customHeight="1">
      <c r="A522" s="791" t="s">
        <v>1244</v>
      </c>
      <c r="B522" s="792" t="s">
        <v>1245</v>
      </c>
      <c r="C522" s="793">
        <v>346.36</v>
      </c>
      <c r="D522" s="794" t="s">
        <v>1801</v>
      </c>
      <c r="E522" s="795">
        <v>7.8087000000000003E-8</v>
      </c>
      <c r="F522" s="795">
        <v>1.9099999999999998E-9</v>
      </c>
      <c r="G522" s="796" t="s">
        <v>1801</v>
      </c>
      <c r="H522" s="821" t="s">
        <v>1750</v>
      </c>
      <c r="I522" s="822" t="s">
        <v>43</v>
      </c>
      <c r="J522" s="799">
        <v>3.8524299999999997E-2</v>
      </c>
      <c r="K522" s="799">
        <v>4.5013000000000004E-6</v>
      </c>
      <c r="L522" s="800" t="s">
        <v>2367</v>
      </c>
      <c r="M522" s="801">
        <v>825.4</v>
      </c>
      <c r="N522" s="801" t="s">
        <v>414</v>
      </c>
      <c r="O522" s="802">
        <v>2.5</v>
      </c>
      <c r="P522" s="803" t="s">
        <v>1801</v>
      </c>
      <c r="Q522" s="804">
        <v>5.3699999999999998E-3</v>
      </c>
      <c r="R522" s="805" t="s">
        <v>414</v>
      </c>
      <c r="S522" s="527">
        <v>1.5800000000000002E-2</v>
      </c>
      <c r="T522" s="528" t="s">
        <v>414</v>
      </c>
    </row>
    <row r="523" spans="1:20" ht="15" customHeight="1" thickBot="1">
      <c r="A523" s="806" t="s">
        <v>1246</v>
      </c>
      <c r="B523" s="807" t="s">
        <v>1247</v>
      </c>
      <c r="C523" s="808">
        <v>345.23</v>
      </c>
      <c r="D523" s="809" t="s">
        <v>1801</v>
      </c>
      <c r="E523" s="810">
        <v>2.9722000000000001E-6</v>
      </c>
      <c r="F523" s="810">
        <v>7.2699999999999996E-8</v>
      </c>
      <c r="G523" s="811" t="s">
        <v>414</v>
      </c>
      <c r="H523" s="839" t="s">
        <v>1750</v>
      </c>
      <c r="I523" s="840" t="s">
        <v>43</v>
      </c>
      <c r="J523" s="814">
        <v>3.8608400000000001E-2</v>
      </c>
      <c r="K523" s="814">
        <v>4.5110999999999999E-6</v>
      </c>
      <c r="L523" s="815" t="s">
        <v>2367</v>
      </c>
      <c r="M523" s="816">
        <v>4996</v>
      </c>
      <c r="N523" s="816" t="s">
        <v>414</v>
      </c>
      <c r="O523" s="817">
        <v>0.7</v>
      </c>
      <c r="P523" s="818" t="s">
        <v>1801</v>
      </c>
      <c r="Q523" s="819">
        <v>2.8000000000000001E-2</v>
      </c>
      <c r="R523" s="820" t="s">
        <v>414</v>
      </c>
      <c r="S523" s="521">
        <v>4.1799999999999997E-2</v>
      </c>
      <c r="T523" s="522" t="s">
        <v>414</v>
      </c>
    </row>
    <row r="524" spans="1:20" ht="15" customHeight="1">
      <c r="A524" s="791" t="s">
        <v>1248</v>
      </c>
      <c r="B524" s="792" t="s">
        <v>1249</v>
      </c>
      <c r="C524" s="793">
        <v>219.26</v>
      </c>
      <c r="D524" s="794" t="s">
        <v>1801</v>
      </c>
      <c r="E524" s="795">
        <v>9.6892999999999996E-9</v>
      </c>
      <c r="F524" s="795">
        <v>2.3700000000000001E-10</v>
      </c>
      <c r="G524" s="796" t="s">
        <v>414</v>
      </c>
      <c r="H524" s="797">
        <v>0.97</v>
      </c>
      <c r="I524" s="798" t="s">
        <v>1796</v>
      </c>
      <c r="J524" s="799">
        <v>2.34696E-2</v>
      </c>
      <c r="K524" s="799">
        <v>5.8715999999999998E-6</v>
      </c>
      <c r="L524" s="800" t="s">
        <v>2367</v>
      </c>
      <c r="M524" s="801">
        <v>10</v>
      </c>
      <c r="N524" s="801" t="s">
        <v>414</v>
      </c>
      <c r="O524" s="802">
        <v>280000</v>
      </c>
      <c r="P524" s="803" t="s">
        <v>1801</v>
      </c>
      <c r="Q524" s="804">
        <v>4.49E-5</v>
      </c>
      <c r="R524" s="805" t="s">
        <v>414</v>
      </c>
      <c r="S524" s="527">
        <v>0.127</v>
      </c>
      <c r="T524" s="528" t="s">
        <v>414</v>
      </c>
    </row>
    <row r="525" spans="1:20" ht="15" customHeight="1">
      <c r="A525" s="791" t="s">
        <v>2242</v>
      </c>
      <c r="B525" s="792" t="s">
        <v>958</v>
      </c>
      <c r="C525" s="793">
        <v>361.71</v>
      </c>
      <c r="D525" s="794" t="s">
        <v>1801</v>
      </c>
      <c r="E525" s="795">
        <v>3.3500000000000001E-5</v>
      </c>
      <c r="F525" s="795">
        <v>8.1999999999999998E-7</v>
      </c>
      <c r="G525" s="796" t="s">
        <v>414</v>
      </c>
      <c r="H525" s="797">
        <v>1.35</v>
      </c>
      <c r="I525" s="798" t="s">
        <v>1796</v>
      </c>
      <c r="J525" s="799">
        <v>2.1124199999999999E-2</v>
      </c>
      <c r="K525" s="799">
        <v>5.3021999999999998E-6</v>
      </c>
      <c r="L525" s="800" t="s">
        <v>2367</v>
      </c>
      <c r="M525" s="801">
        <v>39900</v>
      </c>
      <c r="N525" s="801" t="s">
        <v>414</v>
      </c>
      <c r="O525" s="802">
        <v>0.11600000000000001</v>
      </c>
      <c r="P525" s="803" t="s">
        <v>1801</v>
      </c>
      <c r="Q525" s="804">
        <v>2.0400000000000001E-2</v>
      </c>
      <c r="R525" s="805" t="s">
        <v>414</v>
      </c>
      <c r="S525" s="527">
        <v>1.01E-3</v>
      </c>
      <c r="T525" s="528" t="s">
        <v>414</v>
      </c>
    </row>
    <row r="526" spans="1:20" ht="15" customHeight="1" thickBot="1">
      <c r="A526" s="806" t="s">
        <v>1250</v>
      </c>
      <c r="B526" s="807" t="s">
        <v>1251</v>
      </c>
      <c r="C526" s="808">
        <v>293.8</v>
      </c>
      <c r="D526" s="809" t="s">
        <v>1801</v>
      </c>
      <c r="E526" s="810">
        <v>3.3850999999999998E-9</v>
      </c>
      <c r="F526" s="810">
        <v>8.2800000000000001E-11</v>
      </c>
      <c r="G526" s="811" t="s">
        <v>414</v>
      </c>
      <c r="H526" s="812">
        <v>1.22</v>
      </c>
      <c r="I526" s="813" t="s">
        <v>1796</v>
      </c>
      <c r="J526" s="814">
        <v>2.24275E-2</v>
      </c>
      <c r="K526" s="814">
        <v>5.6527000000000001E-6</v>
      </c>
      <c r="L526" s="815" t="s">
        <v>2367</v>
      </c>
      <c r="M526" s="816">
        <v>922.9</v>
      </c>
      <c r="N526" s="816" t="s">
        <v>414</v>
      </c>
      <c r="O526" s="817">
        <v>26</v>
      </c>
      <c r="P526" s="818" t="s">
        <v>1801</v>
      </c>
      <c r="Q526" s="819">
        <v>4.7099999999999998E-3</v>
      </c>
      <c r="R526" s="820" t="s">
        <v>414</v>
      </c>
      <c r="S526" s="521">
        <v>0.11</v>
      </c>
      <c r="T526" s="522" t="s">
        <v>414</v>
      </c>
    </row>
    <row r="527" spans="1:20" ht="15" customHeight="1">
      <c r="A527" s="791" t="s">
        <v>1252</v>
      </c>
      <c r="B527" s="792" t="s">
        <v>1253</v>
      </c>
      <c r="C527" s="793">
        <v>257.16000000000003</v>
      </c>
      <c r="D527" s="794" t="s">
        <v>1801</v>
      </c>
      <c r="E527" s="795">
        <v>1.316E-11</v>
      </c>
      <c r="F527" s="795">
        <v>3.2199999999999999E-13</v>
      </c>
      <c r="G527" s="796" t="s">
        <v>1801</v>
      </c>
      <c r="H527" s="821" t="s">
        <v>1750</v>
      </c>
      <c r="I527" s="822" t="s">
        <v>43</v>
      </c>
      <c r="J527" s="799">
        <v>4.6984100000000001E-2</v>
      </c>
      <c r="K527" s="799">
        <v>5.4897000000000001E-6</v>
      </c>
      <c r="L527" s="800" t="s">
        <v>2367</v>
      </c>
      <c r="M527" s="801">
        <v>6780</v>
      </c>
      <c r="N527" s="801" t="s">
        <v>414</v>
      </c>
      <c r="O527" s="802">
        <v>620000</v>
      </c>
      <c r="P527" s="803" t="s">
        <v>1801</v>
      </c>
      <c r="Q527" s="804">
        <v>5.7700000000000001E-8</v>
      </c>
      <c r="R527" s="805" t="s">
        <v>414</v>
      </c>
      <c r="S527" s="525" t="s">
        <v>1750</v>
      </c>
      <c r="T527" s="526" t="s">
        <v>43</v>
      </c>
    </row>
    <row r="528" spans="1:20" ht="15" customHeight="1">
      <c r="A528" s="791" t="s">
        <v>1254</v>
      </c>
      <c r="B528" s="792" t="s">
        <v>1255</v>
      </c>
      <c r="C528" s="793">
        <v>291.26</v>
      </c>
      <c r="D528" s="794" t="s">
        <v>1801</v>
      </c>
      <c r="E528" s="795">
        <v>1.22E-5</v>
      </c>
      <c r="F528" s="795">
        <v>2.9799999999999999E-7</v>
      </c>
      <c r="G528" s="796" t="s">
        <v>1801</v>
      </c>
      <c r="H528" s="797">
        <v>1.2681</v>
      </c>
      <c r="I528" s="798" t="s">
        <v>1796</v>
      </c>
      <c r="J528" s="799">
        <v>2.2948900000000001E-2</v>
      </c>
      <c r="K528" s="799">
        <v>5.8155999999999999E-6</v>
      </c>
      <c r="L528" s="800" t="s">
        <v>2367</v>
      </c>
      <c r="M528" s="801">
        <v>2422</v>
      </c>
      <c r="N528" s="801" t="s">
        <v>414</v>
      </c>
      <c r="O528" s="802">
        <v>11</v>
      </c>
      <c r="P528" s="803" t="s">
        <v>1801</v>
      </c>
      <c r="Q528" s="804">
        <v>1.2800000000000001E-2</v>
      </c>
      <c r="R528" s="805" t="s">
        <v>414</v>
      </c>
      <c r="S528" s="527">
        <v>1E-3</v>
      </c>
      <c r="T528" s="528" t="s">
        <v>1797</v>
      </c>
    </row>
    <row r="529" spans="1:20" ht="15" customHeight="1" thickBot="1">
      <c r="A529" s="806" t="s">
        <v>1256</v>
      </c>
      <c r="B529" s="807" t="s">
        <v>1257</v>
      </c>
      <c r="C529" s="808">
        <v>203.35</v>
      </c>
      <c r="D529" s="809" t="s">
        <v>1801</v>
      </c>
      <c r="E529" s="810">
        <v>9.6892999999999996E-3</v>
      </c>
      <c r="F529" s="810">
        <v>2.3699999999999999E-4</v>
      </c>
      <c r="G529" s="811" t="s">
        <v>414</v>
      </c>
      <c r="H529" s="812">
        <v>0.94579999999999997</v>
      </c>
      <c r="I529" s="813" t="s">
        <v>1796</v>
      </c>
      <c r="J529" s="814">
        <v>2.4144200000000001E-2</v>
      </c>
      <c r="K529" s="814">
        <v>6.0507000000000004E-6</v>
      </c>
      <c r="L529" s="815" t="s">
        <v>2367</v>
      </c>
      <c r="M529" s="816">
        <v>299.10000000000002</v>
      </c>
      <c r="N529" s="816" t="s">
        <v>414</v>
      </c>
      <c r="O529" s="817">
        <v>100</v>
      </c>
      <c r="P529" s="818" t="s">
        <v>1801</v>
      </c>
      <c r="Q529" s="819">
        <v>3.9699999999999999E-2</v>
      </c>
      <c r="R529" s="820" t="s">
        <v>414</v>
      </c>
      <c r="S529" s="521">
        <v>1E-3</v>
      </c>
      <c r="T529" s="522" t="s">
        <v>1797</v>
      </c>
    </row>
    <row r="530" spans="1:20" ht="15" customHeight="1">
      <c r="A530" s="791" t="s">
        <v>1258</v>
      </c>
      <c r="B530" s="792" t="s">
        <v>1259</v>
      </c>
      <c r="C530" s="793">
        <v>281.31</v>
      </c>
      <c r="D530" s="794" t="s">
        <v>1801</v>
      </c>
      <c r="E530" s="795">
        <v>3.4999999999999997E-5</v>
      </c>
      <c r="F530" s="795">
        <v>8.5600000000000004E-7</v>
      </c>
      <c r="G530" s="796" t="s">
        <v>414</v>
      </c>
      <c r="H530" s="797">
        <v>1.19</v>
      </c>
      <c r="I530" s="798" t="s">
        <v>1796</v>
      </c>
      <c r="J530" s="799">
        <v>2.26727E-2</v>
      </c>
      <c r="K530" s="799">
        <v>5.716E-6</v>
      </c>
      <c r="L530" s="800" t="s">
        <v>2367</v>
      </c>
      <c r="M530" s="801">
        <v>5615</v>
      </c>
      <c r="N530" s="801" t="s">
        <v>414</v>
      </c>
      <c r="O530" s="802">
        <v>0.33</v>
      </c>
      <c r="P530" s="803" t="s">
        <v>1801</v>
      </c>
      <c r="Q530" s="804">
        <v>0.115</v>
      </c>
      <c r="R530" s="805" t="s">
        <v>414</v>
      </c>
      <c r="S530" s="527">
        <v>1E-3</v>
      </c>
      <c r="T530" s="528" t="s">
        <v>1797</v>
      </c>
    </row>
    <row r="531" spans="1:20" ht="15" customHeight="1">
      <c r="A531" s="791" t="s">
        <v>1260</v>
      </c>
      <c r="B531" s="792" t="s">
        <v>1261</v>
      </c>
      <c r="C531" s="793">
        <v>564.69000000000005</v>
      </c>
      <c r="D531" s="794" t="s">
        <v>1801</v>
      </c>
      <c r="E531" s="795">
        <v>4.4153999999999999E-3</v>
      </c>
      <c r="F531" s="795">
        <v>1.08E-4</v>
      </c>
      <c r="G531" s="796" t="s">
        <v>1801</v>
      </c>
      <c r="H531" s="821" t="s">
        <v>1750</v>
      </c>
      <c r="I531" s="822" t="s">
        <v>43</v>
      </c>
      <c r="J531" s="799">
        <v>2.78108E-2</v>
      </c>
      <c r="K531" s="799">
        <v>3.2495E-6</v>
      </c>
      <c r="L531" s="800" t="s">
        <v>2367</v>
      </c>
      <c r="M531" s="801">
        <v>21660</v>
      </c>
      <c r="N531" s="801" t="s">
        <v>414</v>
      </c>
      <c r="O531" s="802">
        <v>2.3999999999999998E-3</v>
      </c>
      <c r="P531" s="803" t="s">
        <v>1801</v>
      </c>
      <c r="Q531" s="804">
        <v>3.73E-2</v>
      </c>
      <c r="R531" s="805" t="s">
        <v>414</v>
      </c>
      <c r="S531" s="527">
        <v>2E-3</v>
      </c>
      <c r="T531" s="528" t="s">
        <v>1797</v>
      </c>
    </row>
    <row r="532" spans="1:20" ht="15" customHeight="1" thickBot="1">
      <c r="A532" s="806" t="s">
        <v>1262</v>
      </c>
      <c r="B532" s="807" t="s">
        <v>1263</v>
      </c>
      <c r="C532" s="808">
        <v>564.69000000000005</v>
      </c>
      <c r="D532" s="809" t="s">
        <v>1801</v>
      </c>
      <c r="E532" s="810">
        <v>4.8199999999999999E-5</v>
      </c>
      <c r="F532" s="810">
        <v>1.1799999999999999E-6</v>
      </c>
      <c r="G532" s="811" t="s">
        <v>1801</v>
      </c>
      <c r="H532" s="812">
        <v>2.2799999999999998</v>
      </c>
      <c r="I532" s="813" t="s">
        <v>2405</v>
      </c>
      <c r="J532" s="814">
        <v>2.164E-2</v>
      </c>
      <c r="K532" s="814">
        <v>5.5584E-6</v>
      </c>
      <c r="L532" s="815" t="s">
        <v>2367</v>
      </c>
      <c r="M532" s="816">
        <v>21660</v>
      </c>
      <c r="N532" s="816" t="s">
        <v>414</v>
      </c>
      <c r="O532" s="817">
        <v>7.86E-5</v>
      </c>
      <c r="P532" s="818" t="s">
        <v>1801</v>
      </c>
      <c r="Q532" s="819">
        <v>3.73E-2</v>
      </c>
      <c r="R532" s="820" t="s">
        <v>414</v>
      </c>
      <c r="S532" s="521">
        <v>1E-3</v>
      </c>
      <c r="T532" s="522" t="s">
        <v>1797</v>
      </c>
    </row>
    <row r="533" spans="1:20" ht="15" customHeight="1">
      <c r="A533" s="791" t="s">
        <v>1264</v>
      </c>
      <c r="B533" s="792" t="s">
        <v>1265</v>
      </c>
      <c r="C533" s="793">
        <v>250.34</v>
      </c>
      <c r="D533" s="794" t="s">
        <v>1801</v>
      </c>
      <c r="E533" s="795">
        <v>2.87408E-2</v>
      </c>
      <c r="F533" s="795">
        <v>7.0299999999999996E-4</v>
      </c>
      <c r="G533" s="796" t="s">
        <v>1801</v>
      </c>
      <c r="H533" s="797">
        <v>1.8342000000000001</v>
      </c>
      <c r="I533" s="798" t="s">
        <v>1796</v>
      </c>
      <c r="J533" s="799">
        <v>2.94332E-2</v>
      </c>
      <c r="K533" s="799">
        <v>7.9472999999999993E-6</v>
      </c>
      <c r="L533" s="800" t="s">
        <v>2367</v>
      </c>
      <c r="M533" s="801">
        <v>3708</v>
      </c>
      <c r="N533" s="801" t="s">
        <v>414</v>
      </c>
      <c r="O533" s="802">
        <v>0.83099999999999996</v>
      </c>
      <c r="P533" s="803" t="s">
        <v>1801</v>
      </c>
      <c r="Q533" s="804">
        <v>0.16800000000000001</v>
      </c>
      <c r="R533" s="805" t="s">
        <v>414</v>
      </c>
      <c r="S533" s="527">
        <v>0.20799999999999999</v>
      </c>
      <c r="T533" s="528" t="s">
        <v>414</v>
      </c>
    </row>
    <row r="534" spans="1:20" ht="15" customHeight="1">
      <c r="A534" s="791" t="s">
        <v>1266</v>
      </c>
      <c r="B534" s="792" t="s">
        <v>1267</v>
      </c>
      <c r="C534" s="793">
        <v>202.3</v>
      </c>
      <c r="D534" s="794" t="s">
        <v>1801</v>
      </c>
      <c r="E534" s="795">
        <v>7.93132E-2</v>
      </c>
      <c r="F534" s="795">
        <v>1.9400000000000001E-3</v>
      </c>
      <c r="G534" s="796" t="s">
        <v>414</v>
      </c>
      <c r="H534" s="797">
        <v>1.6796</v>
      </c>
      <c r="I534" s="798" t="s">
        <v>1796</v>
      </c>
      <c r="J534" s="799">
        <v>3.1516700000000002E-2</v>
      </c>
      <c r="K534" s="799">
        <v>8.5663999999999998E-6</v>
      </c>
      <c r="L534" s="800" t="s">
        <v>2367</v>
      </c>
      <c r="M534" s="801">
        <v>136.19999999999999</v>
      </c>
      <c r="N534" s="801" t="s">
        <v>414</v>
      </c>
      <c r="O534" s="802">
        <v>490</v>
      </c>
      <c r="P534" s="803" t="s">
        <v>1801</v>
      </c>
      <c r="Q534" s="804">
        <v>1.5800000000000002E-2</v>
      </c>
      <c r="R534" s="805" t="s">
        <v>414</v>
      </c>
      <c r="S534" s="527">
        <v>1.73E-3</v>
      </c>
      <c r="T534" s="528" t="s">
        <v>414</v>
      </c>
    </row>
    <row r="535" spans="1:20" ht="15" customHeight="1" thickBot="1">
      <c r="A535" s="806" t="s">
        <v>1268</v>
      </c>
      <c r="B535" s="807" t="s">
        <v>1269</v>
      </c>
      <c r="C535" s="808">
        <v>295.33999999999997</v>
      </c>
      <c r="D535" s="809" t="s">
        <v>1801</v>
      </c>
      <c r="E535" s="810">
        <v>1.807E-3</v>
      </c>
      <c r="F535" s="810">
        <v>4.4199999999999997E-5</v>
      </c>
      <c r="G535" s="811" t="s">
        <v>414</v>
      </c>
      <c r="H535" s="812">
        <v>1.718</v>
      </c>
      <c r="I535" s="813" t="s">
        <v>1796</v>
      </c>
      <c r="J535" s="814">
        <v>2.6274200000000001E-2</v>
      </c>
      <c r="K535" s="814">
        <v>6.9198000000000002E-6</v>
      </c>
      <c r="L535" s="815" t="s">
        <v>2367</v>
      </c>
      <c r="M535" s="816">
        <v>5996</v>
      </c>
      <c r="N535" s="816" t="s">
        <v>414</v>
      </c>
      <c r="O535" s="817">
        <v>0.44</v>
      </c>
      <c r="P535" s="818" t="s">
        <v>1801</v>
      </c>
      <c r="Q535" s="819">
        <v>4.1799999999999997E-2</v>
      </c>
      <c r="R535" s="820" t="s">
        <v>414</v>
      </c>
      <c r="S535" s="521">
        <v>7.8600000000000007E-3</v>
      </c>
      <c r="T535" s="522" t="s">
        <v>414</v>
      </c>
    </row>
    <row r="536" spans="1:20" ht="15" customHeight="1">
      <c r="A536" s="791" t="s">
        <v>1270</v>
      </c>
      <c r="B536" s="792" t="s">
        <v>1271</v>
      </c>
      <c r="C536" s="793">
        <v>266.33999999999997</v>
      </c>
      <c r="D536" s="794" t="s">
        <v>1801</v>
      </c>
      <c r="E536" s="795">
        <v>1.0016000000000001E-6</v>
      </c>
      <c r="F536" s="795">
        <v>2.4500000000000001E-8</v>
      </c>
      <c r="G536" s="796" t="s">
        <v>1801</v>
      </c>
      <c r="H536" s="797">
        <v>1.978</v>
      </c>
      <c r="I536" s="798" t="s">
        <v>1796</v>
      </c>
      <c r="J536" s="799">
        <v>2.9519699999999999E-2</v>
      </c>
      <c r="K536" s="799">
        <v>8.0121000000000008E-6</v>
      </c>
      <c r="L536" s="800" t="s">
        <v>2367</v>
      </c>
      <c r="M536" s="801">
        <v>592</v>
      </c>
      <c r="N536" s="801" t="s">
        <v>1078</v>
      </c>
      <c r="O536" s="802">
        <v>14</v>
      </c>
      <c r="P536" s="803" t="s">
        <v>1801</v>
      </c>
      <c r="Q536" s="804">
        <v>0.127</v>
      </c>
      <c r="R536" s="805" t="s">
        <v>414</v>
      </c>
      <c r="S536" s="527">
        <v>4.3400000000000001E-3</v>
      </c>
      <c r="T536" s="528" t="s">
        <v>414</v>
      </c>
    </row>
    <row r="537" spans="1:20" ht="15" customHeight="1">
      <c r="A537" s="791" t="s">
        <v>1835</v>
      </c>
      <c r="B537" s="792" t="s">
        <v>1836</v>
      </c>
      <c r="C537" s="793">
        <v>316.14</v>
      </c>
      <c r="D537" s="794" t="s">
        <v>1801</v>
      </c>
      <c r="E537" s="795">
        <v>5.3966000000000002E-8</v>
      </c>
      <c r="F537" s="795">
        <v>1.32E-9</v>
      </c>
      <c r="G537" s="796" t="s">
        <v>1801</v>
      </c>
      <c r="H537" s="797">
        <v>1.7729999999999999</v>
      </c>
      <c r="I537" s="798" t="s">
        <v>1796</v>
      </c>
      <c r="J537" s="799">
        <v>2.5756000000000001E-2</v>
      </c>
      <c r="K537" s="799">
        <v>6.7696999999999997E-6</v>
      </c>
      <c r="L537" s="800" t="s">
        <v>2367</v>
      </c>
      <c r="M537" s="801">
        <v>647.9</v>
      </c>
      <c r="N537" s="801" t="s">
        <v>414</v>
      </c>
      <c r="O537" s="802">
        <v>43</v>
      </c>
      <c r="P537" s="803" t="s">
        <v>1801</v>
      </c>
      <c r="Q537" s="804">
        <v>1.01E-3</v>
      </c>
      <c r="R537" s="805" t="s">
        <v>414</v>
      </c>
      <c r="S537" s="527">
        <v>6.83E-2</v>
      </c>
      <c r="T537" s="528" t="s">
        <v>414</v>
      </c>
    </row>
    <row r="538" spans="1:20" ht="15" customHeight="1" thickBot="1">
      <c r="A538" s="806" t="s">
        <v>1272</v>
      </c>
      <c r="B538" s="807" t="s">
        <v>1273</v>
      </c>
      <c r="C538" s="808">
        <v>72.150999999999996</v>
      </c>
      <c r="D538" s="809" t="s">
        <v>1801</v>
      </c>
      <c r="E538" s="810">
        <v>51.103842999999998</v>
      </c>
      <c r="F538" s="810">
        <v>1.25</v>
      </c>
      <c r="G538" s="811" t="s">
        <v>1801</v>
      </c>
      <c r="H538" s="812">
        <v>0.62619999999999998</v>
      </c>
      <c r="I538" s="813" t="s">
        <v>1796</v>
      </c>
      <c r="J538" s="814">
        <v>8.2129300000000002E-2</v>
      </c>
      <c r="K538" s="814">
        <v>8.7973999999999998E-6</v>
      </c>
      <c r="L538" s="815" t="s">
        <v>2367</v>
      </c>
      <c r="M538" s="816">
        <v>72.17</v>
      </c>
      <c r="N538" s="816" t="s">
        <v>414</v>
      </c>
      <c r="O538" s="817">
        <v>38</v>
      </c>
      <c r="P538" s="818" t="s">
        <v>1801</v>
      </c>
      <c r="Q538" s="819">
        <v>0.11</v>
      </c>
      <c r="R538" s="820" t="s">
        <v>414</v>
      </c>
      <c r="S538" s="521">
        <v>2.34E-4</v>
      </c>
      <c r="T538" s="522" t="s">
        <v>414</v>
      </c>
    </row>
    <row r="539" spans="1:20" ht="15" customHeight="1">
      <c r="A539" s="791" t="s">
        <v>1837</v>
      </c>
      <c r="B539" s="792" t="s">
        <v>43</v>
      </c>
      <c r="C539" s="841" t="s">
        <v>1750</v>
      </c>
      <c r="D539" s="842" t="s">
        <v>43</v>
      </c>
      <c r="E539" s="831" t="s">
        <v>1750</v>
      </c>
      <c r="F539" s="831" t="s">
        <v>1750</v>
      </c>
      <c r="G539" s="832" t="s">
        <v>43</v>
      </c>
      <c r="H539" s="821" t="s">
        <v>1750</v>
      </c>
      <c r="I539" s="822" t="s">
        <v>43</v>
      </c>
      <c r="J539" s="833" t="s">
        <v>1750</v>
      </c>
      <c r="K539" s="833" t="s">
        <v>1750</v>
      </c>
      <c r="L539" s="834" t="s">
        <v>43</v>
      </c>
      <c r="M539" s="835" t="s">
        <v>1750</v>
      </c>
      <c r="N539" s="836" t="s">
        <v>43</v>
      </c>
      <c r="O539" s="837" t="s">
        <v>1750</v>
      </c>
      <c r="P539" s="838" t="s">
        <v>43</v>
      </c>
      <c r="Q539" s="843" t="s">
        <v>1750</v>
      </c>
      <c r="R539" s="844" t="s">
        <v>43</v>
      </c>
      <c r="S539" s="527">
        <v>4.8700000000000002E-4</v>
      </c>
      <c r="T539" s="528" t="s">
        <v>414</v>
      </c>
    </row>
    <row r="540" spans="1:20" ht="15" customHeight="1">
      <c r="A540" s="791" t="s">
        <v>1838</v>
      </c>
      <c r="B540" s="792" t="s">
        <v>405</v>
      </c>
      <c r="C540" s="793">
        <v>117.49</v>
      </c>
      <c r="D540" s="794" t="s">
        <v>1801</v>
      </c>
      <c r="E540" s="831" t="s">
        <v>1750</v>
      </c>
      <c r="F540" s="831" t="s">
        <v>1750</v>
      </c>
      <c r="G540" s="832" t="s">
        <v>43</v>
      </c>
      <c r="H540" s="797">
        <v>1.95</v>
      </c>
      <c r="I540" s="798" t="s">
        <v>1796</v>
      </c>
      <c r="J540" s="833" t="s">
        <v>1750</v>
      </c>
      <c r="K540" s="833" t="s">
        <v>1750</v>
      </c>
      <c r="L540" s="834" t="s">
        <v>43</v>
      </c>
      <c r="M540" s="835" t="s">
        <v>1750</v>
      </c>
      <c r="N540" s="836" t="s">
        <v>43</v>
      </c>
      <c r="O540" s="802">
        <v>245000</v>
      </c>
      <c r="P540" s="803" t="s">
        <v>1801</v>
      </c>
      <c r="Q540" s="804">
        <v>1E-3</v>
      </c>
      <c r="R540" s="805" t="s">
        <v>1797</v>
      </c>
      <c r="S540" s="527">
        <v>2.4499999999999999E-4</v>
      </c>
      <c r="T540" s="528" t="s">
        <v>414</v>
      </c>
    </row>
    <row r="541" spans="1:20" ht="15" customHeight="1" thickBot="1">
      <c r="A541" s="806" t="s">
        <v>1839</v>
      </c>
      <c r="B541" s="807" t="s">
        <v>1048</v>
      </c>
      <c r="C541" s="808">
        <v>106.392</v>
      </c>
      <c r="D541" s="809" t="s">
        <v>1796</v>
      </c>
      <c r="E541" s="823" t="s">
        <v>1750</v>
      </c>
      <c r="F541" s="823" t="s">
        <v>1750</v>
      </c>
      <c r="G541" s="824" t="s">
        <v>43</v>
      </c>
      <c r="H541" s="812">
        <v>2.4279999999999999</v>
      </c>
      <c r="I541" s="813" t="s">
        <v>1796</v>
      </c>
      <c r="J541" s="825" t="s">
        <v>1750</v>
      </c>
      <c r="K541" s="825" t="s">
        <v>1750</v>
      </c>
      <c r="L541" s="826" t="s">
        <v>43</v>
      </c>
      <c r="M541" s="827" t="s">
        <v>1750</v>
      </c>
      <c r="N541" s="828" t="s">
        <v>43</v>
      </c>
      <c r="O541" s="817">
        <v>587000</v>
      </c>
      <c r="P541" s="818" t="s">
        <v>1796</v>
      </c>
      <c r="Q541" s="819">
        <v>1E-3</v>
      </c>
      <c r="R541" s="820" t="s">
        <v>1797</v>
      </c>
      <c r="S541" s="521">
        <v>1.9599999999999999E-2</v>
      </c>
      <c r="T541" s="522" t="s">
        <v>414</v>
      </c>
    </row>
    <row r="542" spans="1:20" ht="15" customHeight="1">
      <c r="A542" s="791" t="s">
        <v>1840</v>
      </c>
      <c r="B542" s="792" t="s">
        <v>1274</v>
      </c>
      <c r="C542" s="793">
        <v>117.49</v>
      </c>
      <c r="D542" s="794" t="s">
        <v>1796</v>
      </c>
      <c r="E542" s="831" t="s">
        <v>1750</v>
      </c>
      <c r="F542" s="831" t="s">
        <v>1750</v>
      </c>
      <c r="G542" s="832" t="s">
        <v>43</v>
      </c>
      <c r="H542" s="821" t="s">
        <v>1750</v>
      </c>
      <c r="I542" s="822" t="s">
        <v>43</v>
      </c>
      <c r="J542" s="833" t="s">
        <v>1750</v>
      </c>
      <c r="K542" s="833" t="s">
        <v>1750</v>
      </c>
      <c r="L542" s="834" t="s">
        <v>43</v>
      </c>
      <c r="M542" s="835" t="s">
        <v>1750</v>
      </c>
      <c r="N542" s="836" t="s">
        <v>43</v>
      </c>
      <c r="O542" s="802">
        <v>245000</v>
      </c>
      <c r="P542" s="803" t="s">
        <v>1796</v>
      </c>
      <c r="Q542" s="804">
        <v>1E-3</v>
      </c>
      <c r="R542" s="805" t="s">
        <v>1797</v>
      </c>
      <c r="S542" s="527">
        <v>1.26E-2</v>
      </c>
      <c r="T542" s="528" t="s">
        <v>414</v>
      </c>
    </row>
    <row r="543" spans="1:20" ht="15" customHeight="1">
      <c r="A543" s="791" t="s">
        <v>1841</v>
      </c>
      <c r="B543" s="792" t="s">
        <v>1397</v>
      </c>
      <c r="C543" s="793">
        <v>138.55000000000001</v>
      </c>
      <c r="D543" s="794" t="s">
        <v>1801</v>
      </c>
      <c r="E543" s="831" t="s">
        <v>1750</v>
      </c>
      <c r="F543" s="831" t="s">
        <v>1750</v>
      </c>
      <c r="G543" s="832" t="s">
        <v>43</v>
      </c>
      <c r="H543" s="797">
        <v>2.52</v>
      </c>
      <c r="I543" s="798" t="s">
        <v>1796</v>
      </c>
      <c r="J543" s="833" t="s">
        <v>1750</v>
      </c>
      <c r="K543" s="833" t="s">
        <v>1750</v>
      </c>
      <c r="L543" s="834" t="s">
        <v>43</v>
      </c>
      <c r="M543" s="835" t="s">
        <v>1750</v>
      </c>
      <c r="N543" s="836" t="s">
        <v>43</v>
      </c>
      <c r="O543" s="802">
        <v>15000</v>
      </c>
      <c r="P543" s="803" t="s">
        <v>1801</v>
      </c>
      <c r="Q543" s="804">
        <v>2E-3</v>
      </c>
      <c r="R543" s="805" t="s">
        <v>1797</v>
      </c>
      <c r="S543" s="527">
        <v>1.47E-4</v>
      </c>
      <c r="T543" s="528" t="s">
        <v>414</v>
      </c>
    </row>
    <row r="544" spans="1:20" ht="15" customHeight="1" thickBot="1">
      <c r="A544" s="806" t="s">
        <v>1842</v>
      </c>
      <c r="B544" s="807" t="s">
        <v>1478</v>
      </c>
      <c r="C544" s="808">
        <v>122.44</v>
      </c>
      <c r="D544" s="809" t="s">
        <v>1801</v>
      </c>
      <c r="E544" s="823" t="s">
        <v>1750</v>
      </c>
      <c r="F544" s="823" t="s">
        <v>1750</v>
      </c>
      <c r="G544" s="824" t="s">
        <v>43</v>
      </c>
      <c r="H544" s="812">
        <v>2.52</v>
      </c>
      <c r="I544" s="813" t="s">
        <v>1796</v>
      </c>
      <c r="J544" s="825" t="s">
        <v>1750</v>
      </c>
      <c r="K544" s="825" t="s">
        <v>1750</v>
      </c>
      <c r="L544" s="826" t="s">
        <v>43</v>
      </c>
      <c r="M544" s="827" t="s">
        <v>1750</v>
      </c>
      <c r="N544" s="828" t="s">
        <v>43</v>
      </c>
      <c r="O544" s="817">
        <v>2100000</v>
      </c>
      <c r="P544" s="818" t="s">
        <v>1801</v>
      </c>
      <c r="Q544" s="819">
        <v>1E-3</v>
      </c>
      <c r="R544" s="820" t="s">
        <v>1797</v>
      </c>
      <c r="S544" s="521">
        <v>1.83E-3</v>
      </c>
      <c r="T544" s="522" t="s">
        <v>414</v>
      </c>
    </row>
    <row r="545" spans="1:20" ht="15" customHeight="1">
      <c r="A545" s="791" t="s">
        <v>2423</v>
      </c>
      <c r="B545" s="792" t="s">
        <v>2164</v>
      </c>
      <c r="C545" s="793">
        <v>300.10000000000002</v>
      </c>
      <c r="D545" s="794" t="s">
        <v>1801</v>
      </c>
      <c r="E545" s="831" t="s">
        <v>1750</v>
      </c>
      <c r="F545" s="831" t="s">
        <v>1750</v>
      </c>
      <c r="G545" s="832" t="s">
        <v>43</v>
      </c>
      <c r="H545" s="797">
        <v>1.8480000000000001</v>
      </c>
      <c r="I545" s="798" t="s">
        <v>2400</v>
      </c>
      <c r="J545" s="799">
        <v>2.6954100000000002E-2</v>
      </c>
      <c r="K545" s="799">
        <v>7.1602999999999999E-6</v>
      </c>
      <c r="L545" s="800" t="s">
        <v>2367</v>
      </c>
      <c r="M545" s="801">
        <v>61.66</v>
      </c>
      <c r="N545" s="801" t="s">
        <v>2371</v>
      </c>
      <c r="O545" s="802">
        <v>56600</v>
      </c>
      <c r="P545" s="803" t="s">
        <v>2370</v>
      </c>
      <c r="Q545" s="843" t="s">
        <v>1750</v>
      </c>
      <c r="R545" s="844" t="s">
        <v>43</v>
      </c>
      <c r="S545" s="525" t="s">
        <v>1750</v>
      </c>
      <c r="T545" s="526" t="s">
        <v>43</v>
      </c>
    </row>
    <row r="546" spans="1:20" ht="15" customHeight="1">
      <c r="A546" s="791" t="s">
        <v>2424</v>
      </c>
      <c r="B546" s="792" t="s">
        <v>2425</v>
      </c>
      <c r="C546" s="793">
        <v>299.10000000000002</v>
      </c>
      <c r="D546" s="794" t="s">
        <v>2426</v>
      </c>
      <c r="E546" s="831" t="s">
        <v>1750</v>
      </c>
      <c r="F546" s="831" t="s">
        <v>1750</v>
      </c>
      <c r="G546" s="832" t="s">
        <v>43</v>
      </c>
      <c r="H546" s="797">
        <v>1.8480000000000001</v>
      </c>
      <c r="I546" s="798" t="s">
        <v>2400</v>
      </c>
      <c r="J546" s="799">
        <v>2.6999499999999999E-2</v>
      </c>
      <c r="K546" s="799">
        <v>7.1747000000000001E-6</v>
      </c>
      <c r="L546" s="800" t="s">
        <v>2367</v>
      </c>
      <c r="M546" s="801">
        <v>61.66</v>
      </c>
      <c r="N546" s="801" t="s">
        <v>2371</v>
      </c>
      <c r="O546" s="802">
        <v>56600</v>
      </c>
      <c r="P546" s="803" t="s">
        <v>2370</v>
      </c>
      <c r="Q546" s="843" t="s">
        <v>1750</v>
      </c>
      <c r="R546" s="844" t="s">
        <v>43</v>
      </c>
      <c r="S546" s="527">
        <v>1E-3</v>
      </c>
      <c r="T546" s="528" t="s">
        <v>1797</v>
      </c>
    </row>
    <row r="547" spans="1:20" ht="15" customHeight="1" thickBot="1">
      <c r="A547" s="806" t="s">
        <v>1275</v>
      </c>
      <c r="B547" s="807" t="s">
        <v>1276</v>
      </c>
      <c r="C547" s="808">
        <v>391.3</v>
      </c>
      <c r="D547" s="809" t="s">
        <v>1801</v>
      </c>
      <c r="E547" s="810">
        <v>7.6500000000000003E-5</v>
      </c>
      <c r="F547" s="810">
        <v>1.8700000000000001E-6</v>
      </c>
      <c r="G547" s="811" t="s">
        <v>414</v>
      </c>
      <c r="H547" s="812">
        <v>1.23</v>
      </c>
      <c r="I547" s="813" t="s">
        <v>1796</v>
      </c>
      <c r="J547" s="814">
        <v>1.9375699999999999E-2</v>
      </c>
      <c r="K547" s="814">
        <v>4.7831E-6</v>
      </c>
      <c r="L547" s="815" t="s">
        <v>2367</v>
      </c>
      <c r="M547" s="816">
        <v>118800</v>
      </c>
      <c r="N547" s="816" t="s">
        <v>414</v>
      </c>
      <c r="O547" s="817">
        <v>6.0000000000000001E-3</v>
      </c>
      <c r="P547" s="818" t="s">
        <v>1801</v>
      </c>
      <c r="Q547" s="819">
        <v>0.20799999999999999</v>
      </c>
      <c r="R547" s="820" t="s">
        <v>414</v>
      </c>
      <c r="S547" s="521">
        <v>1E-3</v>
      </c>
      <c r="T547" s="522" t="s">
        <v>1797</v>
      </c>
    </row>
    <row r="548" spans="1:20" ht="15" customHeight="1">
      <c r="A548" s="791" t="s">
        <v>1277</v>
      </c>
      <c r="B548" s="792" t="s">
        <v>1278</v>
      </c>
      <c r="C548" s="793">
        <v>179.22</v>
      </c>
      <c r="D548" s="794" t="s">
        <v>1801</v>
      </c>
      <c r="E548" s="795">
        <v>8.7080999999999997E-9</v>
      </c>
      <c r="F548" s="795">
        <v>2.1299999999999999E-10</v>
      </c>
      <c r="G548" s="796" t="s">
        <v>414</v>
      </c>
      <c r="H548" s="821" t="s">
        <v>1750</v>
      </c>
      <c r="I548" s="822" t="s">
        <v>43</v>
      </c>
      <c r="J548" s="799">
        <v>5.9771699999999997E-2</v>
      </c>
      <c r="K548" s="799">
        <v>6.9839000000000002E-6</v>
      </c>
      <c r="L548" s="800" t="s">
        <v>2367</v>
      </c>
      <c r="M548" s="801">
        <v>40.99</v>
      </c>
      <c r="N548" s="801" t="s">
        <v>414</v>
      </c>
      <c r="O548" s="802">
        <v>766</v>
      </c>
      <c r="P548" s="803" t="s">
        <v>1801</v>
      </c>
      <c r="Q548" s="804">
        <v>1.73E-3</v>
      </c>
      <c r="R548" s="805" t="s">
        <v>414</v>
      </c>
      <c r="S548" s="527">
        <v>1E-3</v>
      </c>
      <c r="T548" s="528" t="s">
        <v>1797</v>
      </c>
    </row>
    <row r="549" spans="1:20" ht="15" customHeight="1">
      <c r="A549" s="791" t="s">
        <v>1279</v>
      </c>
      <c r="B549" s="792" t="s">
        <v>1280</v>
      </c>
      <c r="C549" s="793">
        <v>300.32</v>
      </c>
      <c r="D549" s="794" t="s">
        <v>1801</v>
      </c>
      <c r="E549" s="795">
        <v>3.4380000000000002E-11</v>
      </c>
      <c r="F549" s="795">
        <v>8.4099999999999995E-13</v>
      </c>
      <c r="G549" s="796" t="s">
        <v>414</v>
      </c>
      <c r="H549" s="821" t="s">
        <v>1750</v>
      </c>
      <c r="I549" s="822" t="s">
        <v>43</v>
      </c>
      <c r="J549" s="799">
        <v>4.2367299999999997E-2</v>
      </c>
      <c r="K549" s="799">
        <v>4.9502999999999999E-6</v>
      </c>
      <c r="L549" s="800" t="s">
        <v>2367</v>
      </c>
      <c r="M549" s="801">
        <v>2594</v>
      </c>
      <c r="N549" s="801" t="s">
        <v>414</v>
      </c>
      <c r="O549" s="802">
        <v>4.7</v>
      </c>
      <c r="P549" s="803" t="s">
        <v>1801</v>
      </c>
      <c r="Q549" s="804">
        <v>7.8600000000000007E-3</v>
      </c>
      <c r="R549" s="805" t="s">
        <v>414</v>
      </c>
      <c r="S549" s="527">
        <v>1E-3</v>
      </c>
      <c r="T549" s="528" t="s">
        <v>1797</v>
      </c>
    </row>
    <row r="550" spans="1:20" ht="15" customHeight="1" thickBot="1">
      <c r="A550" s="806" t="s">
        <v>1281</v>
      </c>
      <c r="B550" s="807" t="s">
        <v>1282</v>
      </c>
      <c r="C550" s="808">
        <v>94.114000000000004</v>
      </c>
      <c r="D550" s="809" t="s">
        <v>1801</v>
      </c>
      <c r="E550" s="810">
        <v>1.36E-5</v>
      </c>
      <c r="F550" s="810">
        <v>3.3299999999999998E-7</v>
      </c>
      <c r="G550" s="811" t="s">
        <v>1801</v>
      </c>
      <c r="H550" s="812">
        <v>1.0545</v>
      </c>
      <c r="I550" s="813" t="s">
        <v>1796</v>
      </c>
      <c r="J550" s="814">
        <v>8.3398299999999995E-2</v>
      </c>
      <c r="K550" s="814">
        <v>1.03E-5</v>
      </c>
      <c r="L550" s="815" t="s">
        <v>2367</v>
      </c>
      <c r="M550" s="816">
        <v>187.2</v>
      </c>
      <c r="N550" s="816" t="s">
        <v>414</v>
      </c>
      <c r="O550" s="817">
        <v>82800</v>
      </c>
      <c r="P550" s="818" t="s">
        <v>1801</v>
      </c>
      <c r="Q550" s="819">
        <v>4.3400000000000001E-3</v>
      </c>
      <c r="R550" s="820" t="s">
        <v>414</v>
      </c>
      <c r="S550" s="521">
        <v>1E-3</v>
      </c>
      <c r="T550" s="522" t="s">
        <v>1797</v>
      </c>
    </row>
    <row r="551" spans="1:20" ht="15" customHeight="1">
      <c r="A551" s="791" t="s">
        <v>2427</v>
      </c>
      <c r="B551" s="792" t="s">
        <v>438</v>
      </c>
      <c r="C551" s="793">
        <v>209.25</v>
      </c>
      <c r="D551" s="794" t="s">
        <v>1801</v>
      </c>
      <c r="E551" s="795">
        <v>5.8462999999999999E-8</v>
      </c>
      <c r="F551" s="795">
        <v>1.43E-9</v>
      </c>
      <c r="G551" s="796" t="s">
        <v>414</v>
      </c>
      <c r="H551" s="797">
        <v>1.1200000000000001</v>
      </c>
      <c r="I551" s="798" t="s">
        <v>1796</v>
      </c>
      <c r="J551" s="799">
        <v>2.57445E-2</v>
      </c>
      <c r="K551" s="799">
        <v>6.5826999999999997E-6</v>
      </c>
      <c r="L551" s="800" t="s">
        <v>2367</v>
      </c>
      <c r="M551" s="801">
        <v>59.95</v>
      </c>
      <c r="N551" s="801" t="s">
        <v>414</v>
      </c>
      <c r="O551" s="802">
        <v>1860</v>
      </c>
      <c r="P551" s="803" t="s">
        <v>1801</v>
      </c>
      <c r="Q551" s="804">
        <v>1.07E-3</v>
      </c>
      <c r="R551" s="805" t="s">
        <v>414</v>
      </c>
      <c r="S551" s="527">
        <v>1E-3</v>
      </c>
      <c r="T551" s="528" t="s">
        <v>1797</v>
      </c>
    </row>
    <row r="552" spans="1:20" ht="15" customHeight="1">
      <c r="A552" s="791" t="s">
        <v>1843</v>
      </c>
      <c r="B552" s="792" t="s">
        <v>1844</v>
      </c>
      <c r="C552" s="793">
        <v>199.28</v>
      </c>
      <c r="D552" s="794" t="s">
        <v>1801</v>
      </c>
      <c r="E552" s="795">
        <v>1.1447E-6</v>
      </c>
      <c r="F552" s="795">
        <v>2.7999999999999999E-8</v>
      </c>
      <c r="G552" s="796" t="s">
        <v>1801</v>
      </c>
      <c r="H552" s="797">
        <v>1.34</v>
      </c>
      <c r="I552" s="798" t="s">
        <v>2168</v>
      </c>
      <c r="J552" s="799">
        <v>2.8997499999999999E-2</v>
      </c>
      <c r="K552" s="799">
        <v>7.5483999999999996E-6</v>
      </c>
      <c r="L552" s="800" t="s">
        <v>2367</v>
      </c>
      <c r="M552" s="801">
        <v>1475</v>
      </c>
      <c r="N552" s="801" t="s">
        <v>414</v>
      </c>
      <c r="O552" s="802">
        <v>1.59</v>
      </c>
      <c r="P552" s="803" t="s">
        <v>1801</v>
      </c>
      <c r="Q552" s="804">
        <v>6.83E-2</v>
      </c>
      <c r="R552" s="805" t="s">
        <v>414</v>
      </c>
      <c r="S552" s="527">
        <v>1E-3</v>
      </c>
      <c r="T552" s="528" t="s">
        <v>1797</v>
      </c>
    </row>
    <row r="553" spans="1:20" ht="15" customHeight="1" thickBot="1">
      <c r="A553" s="806" t="s">
        <v>2428</v>
      </c>
      <c r="B553" s="807" t="s">
        <v>2429</v>
      </c>
      <c r="C553" s="808">
        <v>135.19</v>
      </c>
      <c r="D553" s="809" t="s">
        <v>1801</v>
      </c>
      <c r="E553" s="810">
        <v>0.12142269999999999</v>
      </c>
      <c r="F553" s="810">
        <v>2.97E-3</v>
      </c>
      <c r="G553" s="811" t="s">
        <v>414</v>
      </c>
      <c r="H553" s="812">
        <v>1.1303000000000001</v>
      </c>
      <c r="I553" s="813" t="s">
        <v>1796</v>
      </c>
      <c r="J553" s="814">
        <v>5.9149599999999997E-2</v>
      </c>
      <c r="K553" s="814">
        <v>8.6023999999999992E-6</v>
      </c>
      <c r="L553" s="815" t="s">
        <v>2367</v>
      </c>
      <c r="M553" s="816">
        <v>218.8</v>
      </c>
      <c r="N553" s="816" t="s">
        <v>414</v>
      </c>
      <c r="O553" s="817">
        <v>89.9</v>
      </c>
      <c r="P553" s="818" t="s">
        <v>1801</v>
      </c>
      <c r="Q553" s="819">
        <v>4.1300000000000003E-2</v>
      </c>
      <c r="R553" s="820" t="s">
        <v>414</v>
      </c>
      <c r="S553" s="521">
        <v>1E-3</v>
      </c>
      <c r="T553" s="522" t="s">
        <v>1797</v>
      </c>
    </row>
    <row r="554" spans="1:20" ht="15" customHeight="1">
      <c r="A554" s="791" t="s">
        <v>1283</v>
      </c>
      <c r="B554" s="792" t="s">
        <v>1284</v>
      </c>
      <c r="C554" s="793">
        <v>108.14</v>
      </c>
      <c r="D554" s="794" t="s">
        <v>1801</v>
      </c>
      <c r="E554" s="795">
        <v>5.1103999999999999E-8</v>
      </c>
      <c r="F554" s="795">
        <v>1.25E-9</v>
      </c>
      <c r="G554" s="796" t="s">
        <v>414</v>
      </c>
      <c r="H554" s="797">
        <v>1.0096000000000001</v>
      </c>
      <c r="I554" s="798" t="s">
        <v>1796</v>
      </c>
      <c r="J554" s="799">
        <v>7.2115200000000004E-2</v>
      </c>
      <c r="K554" s="799">
        <v>9.1911000000000008E-6</v>
      </c>
      <c r="L554" s="800" t="s">
        <v>2367</v>
      </c>
      <c r="M554" s="801">
        <v>33.83</v>
      </c>
      <c r="N554" s="801" t="s">
        <v>414</v>
      </c>
      <c r="O554" s="802">
        <v>238000</v>
      </c>
      <c r="P554" s="803" t="s">
        <v>1801</v>
      </c>
      <c r="Q554" s="804">
        <v>2.34E-4</v>
      </c>
      <c r="R554" s="805" t="s">
        <v>414</v>
      </c>
      <c r="S554" s="527">
        <v>1E-3</v>
      </c>
      <c r="T554" s="528" t="s">
        <v>1797</v>
      </c>
    </row>
    <row r="555" spans="1:20" ht="15" customHeight="1">
      <c r="A555" s="791" t="s">
        <v>1285</v>
      </c>
      <c r="B555" s="792" t="s">
        <v>1286</v>
      </c>
      <c r="C555" s="793">
        <v>108.14</v>
      </c>
      <c r="D555" s="794" t="s">
        <v>1801</v>
      </c>
      <c r="E555" s="795">
        <v>2.9436E-7</v>
      </c>
      <c r="F555" s="795">
        <v>7.2E-9</v>
      </c>
      <c r="G555" s="796" t="s">
        <v>414</v>
      </c>
      <c r="H555" s="821" t="s">
        <v>1750</v>
      </c>
      <c r="I555" s="822" t="s">
        <v>43</v>
      </c>
      <c r="J555" s="799">
        <v>8.3707199999999995E-2</v>
      </c>
      <c r="K555" s="799">
        <v>9.7805000000000006E-6</v>
      </c>
      <c r="L555" s="800" t="s">
        <v>2367</v>
      </c>
      <c r="M555" s="801">
        <v>34.520000000000003</v>
      </c>
      <c r="N555" s="801" t="s">
        <v>414</v>
      </c>
      <c r="O555" s="802">
        <v>40400</v>
      </c>
      <c r="P555" s="803" t="s">
        <v>1801</v>
      </c>
      <c r="Q555" s="804">
        <v>4.8700000000000002E-4</v>
      </c>
      <c r="R555" s="805" t="s">
        <v>414</v>
      </c>
      <c r="S555" s="527">
        <v>1E-3</v>
      </c>
      <c r="T555" s="528" t="s">
        <v>1797</v>
      </c>
    </row>
    <row r="556" spans="1:20" ht="15" customHeight="1" thickBot="1">
      <c r="A556" s="806" t="s">
        <v>1287</v>
      </c>
      <c r="B556" s="807" t="s">
        <v>1288</v>
      </c>
      <c r="C556" s="808">
        <v>108.14</v>
      </c>
      <c r="D556" s="809" t="s">
        <v>1801</v>
      </c>
      <c r="E556" s="810">
        <v>2.7514000000000001E-8</v>
      </c>
      <c r="F556" s="810">
        <v>6.7299999999999995E-10</v>
      </c>
      <c r="G556" s="811" t="s">
        <v>1801</v>
      </c>
      <c r="H556" s="839" t="s">
        <v>1750</v>
      </c>
      <c r="I556" s="840" t="s">
        <v>43</v>
      </c>
      <c r="J556" s="814">
        <v>8.3707199999999995E-2</v>
      </c>
      <c r="K556" s="814">
        <v>9.7805000000000006E-6</v>
      </c>
      <c r="L556" s="815" t="s">
        <v>2367</v>
      </c>
      <c r="M556" s="816">
        <v>33.83</v>
      </c>
      <c r="N556" s="816" t="s">
        <v>414</v>
      </c>
      <c r="O556" s="817">
        <v>37000</v>
      </c>
      <c r="P556" s="818" t="s">
        <v>1801</v>
      </c>
      <c r="Q556" s="819">
        <v>2.4499999999999999E-4</v>
      </c>
      <c r="R556" s="820" t="s">
        <v>414</v>
      </c>
      <c r="S556" s="521">
        <v>1E-3</v>
      </c>
      <c r="T556" s="522" t="s">
        <v>1797</v>
      </c>
    </row>
    <row r="557" spans="1:20" ht="15" customHeight="1">
      <c r="A557" s="791" t="s">
        <v>1289</v>
      </c>
      <c r="B557" s="792" t="s">
        <v>1290</v>
      </c>
      <c r="C557" s="793">
        <v>170.21</v>
      </c>
      <c r="D557" s="794" t="s">
        <v>1801</v>
      </c>
      <c r="E557" s="795">
        <v>4.2899999999999999E-5</v>
      </c>
      <c r="F557" s="795">
        <v>1.0499999999999999E-6</v>
      </c>
      <c r="G557" s="796" t="s">
        <v>414</v>
      </c>
      <c r="H557" s="797">
        <v>1.2130000000000001</v>
      </c>
      <c r="I557" s="798" t="s">
        <v>1796</v>
      </c>
      <c r="J557" s="799">
        <v>4.2092200000000003E-2</v>
      </c>
      <c r="K557" s="799">
        <v>7.8161999999999998E-6</v>
      </c>
      <c r="L557" s="800" t="s">
        <v>2367</v>
      </c>
      <c r="M557" s="801">
        <v>6722</v>
      </c>
      <c r="N557" s="801" t="s">
        <v>414</v>
      </c>
      <c r="O557" s="802">
        <v>700</v>
      </c>
      <c r="P557" s="803" t="s">
        <v>1801</v>
      </c>
      <c r="Q557" s="804">
        <v>1.9599999999999999E-2</v>
      </c>
      <c r="R557" s="805" t="s">
        <v>414</v>
      </c>
      <c r="S557" s="527">
        <v>1E-3</v>
      </c>
      <c r="T557" s="528" t="s">
        <v>1797</v>
      </c>
    </row>
    <row r="558" spans="1:20" ht="15" customHeight="1">
      <c r="A558" s="791" t="s">
        <v>1291</v>
      </c>
      <c r="B558" s="792" t="s">
        <v>1292</v>
      </c>
      <c r="C558" s="793">
        <v>260.38</v>
      </c>
      <c r="D558" s="794" t="s">
        <v>1801</v>
      </c>
      <c r="E558" s="795">
        <v>1.7870000000000001E-4</v>
      </c>
      <c r="F558" s="795">
        <v>4.3699999999999997E-6</v>
      </c>
      <c r="G558" s="796" t="s">
        <v>414</v>
      </c>
      <c r="H558" s="797">
        <v>1.1599999999999999</v>
      </c>
      <c r="I558" s="798" t="s">
        <v>1796</v>
      </c>
      <c r="J558" s="799">
        <v>2.3326800000000002E-2</v>
      </c>
      <c r="K558" s="799">
        <v>5.8962999999999998E-6</v>
      </c>
      <c r="L558" s="800" t="s">
        <v>2367</v>
      </c>
      <c r="M558" s="801">
        <v>459.8</v>
      </c>
      <c r="N558" s="801" t="s">
        <v>414</v>
      </c>
      <c r="O558" s="802">
        <v>50</v>
      </c>
      <c r="P558" s="803" t="s">
        <v>1801</v>
      </c>
      <c r="Q558" s="804">
        <v>1.26E-2</v>
      </c>
      <c r="R558" s="805" t="s">
        <v>414</v>
      </c>
      <c r="S558" s="527">
        <v>1E-3</v>
      </c>
      <c r="T558" s="528" t="s">
        <v>1797</v>
      </c>
    </row>
    <row r="559" spans="1:20" ht="15" customHeight="1" thickBot="1">
      <c r="A559" s="806" t="s">
        <v>1293</v>
      </c>
      <c r="B559" s="807" t="s">
        <v>1294</v>
      </c>
      <c r="C559" s="808">
        <v>98.917000000000002</v>
      </c>
      <c r="D559" s="809" t="s">
        <v>1801</v>
      </c>
      <c r="E559" s="810">
        <v>0.68274729999999995</v>
      </c>
      <c r="F559" s="810">
        <v>1.67E-2</v>
      </c>
      <c r="G559" s="811" t="s">
        <v>1801</v>
      </c>
      <c r="H559" s="812">
        <v>1.3718999999999999</v>
      </c>
      <c r="I559" s="813" t="s">
        <v>1796</v>
      </c>
      <c r="J559" s="814">
        <v>8.9328199999999996E-2</v>
      </c>
      <c r="K559" s="814">
        <v>1.17E-5</v>
      </c>
      <c r="L559" s="815" t="s">
        <v>2367</v>
      </c>
      <c r="M559" s="816">
        <v>1</v>
      </c>
      <c r="N559" s="816" t="s">
        <v>414</v>
      </c>
      <c r="O559" s="817">
        <v>6825.5</v>
      </c>
      <c r="P559" s="818" t="s">
        <v>1816</v>
      </c>
      <c r="Q559" s="819">
        <v>1.47E-4</v>
      </c>
      <c r="R559" s="820" t="s">
        <v>414</v>
      </c>
      <c r="S559" s="521">
        <v>1E-3</v>
      </c>
      <c r="T559" s="522" t="s">
        <v>1797</v>
      </c>
    </row>
    <row r="560" spans="1:20" ht="15" customHeight="1">
      <c r="A560" s="791" t="s">
        <v>1295</v>
      </c>
      <c r="B560" s="792" t="s">
        <v>1296</v>
      </c>
      <c r="C560" s="793">
        <v>317.32</v>
      </c>
      <c r="D560" s="794" t="s">
        <v>1801</v>
      </c>
      <c r="E560" s="795">
        <v>3.4260000000000001E-7</v>
      </c>
      <c r="F560" s="795">
        <v>8.3799999999999996E-9</v>
      </c>
      <c r="G560" s="796" t="s">
        <v>414</v>
      </c>
      <c r="H560" s="821" t="s">
        <v>1750</v>
      </c>
      <c r="I560" s="822" t="s">
        <v>43</v>
      </c>
      <c r="J560" s="799">
        <v>4.0840300000000003E-2</v>
      </c>
      <c r="K560" s="799">
        <v>4.7719E-6</v>
      </c>
      <c r="L560" s="800" t="s">
        <v>2367</v>
      </c>
      <c r="M560" s="801">
        <v>10</v>
      </c>
      <c r="N560" s="801" t="s">
        <v>414</v>
      </c>
      <c r="O560" s="802">
        <v>24.4</v>
      </c>
      <c r="P560" s="803" t="s">
        <v>1801</v>
      </c>
      <c r="Q560" s="804">
        <v>1.83E-3</v>
      </c>
      <c r="R560" s="805" t="s">
        <v>414</v>
      </c>
      <c r="S560" s="527">
        <v>1E-3</v>
      </c>
      <c r="T560" s="528" t="s">
        <v>1797</v>
      </c>
    </row>
    <row r="561" spans="1:20" ht="15" customHeight="1">
      <c r="A561" s="791" t="s">
        <v>1845</v>
      </c>
      <c r="B561" s="792" t="s">
        <v>43</v>
      </c>
      <c r="C561" s="841" t="s">
        <v>1750</v>
      </c>
      <c r="D561" s="842" t="s">
        <v>43</v>
      </c>
      <c r="E561" s="831" t="s">
        <v>1750</v>
      </c>
      <c r="F561" s="831" t="s">
        <v>1750</v>
      </c>
      <c r="G561" s="832" t="s">
        <v>43</v>
      </c>
      <c r="H561" s="821" t="s">
        <v>1750</v>
      </c>
      <c r="I561" s="822" t="s">
        <v>43</v>
      </c>
      <c r="J561" s="833" t="s">
        <v>1750</v>
      </c>
      <c r="K561" s="833" t="s">
        <v>1750</v>
      </c>
      <c r="L561" s="834" t="s">
        <v>43</v>
      </c>
      <c r="M561" s="835" t="s">
        <v>1750</v>
      </c>
      <c r="N561" s="836" t="s">
        <v>43</v>
      </c>
      <c r="O561" s="837" t="s">
        <v>1750</v>
      </c>
      <c r="P561" s="838" t="s">
        <v>43</v>
      </c>
      <c r="Q561" s="843" t="s">
        <v>1750</v>
      </c>
      <c r="R561" s="844" t="s">
        <v>43</v>
      </c>
      <c r="S561" s="527">
        <v>1E-3</v>
      </c>
      <c r="T561" s="528" t="s">
        <v>1797</v>
      </c>
    </row>
    <row r="562" spans="1:20" ht="15" customHeight="1" thickBot="1">
      <c r="A562" s="806" t="s">
        <v>1846</v>
      </c>
      <c r="B562" s="807" t="s">
        <v>1847</v>
      </c>
      <c r="C562" s="808">
        <v>263.89999999999998</v>
      </c>
      <c r="D562" s="809" t="s">
        <v>1796</v>
      </c>
      <c r="E562" s="823" t="s">
        <v>1750</v>
      </c>
      <c r="F562" s="823" t="s">
        <v>1750</v>
      </c>
      <c r="G562" s="824" t="s">
        <v>43</v>
      </c>
      <c r="H562" s="812">
        <v>2.7789999999999999</v>
      </c>
      <c r="I562" s="813" t="s">
        <v>1796</v>
      </c>
      <c r="J562" s="825" t="s">
        <v>1750</v>
      </c>
      <c r="K562" s="825" t="s">
        <v>1750</v>
      </c>
      <c r="L562" s="826" t="s">
        <v>43</v>
      </c>
      <c r="M562" s="827" t="s">
        <v>1750</v>
      </c>
      <c r="N562" s="828" t="s">
        <v>43</v>
      </c>
      <c r="O562" s="829" t="s">
        <v>1750</v>
      </c>
      <c r="P562" s="830" t="s">
        <v>43</v>
      </c>
      <c r="Q562" s="819">
        <v>1E-3</v>
      </c>
      <c r="R562" s="820" t="s">
        <v>1797</v>
      </c>
      <c r="S562" s="521">
        <v>1E-3</v>
      </c>
      <c r="T562" s="522" t="s">
        <v>1797</v>
      </c>
    </row>
    <row r="563" spans="1:20" ht="15" customHeight="1">
      <c r="A563" s="791" t="s">
        <v>1848</v>
      </c>
      <c r="B563" s="792" t="s">
        <v>1849</v>
      </c>
      <c r="C563" s="841" t="s">
        <v>1750</v>
      </c>
      <c r="D563" s="842" t="s">
        <v>43</v>
      </c>
      <c r="E563" s="831" t="s">
        <v>1750</v>
      </c>
      <c r="F563" s="831" t="s">
        <v>1750</v>
      </c>
      <c r="G563" s="832" t="s">
        <v>43</v>
      </c>
      <c r="H563" s="821" t="s">
        <v>1750</v>
      </c>
      <c r="I563" s="822" t="s">
        <v>43</v>
      </c>
      <c r="J563" s="833" t="s">
        <v>1750</v>
      </c>
      <c r="K563" s="833" t="s">
        <v>1750</v>
      </c>
      <c r="L563" s="834" t="s">
        <v>43</v>
      </c>
      <c r="M563" s="835" t="s">
        <v>1750</v>
      </c>
      <c r="N563" s="836" t="s">
        <v>43</v>
      </c>
      <c r="O563" s="837" t="s">
        <v>1750</v>
      </c>
      <c r="P563" s="838" t="s">
        <v>43</v>
      </c>
      <c r="Q563" s="804">
        <v>1E-3</v>
      </c>
      <c r="R563" s="805" t="s">
        <v>1797</v>
      </c>
      <c r="S563" s="527">
        <v>1E-3</v>
      </c>
      <c r="T563" s="528" t="s">
        <v>1797</v>
      </c>
    </row>
    <row r="564" spans="1:20" ht="15" customHeight="1">
      <c r="A564" s="791" t="s">
        <v>1850</v>
      </c>
      <c r="B564" s="792" t="s">
        <v>1851</v>
      </c>
      <c r="C564" s="793">
        <v>254.1</v>
      </c>
      <c r="D564" s="794" t="s">
        <v>1796</v>
      </c>
      <c r="E564" s="831" t="s">
        <v>1750</v>
      </c>
      <c r="F564" s="831" t="s">
        <v>1750</v>
      </c>
      <c r="G564" s="832" t="s">
        <v>43</v>
      </c>
      <c r="H564" s="797">
        <v>3.09</v>
      </c>
      <c r="I564" s="798" t="s">
        <v>1796</v>
      </c>
      <c r="J564" s="833" t="s">
        <v>1750</v>
      </c>
      <c r="K564" s="833" t="s">
        <v>1750</v>
      </c>
      <c r="L564" s="834" t="s">
        <v>43</v>
      </c>
      <c r="M564" s="835" t="s">
        <v>1750</v>
      </c>
      <c r="N564" s="836" t="s">
        <v>43</v>
      </c>
      <c r="O564" s="837" t="s">
        <v>1750</v>
      </c>
      <c r="P564" s="838" t="s">
        <v>43</v>
      </c>
      <c r="Q564" s="804">
        <v>1E-3</v>
      </c>
      <c r="R564" s="805" t="s">
        <v>1797</v>
      </c>
      <c r="S564" s="527">
        <v>1E-3</v>
      </c>
      <c r="T564" s="528" t="s">
        <v>1797</v>
      </c>
    </row>
    <row r="565" spans="1:20" ht="15" customHeight="1" thickBot="1">
      <c r="A565" s="806" t="s">
        <v>1852</v>
      </c>
      <c r="B565" s="807" t="s">
        <v>1853</v>
      </c>
      <c r="C565" s="808">
        <v>132.06</v>
      </c>
      <c r="D565" s="809" t="s">
        <v>414</v>
      </c>
      <c r="E565" s="823" t="s">
        <v>1750</v>
      </c>
      <c r="F565" s="823" t="s">
        <v>1750</v>
      </c>
      <c r="G565" s="824" t="s">
        <v>43</v>
      </c>
      <c r="H565" s="839" t="s">
        <v>1750</v>
      </c>
      <c r="I565" s="840" t="s">
        <v>43</v>
      </c>
      <c r="J565" s="825" t="s">
        <v>1750</v>
      </c>
      <c r="K565" s="825" t="s">
        <v>1750</v>
      </c>
      <c r="L565" s="826" t="s">
        <v>43</v>
      </c>
      <c r="M565" s="827" t="s">
        <v>1750</v>
      </c>
      <c r="N565" s="828" t="s">
        <v>43</v>
      </c>
      <c r="O565" s="829" t="s">
        <v>1750</v>
      </c>
      <c r="P565" s="830" t="s">
        <v>43</v>
      </c>
      <c r="Q565" s="819">
        <v>1E-3</v>
      </c>
      <c r="R565" s="820" t="s">
        <v>1797</v>
      </c>
      <c r="S565" s="521">
        <v>1E-3</v>
      </c>
      <c r="T565" s="522" t="s">
        <v>1797</v>
      </c>
    </row>
    <row r="566" spans="1:20" ht="15" customHeight="1">
      <c r="A566" s="791" t="s">
        <v>1854</v>
      </c>
      <c r="B566" s="792" t="s">
        <v>1855</v>
      </c>
      <c r="C566" s="793">
        <v>136.06</v>
      </c>
      <c r="D566" s="794" t="s">
        <v>414</v>
      </c>
      <c r="E566" s="831" t="s">
        <v>1750</v>
      </c>
      <c r="F566" s="831" t="s">
        <v>1750</v>
      </c>
      <c r="G566" s="832" t="s">
        <v>43</v>
      </c>
      <c r="H566" s="821" t="s">
        <v>1750</v>
      </c>
      <c r="I566" s="822" t="s">
        <v>43</v>
      </c>
      <c r="J566" s="833" t="s">
        <v>1750</v>
      </c>
      <c r="K566" s="833" t="s">
        <v>1750</v>
      </c>
      <c r="L566" s="834" t="s">
        <v>43</v>
      </c>
      <c r="M566" s="835" t="s">
        <v>1750</v>
      </c>
      <c r="N566" s="836" t="s">
        <v>43</v>
      </c>
      <c r="O566" s="837" t="s">
        <v>1750</v>
      </c>
      <c r="P566" s="838" t="s">
        <v>43</v>
      </c>
      <c r="Q566" s="804">
        <v>1E-3</v>
      </c>
      <c r="R566" s="805" t="s">
        <v>1797</v>
      </c>
      <c r="S566" s="527">
        <v>1E-3</v>
      </c>
      <c r="T566" s="528" t="s">
        <v>1797</v>
      </c>
    </row>
    <row r="567" spans="1:20" ht="15" customHeight="1">
      <c r="A567" s="791" t="s">
        <v>1856</v>
      </c>
      <c r="B567" s="792" t="s">
        <v>1857</v>
      </c>
      <c r="C567" s="793">
        <v>174.33</v>
      </c>
      <c r="D567" s="794" t="s">
        <v>1796</v>
      </c>
      <c r="E567" s="831" t="s">
        <v>1750</v>
      </c>
      <c r="F567" s="831" t="s">
        <v>1750</v>
      </c>
      <c r="G567" s="832" t="s">
        <v>43</v>
      </c>
      <c r="H567" s="797">
        <v>2.1230000000000002</v>
      </c>
      <c r="I567" s="798" t="s">
        <v>1796</v>
      </c>
      <c r="J567" s="833" t="s">
        <v>1750</v>
      </c>
      <c r="K567" s="833" t="s">
        <v>1750</v>
      </c>
      <c r="L567" s="834" t="s">
        <v>43</v>
      </c>
      <c r="M567" s="835" t="s">
        <v>1750</v>
      </c>
      <c r="N567" s="836" t="s">
        <v>43</v>
      </c>
      <c r="O567" s="837" t="s">
        <v>1750</v>
      </c>
      <c r="P567" s="838" t="s">
        <v>43</v>
      </c>
      <c r="Q567" s="804">
        <v>1E-3</v>
      </c>
      <c r="R567" s="805" t="s">
        <v>1797</v>
      </c>
      <c r="S567" s="527">
        <v>1E-3</v>
      </c>
      <c r="T567" s="528" t="s">
        <v>1797</v>
      </c>
    </row>
    <row r="568" spans="1:20" ht="15" customHeight="1" thickBot="1">
      <c r="A568" s="806" t="s">
        <v>1858</v>
      </c>
      <c r="B568" s="807" t="s">
        <v>1859</v>
      </c>
      <c r="C568" s="808">
        <v>174.18</v>
      </c>
      <c r="D568" s="809" t="s">
        <v>414</v>
      </c>
      <c r="E568" s="823" t="s">
        <v>1750</v>
      </c>
      <c r="F568" s="823" t="s">
        <v>1750</v>
      </c>
      <c r="G568" s="824" t="s">
        <v>43</v>
      </c>
      <c r="H568" s="839" t="s">
        <v>1750</v>
      </c>
      <c r="I568" s="840" t="s">
        <v>43</v>
      </c>
      <c r="J568" s="825" t="s">
        <v>1750</v>
      </c>
      <c r="K568" s="825" t="s">
        <v>1750</v>
      </c>
      <c r="L568" s="826" t="s">
        <v>43</v>
      </c>
      <c r="M568" s="827" t="s">
        <v>1750</v>
      </c>
      <c r="N568" s="828" t="s">
        <v>43</v>
      </c>
      <c r="O568" s="829" t="s">
        <v>1750</v>
      </c>
      <c r="P568" s="830" t="s">
        <v>43</v>
      </c>
      <c r="Q568" s="819">
        <v>1E-3</v>
      </c>
      <c r="R568" s="820" t="s">
        <v>1797</v>
      </c>
      <c r="S568" s="521">
        <v>1E-3</v>
      </c>
      <c r="T568" s="522" t="s">
        <v>1797</v>
      </c>
    </row>
    <row r="569" spans="1:20" ht="15" customHeight="1">
      <c r="A569" s="791" t="s">
        <v>1860</v>
      </c>
      <c r="B569" s="792" t="s">
        <v>1861</v>
      </c>
      <c r="C569" s="793">
        <v>141.96</v>
      </c>
      <c r="D569" s="794" t="s">
        <v>414</v>
      </c>
      <c r="E569" s="831" t="s">
        <v>1750</v>
      </c>
      <c r="F569" s="831" t="s">
        <v>1750</v>
      </c>
      <c r="G569" s="832" t="s">
        <v>43</v>
      </c>
      <c r="H569" s="821" t="s">
        <v>1750</v>
      </c>
      <c r="I569" s="822" t="s">
        <v>43</v>
      </c>
      <c r="J569" s="833" t="s">
        <v>1750</v>
      </c>
      <c r="K569" s="833" t="s">
        <v>1750</v>
      </c>
      <c r="L569" s="834" t="s">
        <v>43</v>
      </c>
      <c r="M569" s="835" t="s">
        <v>1750</v>
      </c>
      <c r="N569" s="836" t="s">
        <v>43</v>
      </c>
      <c r="O569" s="837" t="s">
        <v>1750</v>
      </c>
      <c r="P569" s="838" t="s">
        <v>43</v>
      </c>
      <c r="Q569" s="804">
        <v>1E-3</v>
      </c>
      <c r="R569" s="805" t="s">
        <v>1797</v>
      </c>
      <c r="S569" s="527">
        <v>1E-3</v>
      </c>
      <c r="T569" s="528" t="s">
        <v>1797</v>
      </c>
    </row>
    <row r="570" spans="1:20" ht="15" customHeight="1">
      <c r="A570" s="791" t="s">
        <v>1862</v>
      </c>
      <c r="B570" s="792" t="s">
        <v>1863</v>
      </c>
      <c r="C570" s="793">
        <v>317.94</v>
      </c>
      <c r="D570" s="794" t="s">
        <v>1796</v>
      </c>
      <c r="E570" s="831" t="s">
        <v>1750</v>
      </c>
      <c r="F570" s="831" t="s">
        <v>1750</v>
      </c>
      <c r="G570" s="832" t="s">
        <v>43</v>
      </c>
      <c r="H570" s="821" t="s">
        <v>1750</v>
      </c>
      <c r="I570" s="822" t="s">
        <v>43</v>
      </c>
      <c r="J570" s="833" t="s">
        <v>1750</v>
      </c>
      <c r="K570" s="833" t="s">
        <v>1750</v>
      </c>
      <c r="L570" s="834" t="s">
        <v>43</v>
      </c>
      <c r="M570" s="835" t="s">
        <v>1750</v>
      </c>
      <c r="N570" s="836" t="s">
        <v>43</v>
      </c>
      <c r="O570" s="837" t="s">
        <v>1750</v>
      </c>
      <c r="P570" s="838" t="s">
        <v>43</v>
      </c>
      <c r="Q570" s="804">
        <v>1E-3</v>
      </c>
      <c r="R570" s="805" t="s">
        <v>1797</v>
      </c>
      <c r="S570" s="527">
        <v>1E-3</v>
      </c>
      <c r="T570" s="528" t="s">
        <v>1797</v>
      </c>
    </row>
    <row r="571" spans="1:20" ht="15" customHeight="1" thickBot="1">
      <c r="A571" s="806" t="s">
        <v>1864</v>
      </c>
      <c r="B571" s="807" t="s">
        <v>1865</v>
      </c>
      <c r="C571" s="808">
        <v>115.03</v>
      </c>
      <c r="D571" s="809" t="s">
        <v>414</v>
      </c>
      <c r="E571" s="823" t="s">
        <v>1750</v>
      </c>
      <c r="F571" s="823" t="s">
        <v>1750</v>
      </c>
      <c r="G571" s="824" t="s">
        <v>43</v>
      </c>
      <c r="H571" s="839" t="s">
        <v>1750</v>
      </c>
      <c r="I571" s="840" t="s">
        <v>43</v>
      </c>
      <c r="J571" s="825" t="s">
        <v>1750</v>
      </c>
      <c r="K571" s="825" t="s">
        <v>1750</v>
      </c>
      <c r="L571" s="826" t="s">
        <v>43</v>
      </c>
      <c r="M571" s="827" t="s">
        <v>1750</v>
      </c>
      <c r="N571" s="828" t="s">
        <v>43</v>
      </c>
      <c r="O571" s="829" t="s">
        <v>1750</v>
      </c>
      <c r="P571" s="830" t="s">
        <v>43</v>
      </c>
      <c r="Q571" s="819">
        <v>1E-3</v>
      </c>
      <c r="R571" s="820" t="s">
        <v>1797</v>
      </c>
      <c r="S571" s="521">
        <v>1E-3</v>
      </c>
      <c r="T571" s="522" t="s">
        <v>1797</v>
      </c>
    </row>
    <row r="572" spans="1:20" ht="15" customHeight="1">
      <c r="A572" s="791" t="s">
        <v>1866</v>
      </c>
      <c r="B572" s="792" t="s">
        <v>1867</v>
      </c>
      <c r="C572" s="793">
        <v>234.05</v>
      </c>
      <c r="D572" s="794" t="s">
        <v>414</v>
      </c>
      <c r="E572" s="831" t="s">
        <v>1750</v>
      </c>
      <c r="F572" s="831" t="s">
        <v>1750</v>
      </c>
      <c r="G572" s="832" t="s">
        <v>43</v>
      </c>
      <c r="H572" s="821" t="s">
        <v>1750</v>
      </c>
      <c r="I572" s="822" t="s">
        <v>43</v>
      </c>
      <c r="J572" s="833" t="s">
        <v>1750</v>
      </c>
      <c r="K572" s="833" t="s">
        <v>1750</v>
      </c>
      <c r="L572" s="834" t="s">
        <v>43</v>
      </c>
      <c r="M572" s="835" t="s">
        <v>1750</v>
      </c>
      <c r="N572" s="836" t="s">
        <v>43</v>
      </c>
      <c r="O572" s="837" t="s">
        <v>1750</v>
      </c>
      <c r="P572" s="838" t="s">
        <v>43</v>
      </c>
      <c r="Q572" s="804">
        <v>1E-3</v>
      </c>
      <c r="R572" s="805" t="s">
        <v>1797</v>
      </c>
      <c r="S572" s="527">
        <v>1E-3</v>
      </c>
      <c r="T572" s="528" t="s">
        <v>1797</v>
      </c>
    </row>
    <row r="573" spans="1:20" ht="15" customHeight="1">
      <c r="A573" s="791" t="s">
        <v>1868</v>
      </c>
      <c r="B573" s="792" t="s">
        <v>1869</v>
      </c>
      <c r="C573" s="793">
        <v>120.28</v>
      </c>
      <c r="D573" s="794" t="s">
        <v>1796</v>
      </c>
      <c r="E573" s="831" t="s">
        <v>1750</v>
      </c>
      <c r="F573" s="831" t="s">
        <v>1750</v>
      </c>
      <c r="G573" s="832" t="s">
        <v>43</v>
      </c>
      <c r="H573" s="821" t="s">
        <v>1750</v>
      </c>
      <c r="I573" s="822" t="s">
        <v>43</v>
      </c>
      <c r="J573" s="833" t="s">
        <v>1750</v>
      </c>
      <c r="K573" s="833" t="s">
        <v>1750</v>
      </c>
      <c r="L573" s="834" t="s">
        <v>43</v>
      </c>
      <c r="M573" s="835" t="s">
        <v>1750</v>
      </c>
      <c r="N573" s="836" t="s">
        <v>43</v>
      </c>
      <c r="O573" s="837" t="s">
        <v>1750</v>
      </c>
      <c r="P573" s="838" t="s">
        <v>43</v>
      </c>
      <c r="Q573" s="804">
        <v>1E-3</v>
      </c>
      <c r="R573" s="805" t="s">
        <v>1797</v>
      </c>
      <c r="S573" s="527">
        <v>1E-3</v>
      </c>
      <c r="T573" s="528" t="s">
        <v>1797</v>
      </c>
    </row>
    <row r="574" spans="1:20" ht="15" customHeight="1" thickBot="1">
      <c r="A574" s="806" t="s">
        <v>1870</v>
      </c>
      <c r="B574" s="807" t="s">
        <v>1871</v>
      </c>
      <c r="C574" s="808">
        <v>136.09</v>
      </c>
      <c r="D574" s="809" t="s">
        <v>414</v>
      </c>
      <c r="E574" s="823" t="s">
        <v>1750</v>
      </c>
      <c r="F574" s="823" t="s">
        <v>1750</v>
      </c>
      <c r="G574" s="824" t="s">
        <v>43</v>
      </c>
      <c r="H574" s="839" t="s">
        <v>1750</v>
      </c>
      <c r="I574" s="840" t="s">
        <v>43</v>
      </c>
      <c r="J574" s="825" t="s">
        <v>1750</v>
      </c>
      <c r="K574" s="825" t="s">
        <v>1750</v>
      </c>
      <c r="L574" s="826" t="s">
        <v>43</v>
      </c>
      <c r="M574" s="827" t="s">
        <v>1750</v>
      </c>
      <c r="N574" s="828" t="s">
        <v>43</v>
      </c>
      <c r="O574" s="829" t="s">
        <v>1750</v>
      </c>
      <c r="P574" s="830" t="s">
        <v>43</v>
      </c>
      <c r="Q574" s="819">
        <v>1E-3</v>
      </c>
      <c r="R574" s="820" t="s">
        <v>1797</v>
      </c>
      <c r="S574" s="521">
        <v>1E-3</v>
      </c>
      <c r="T574" s="522" t="s">
        <v>1797</v>
      </c>
    </row>
    <row r="575" spans="1:20" ht="15" customHeight="1">
      <c r="A575" s="791" t="s">
        <v>1872</v>
      </c>
      <c r="B575" s="792" t="s">
        <v>1873</v>
      </c>
      <c r="C575" s="793">
        <v>119.98</v>
      </c>
      <c r="D575" s="794" t="s">
        <v>1801</v>
      </c>
      <c r="E575" s="831" t="s">
        <v>1750</v>
      </c>
      <c r="F575" s="831" t="s">
        <v>1750</v>
      </c>
      <c r="G575" s="832" t="s">
        <v>43</v>
      </c>
      <c r="H575" s="821" t="s">
        <v>1750</v>
      </c>
      <c r="I575" s="822" t="s">
        <v>43</v>
      </c>
      <c r="J575" s="833" t="s">
        <v>1750</v>
      </c>
      <c r="K575" s="833" t="s">
        <v>1750</v>
      </c>
      <c r="L575" s="834" t="s">
        <v>43</v>
      </c>
      <c r="M575" s="835" t="s">
        <v>1750</v>
      </c>
      <c r="N575" s="836" t="s">
        <v>43</v>
      </c>
      <c r="O575" s="802">
        <v>486900</v>
      </c>
      <c r="P575" s="803" t="s">
        <v>1801</v>
      </c>
      <c r="Q575" s="804">
        <v>1E-3</v>
      </c>
      <c r="R575" s="805" t="s">
        <v>1797</v>
      </c>
      <c r="S575" s="527">
        <v>1E-3</v>
      </c>
      <c r="T575" s="528" t="s">
        <v>1797</v>
      </c>
    </row>
    <row r="576" spans="1:20" ht="15" customHeight="1">
      <c r="A576" s="791" t="s">
        <v>1874</v>
      </c>
      <c r="B576" s="792" t="s">
        <v>1875</v>
      </c>
      <c r="C576" s="793">
        <v>257.95999999999998</v>
      </c>
      <c r="D576" s="794" t="s">
        <v>414</v>
      </c>
      <c r="E576" s="831" t="s">
        <v>1750</v>
      </c>
      <c r="F576" s="831" t="s">
        <v>1750</v>
      </c>
      <c r="G576" s="832" t="s">
        <v>43</v>
      </c>
      <c r="H576" s="821" t="s">
        <v>1750</v>
      </c>
      <c r="I576" s="822" t="s">
        <v>43</v>
      </c>
      <c r="J576" s="833" t="s">
        <v>1750</v>
      </c>
      <c r="K576" s="833" t="s">
        <v>1750</v>
      </c>
      <c r="L576" s="834" t="s">
        <v>43</v>
      </c>
      <c r="M576" s="835" t="s">
        <v>1750</v>
      </c>
      <c r="N576" s="836" t="s">
        <v>43</v>
      </c>
      <c r="O576" s="837" t="s">
        <v>1750</v>
      </c>
      <c r="P576" s="838" t="s">
        <v>43</v>
      </c>
      <c r="Q576" s="804">
        <v>1E-3</v>
      </c>
      <c r="R576" s="805" t="s">
        <v>1797</v>
      </c>
      <c r="S576" s="527">
        <v>1E-3</v>
      </c>
      <c r="T576" s="528" t="s">
        <v>1797</v>
      </c>
    </row>
    <row r="577" spans="1:20" ht="15" customHeight="1" thickBot="1">
      <c r="A577" s="806" t="s">
        <v>1876</v>
      </c>
      <c r="B577" s="807" t="s">
        <v>1877</v>
      </c>
      <c r="C577" s="808">
        <v>448.40679</v>
      </c>
      <c r="D577" s="809" t="s">
        <v>2168</v>
      </c>
      <c r="E577" s="823" t="s">
        <v>1750</v>
      </c>
      <c r="F577" s="823" t="s">
        <v>1750</v>
      </c>
      <c r="G577" s="824" t="s">
        <v>43</v>
      </c>
      <c r="H577" s="839" t="s">
        <v>1750</v>
      </c>
      <c r="I577" s="840" t="s">
        <v>43</v>
      </c>
      <c r="J577" s="825" t="s">
        <v>1750</v>
      </c>
      <c r="K577" s="825" t="s">
        <v>1750</v>
      </c>
      <c r="L577" s="826" t="s">
        <v>43</v>
      </c>
      <c r="M577" s="827" t="s">
        <v>1750</v>
      </c>
      <c r="N577" s="828" t="s">
        <v>43</v>
      </c>
      <c r="O577" s="829" t="s">
        <v>1750</v>
      </c>
      <c r="P577" s="830" t="s">
        <v>43</v>
      </c>
      <c r="Q577" s="819">
        <v>1E-3</v>
      </c>
      <c r="R577" s="820" t="s">
        <v>1797</v>
      </c>
      <c r="S577" s="521">
        <v>1E-3</v>
      </c>
      <c r="T577" s="522" t="s">
        <v>1797</v>
      </c>
    </row>
    <row r="578" spans="1:20" ht="15" customHeight="1">
      <c r="A578" s="791" t="s">
        <v>1878</v>
      </c>
      <c r="B578" s="792" t="s">
        <v>1879</v>
      </c>
      <c r="C578" s="793">
        <v>221.94</v>
      </c>
      <c r="D578" s="794" t="s">
        <v>414</v>
      </c>
      <c r="E578" s="831" t="s">
        <v>1750</v>
      </c>
      <c r="F578" s="831" t="s">
        <v>1750</v>
      </c>
      <c r="G578" s="832" t="s">
        <v>43</v>
      </c>
      <c r="H578" s="821" t="s">
        <v>1750</v>
      </c>
      <c r="I578" s="822" t="s">
        <v>43</v>
      </c>
      <c r="J578" s="833" t="s">
        <v>1750</v>
      </c>
      <c r="K578" s="833" t="s">
        <v>1750</v>
      </c>
      <c r="L578" s="834" t="s">
        <v>43</v>
      </c>
      <c r="M578" s="835" t="s">
        <v>1750</v>
      </c>
      <c r="N578" s="836" t="s">
        <v>43</v>
      </c>
      <c r="O578" s="837" t="s">
        <v>1750</v>
      </c>
      <c r="P578" s="838" t="s">
        <v>43</v>
      </c>
      <c r="Q578" s="804">
        <v>1E-3</v>
      </c>
      <c r="R578" s="805" t="s">
        <v>1797</v>
      </c>
      <c r="S578" s="527">
        <v>1E-3</v>
      </c>
      <c r="T578" s="528" t="s">
        <v>1797</v>
      </c>
    </row>
    <row r="579" spans="1:20" ht="15" customHeight="1">
      <c r="A579" s="791" t="s">
        <v>1880</v>
      </c>
      <c r="B579" s="792" t="s">
        <v>1881</v>
      </c>
      <c r="C579" s="793">
        <v>144.94266999999999</v>
      </c>
      <c r="D579" s="794" t="s">
        <v>2168</v>
      </c>
      <c r="E579" s="831" t="s">
        <v>1750</v>
      </c>
      <c r="F579" s="831" t="s">
        <v>1750</v>
      </c>
      <c r="G579" s="832" t="s">
        <v>43</v>
      </c>
      <c r="H579" s="821" t="s">
        <v>1750</v>
      </c>
      <c r="I579" s="822" t="s">
        <v>43</v>
      </c>
      <c r="J579" s="833" t="s">
        <v>1750</v>
      </c>
      <c r="K579" s="833" t="s">
        <v>1750</v>
      </c>
      <c r="L579" s="834" t="s">
        <v>43</v>
      </c>
      <c r="M579" s="835" t="s">
        <v>1750</v>
      </c>
      <c r="N579" s="836" t="s">
        <v>43</v>
      </c>
      <c r="O579" s="837" t="s">
        <v>1750</v>
      </c>
      <c r="P579" s="838" t="s">
        <v>43</v>
      </c>
      <c r="Q579" s="804">
        <v>1E-3</v>
      </c>
      <c r="R579" s="805" t="s">
        <v>1797</v>
      </c>
      <c r="S579" s="527">
        <v>1E-3</v>
      </c>
      <c r="T579" s="528" t="s">
        <v>1797</v>
      </c>
    </row>
    <row r="580" spans="1:20" ht="15" customHeight="1" thickBot="1">
      <c r="A580" s="806" t="s">
        <v>1882</v>
      </c>
      <c r="B580" s="807" t="s">
        <v>1883</v>
      </c>
      <c r="C580" s="845" t="s">
        <v>1750</v>
      </c>
      <c r="D580" s="846" t="s">
        <v>43</v>
      </c>
      <c r="E580" s="823" t="s">
        <v>1750</v>
      </c>
      <c r="F580" s="823" t="s">
        <v>1750</v>
      </c>
      <c r="G580" s="824" t="s">
        <v>43</v>
      </c>
      <c r="H580" s="839" t="s">
        <v>1750</v>
      </c>
      <c r="I580" s="840" t="s">
        <v>43</v>
      </c>
      <c r="J580" s="825" t="s">
        <v>1750</v>
      </c>
      <c r="K580" s="825" t="s">
        <v>1750</v>
      </c>
      <c r="L580" s="826" t="s">
        <v>43</v>
      </c>
      <c r="M580" s="827" t="s">
        <v>1750</v>
      </c>
      <c r="N580" s="828" t="s">
        <v>43</v>
      </c>
      <c r="O580" s="829" t="s">
        <v>1750</v>
      </c>
      <c r="P580" s="830" t="s">
        <v>43</v>
      </c>
      <c r="Q580" s="819">
        <v>1E-3</v>
      </c>
      <c r="R580" s="820" t="s">
        <v>1797</v>
      </c>
      <c r="S580" s="529" t="s">
        <v>1750</v>
      </c>
      <c r="T580" s="530" t="s">
        <v>43</v>
      </c>
    </row>
    <row r="581" spans="1:20" ht="15" customHeight="1">
      <c r="A581" s="791" t="s">
        <v>1884</v>
      </c>
      <c r="B581" s="792" t="s">
        <v>1885</v>
      </c>
      <c r="C581" s="793">
        <v>949.88</v>
      </c>
      <c r="D581" s="794" t="s">
        <v>2430</v>
      </c>
      <c r="E581" s="831" t="s">
        <v>1750</v>
      </c>
      <c r="F581" s="831" t="s">
        <v>1750</v>
      </c>
      <c r="G581" s="832" t="s">
        <v>43</v>
      </c>
      <c r="H581" s="821" t="s">
        <v>1750</v>
      </c>
      <c r="I581" s="822" t="s">
        <v>43</v>
      </c>
      <c r="J581" s="833" t="s">
        <v>1750</v>
      </c>
      <c r="K581" s="833" t="s">
        <v>1750</v>
      </c>
      <c r="L581" s="834" t="s">
        <v>43</v>
      </c>
      <c r="M581" s="835" t="s">
        <v>1750</v>
      </c>
      <c r="N581" s="836" t="s">
        <v>43</v>
      </c>
      <c r="O581" s="837" t="s">
        <v>1750</v>
      </c>
      <c r="P581" s="838" t="s">
        <v>43</v>
      </c>
      <c r="Q581" s="804">
        <v>1E-3</v>
      </c>
      <c r="R581" s="805" t="s">
        <v>1797</v>
      </c>
      <c r="S581" s="527">
        <v>1.1299999999999999</v>
      </c>
      <c r="T581" s="528" t="s">
        <v>414</v>
      </c>
    </row>
    <row r="582" spans="1:20" ht="15" customHeight="1">
      <c r="A582" s="791" t="s">
        <v>1886</v>
      </c>
      <c r="B582" s="792" t="s">
        <v>1887</v>
      </c>
      <c r="C582" s="793">
        <v>611.16999999999996</v>
      </c>
      <c r="D582" s="794" t="s">
        <v>1796</v>
      </c>
      <c r="E582" s="831" t="s">
        <v>1750</v>
      </c>
      <c r="F582" s="831" t="s">
        <v>1750</v>
      </c>
      <c r="G582" s="832" t="s">
        <v>43</v>
      </c>
      <c r="H582" s="821" t="s">
        <v>1750</v>
      </c>
      <c r="I582" s="822" t="s">
        <v>43</v>
      </c>
      <c r="J582" s="833" t="s">
        <v>1750</v>
      </c>
      <c r="K582" s="833" t="s">
        <v>1750</v>
      </c>
      <c r="L582" s="834" t="s">
        <v>43</v>
      </c>
      <c r="M582" s="835" t="s">
        <v>1750</v>
      </c>
      <c r="N582" s="836" t="s">
        <v>43</v>
      </c>
      <c r="O582" s="837" t="s">
        <v>1750</v>
      </c>
      <c r="P582" s="838" t="s">
        <v>43</v>
      </c>
      <c r="Q582" s="804">
        <v>1E-3</v>
      </c>
      <c r="R582" s="805" t="s">
        <v>1797</v>
      </c>
      <c r="S582" s="527">
        <v>1.1599999999999999E-2</v>
      </c>
      <c r="T582" s="528" t="s">
        <v>414</v>
      </c>
    </row>
    <row r="583" spans="1:20" ht="15" customHeight="1" thickBot="1">
      <c r="A583" s="806" t="s">
        <v>1888</v>
      </c>
      <c r="B583" s="807" t="s">
        <v>1889</v>
      </c>
      <c r="C583" s="808">
        <v>359.92</v>
      </c>
      <c r="D583" s="809" t="s">
        <v>414</v>
      </c>
      <c r="E583" s="823" t="s">
        <v>1750</v>
      </c>
      <c r="F583" s="823" t="s">
        <v>1750</v>
      </c>
      <c r="G583" s="824" t="s">
        <v>43</v>
      </c>
      <c r="H583" s="839" t="s">
        <v>1750</v>
      </c>
      <c r="I583" s="840" t="s">
        <v>43</v>
      </c>
      <c r="J583" s="825" t="s">
        <v>1750</v>
      </c>
      <c r="K583" s="825" t="s">
        <v>1750</v>
      </c>
      <c r="L583" s="826" t="s">
        <v>43</v>
      </c>
      <c r="M583" s="827" t="s">
        <v>1750</v>
      </c>
      <c r="N583" s="828" t="s">
        <v>43</v>
      </c>
      <c r="O583" s="829" t="s">
        <v>1750</v>
      </c>
      <c r="P583" s="830" t="s">
        <v>43</v>
      </c>
      <c r="Q583" s="819">
        <v>1E-3</v>
      </c>
      <c r="R583" s="820" t="s">
        <v>1797</v>
      </c>
      <c r="S583" s="521">
        <v>4.2000000000000003E-2</v>
      </c>
      <c r="T583" s="522" t="s">
        <v>414</v>
      </c>
    </row>
    <row r="584" spans="1:20" ht="15" customHeight="1">
      <c r="A584" s="791" t="s">
        <v>1890</v>
      </c>
      <c r="B584" s="792" t="s">
        <v>1891</v>
      </c>
      <c r="C584" s="793">
        <v>305.89</v>
      </c>
      <c r="D584" s="794" t="s">
        <v>414</v>
      </c>
      <c r="E584" s="831" t="s">
        <v>1750</v>
      </c>
      <c r="F584" s="831" t="s">
        <v>1750</v>
      </c>
      <c r="G584" s="832" t="s">
        <v>43</v>
      </c>
      <c r="H584" s="821" t="s">
        <v>1750</v>
      </c>
      <c r="I584" s="822" t="s">
        <v>43</v>
      </c>
      <c r="J584" s="833" t="s">
        <v>1750</v>
      </c>
      <c r="K584" s="833" t="s">
        <v>1750</v>
      </c>
      <c r="L584" s="834" t="s">
        <v>43</v>
      </c>
      <c r="M584" s="835" t="s">
        <v>1750</v>
      </c>
      <c r="N584" s="836" t="s">
        <v>43</v>
      </c>
      <c r="O584" s="837" t="s">
        <v>1750</v>
      </c>
      <c r="P584" s="838" t="s">
        <v>43</v>
      </c>
      <c r="Q584" s="804">
        <v>1E-3</v>
      </c>
      <c r="R584" s="805" t="s">
        <v>1797</v>
      </c>
      <c r="S584" s="527">
        <v>3.5999999999999999E-3</v>
      </c>
      <c r="T584" s="528" t="s">
        <v>414</v>
      </c>
    </row>
    <row r="585" spans="1:20" ht="15" customHeight="1">
      <c r="A585" s="791" t="s">
        <v>1892</v>
      </c>
      <c r="B585" s="792" t="s">
        <v>1893</v>
      </c>
      <c r="C585" s="793">
        <v>367.86</v>
      </c>
      <c r="D585" s="794" t="s">
        <v>414</v>
      </c>
      <c r="E585" s="831" t="s">
        <v>1750</v>
      </c>
      <c r="F585" s="831" t="s">
        <v>1750</v>
      </c>
      <c r="G585" s="832" t="s">
        <v>43</v>
      </c>
      <c r="H585" s="821" t="s">
        <v>1750</v>
      </c>
      <c r="I585" s="822" t="s">
        <v>43</v>
      </c>
      <c r="J585" s="833" t="s">
        <v>1750</v>
      </c>
      <c r="K585" s="833" t="s">
        <v>1750</v>
      </c>
      <c r="L585" s="834" t="s">
        <v>43</v>
      </c>
      <c r="M585" s="835" t="s">
        <v>1750</v>
      </c>
      <c r="N585" s="836" t="s">
        <v>43</v>
      </c>
      <c r="O585" s="837" t="s">
        <v>1750</v>
      </c>
      <c r="P585" s="838" t="s">
        <v>43</v>
      </c>
      <c r="Q585" s="804">
        <v>1E-3</v>
      </c>
      <c r="R585" s="805" t="s">
        <v>1797</v>
      </c>
      <c r="S585" s="527">
        <v>3.9899999999999996E-3</v>
      </c>
      <c r="T585" s="528" t="s">
        <v>414</v>
      </c>
    </row>
    <row r="586" spans="1:20" ht="15" customHeight="1" thickBot="1">
      <c r="A586" s="806" t="s">
        <v>1894</v>
      </c>
      <c r="B586" s="807" t="s">
        <v>1895</v>
      </c>
      <c r="C586" s="808">
        <v>330.35</v>
      </c>
      <c r="D586" s="809" t="s">
        <v>1801</v>
      </c>
      <c r="E586" s="823" t="s">
        <v>1750</v>
      </c>
      <c r="F586" s="823" t="s">
        <v>1750</v>
      </c>
      <c r="G586" s="824" t="s">
        <v>43</v>
      </c>
      <c r="H586" s="839" t="s">
        <v>1750</v>
      </c>
      <c r="I586" s="840" t="s">
        <v>43</v>
      </c>
      <c r="J586" s="825" t="s">
        <v>1750</v>
      </c>
      <c r="K586" s="825" t="s">
        <v>1750</v>
      </c>
      <c r="L586" s="826" t="s">
        <v>43</v>
      </c>
      <c r="M586" s="827" t="s">
        <v>1750</v>
      </c>
      <c r="N586" s="828" t="s">
        <v>43</v>
      </c>
      <c r="O586" s="829" t="s">
        <v>1750</v>
      </c>
      <c r="P586" s="830" t="s">
        <v>43</v>
      </c>
      <c r="Q586" s="819">
        <v>1E-3</v>
      </c>
      <c r="R586" s="820" t="s">
        <v>1797</v>
      </c>
      <c r="S586" s="521">
        <v>2.4300000000000002</v>
      </c>
      <c r="T586" s="522" t="s">
        <v>414</v>
      </c>
    </row>
    <row r="587" spans="1:20" ht="15" customHeight="1">
      <c r="A587" s="791" t="s">
        <v>1896</v>
      </c>
      <c r="B587" s="792" t="s">
        <v>1897</v>
      </c>
      <c r="C587" s="793">
        <v>265.89999999999998</v>
      </c>
      <c r="D587" s="794" t="s">
        <v>1801</v>
      </c>
      <c r="E587" s="831" t="s">
        <v>1750</v>
      </c>
      <c r="F587" s="831" t="s">
        <v>1750</v>
      </c>
      <c r="G587" s="832" t="s">
        <v>43</v>
      </c>
      <c r="H587" s="821" t="s">
        <v>1750</v>
      </c>
      <c r="I587" s="822" t="s">
        <v>43</v>
      </c>
      <c r="J587" s="833" t="s">
        <v>1750</v>
      </c>
      <c r="K587" s="833" t="s">
        <v>1750</v>
      </c>
      <c r="L587" s="834" t="s">
        <v>43</v>
      </c>
      <c r="M587" s="835" t="s">
        <v>1750</v>
      </c>
      <c r="N587" s="836" t="s">
        <v>43</v>
      </c>
      <c r="O587" s="802">
        <v>81400</v>
      </c>
      <c r="P587" s="803" t="s">
        <v>1801</v>
      </c>
      <c r="Q587" s="804">
        <v>1E-3</v>
      </c>
      <c r="R587" s="805" t="s">
        <v>1797</v>
      </c>
      <c r="S587" s="527">
        <v>3.9100000000000003E-3</v>
      </c>
      <c r="T587" s="528" t="s">
        <v>414</v>
      </c>
    </row>
    <row r="588" spans="1:20" ht="15" customHeight="1">
      <c r="A588" s="791" t="s">
        <v>1898</v>
      </c>
      <c r="B588" s="792" t="s">
        <v>1899</v>
      </c>
      <c r="C588" s="793">
        <v>887.89584000000002</v>
      </c>
      <c r="D588" s="794" t="s">
        <v>2168</v>
      </c>
      <c r="E588" s="831" t="s">
        <v>1750</v>
      </c>
      <c r="F588" s="831" t="s">
        <v>1750</v>
      </c>
      <c r="G588" s="832" t="s">
        <v>43</v>
      </c>
      <c r="H588" s="821" t="s">
        <v>1750</v>
      </c>
      <c r="I588" s="822" t="s">
        <v>43</v>
      </c>
      <c r="J588" s="833" t="s">
        <v>1750</v>
      </c>
      <c r="K588" s="833" t="s">
        <v>1750</v>
      </c>
      <c r="L588" s="834" t="s">
        <v>43</v>
      </c>
      <c r="M588" s="835" t="s">
        <v>1750</v>
      </c>
      <c r="N588" s="836" t="s">
        <v>43</v>
      </c>
      <c r="O588" s="837" t="s">
        <v>1750</v>
      </c>
      <c r="P588" s="838" t="s">
        <v>43</v>
      </c>
      <c r="Q588" s="804">
        <v>1E-3</v>
      </c>
      <c r="R588" s="805" t="s">
        <v>1797</v>
      </c>
      <c r="S588" s="527">
        <v>2.6700000000000001E-3</v>
      </c>
      <c r="T588" s="528" t="s">
        <v>414</v>
      </c>
    </row>
    <row r="589" spans="1:20" ht="15" customHeight="1" thickBot="1">
      <c r="A589" s="806" t="s">
        <v>1900</v>
      </c>
      <c r="B589" s="807" t="s">
        <v>1901</v>
      </c>
      <c r="C589" s="808">
        <v>310.18</v>
      </c>
      <c r="D589" s="809" t="s">
        <v>1796</v>
      </c>
      <c r="E589" s="823" t="s">
        <v>1750</v>
      </c>
      <c r="F589" s="823" t="s">
        <v>1750</v>
      </c>
      <c r="G589" s="824" t="s">
        <v>43</v>
      </c>
      <c r="H589" s="812">
        <v>3.14</v>
      </c>
      <c r="I589" s="813" t="s">
        <v>1796</v>
      </c>
      <c r="J589" s="825" t="s">
        <v>1750</v>
      </c>
      <c r="K589" s="825" t="s">
        <v>1750</v>
      </c>
      <c r="L589" s="826" t="s">
        <v>43</v>
      </c>
      <c r="M589" s="827" t="s">
        <v>1750</v>
      </c>
      <c r="N589" s="828" t="s">
        <v>43</v>
      </c>
      <c r="O589" s="829" t="s">
        <v>1750</v>
      </c>
      <c r="P589" s="830" t="s">
        <v>43</v>
      </c>
      <c r="Q589" s="819">
        <v>1E-3</v>
      </c>
      <c r="R589" s="820" t="s">
        <v>1797</v>
      </c>
      <c r="S589" s="521">
        <v>1.2700000000000001E-3</v>
      </c>
      <c r="T589" s="522" t="s">
        <v>414</v>
      </c>
    </row>
    <row r="590" spans="1:20" ht="15" customHeight="1">
      <c r="A590" s="791" t="s">
        <v>1902</v>
      </c>
      <c r="B590" s="792" t="s">
        <v>1903</v>
      </c>
      <c r="C590" s="793">
        <v>262.86</v>
      </c>
      <c r="D590" s="794" t="s">
        <v>1796</v>
      </c>
      <c r="E590" s="831" t="s">
        <v>1750</v>
      </c>
      <c r="F590" s="831" t="s">
        <v>1750</v>
      </c>
      <c r="G590" s="832" t="s">
        <v>43</v>
      </c>
      <c r="H590" s="821" t="s">
        <v>1750</v>
      </c>
      <c r="I590" s="822" t="s">
        <v>43</v>
      </c>
      <c r="J590" s="833" t="s">
        <v>1750</v>
      </c>
      <c r="K590" s="833" t="s">
        <v>1750</v>
      </c>
      <c r="L590" s="834" t="s">
        <v>43</v>
      </c>
      <c r="M590" s="835" t="s">
        <v>1750</v>
      </c>
      <c r="N590" s="836" t="s">
        <v>43</v>
      </c>
      <c r="O590" s="837" t="s">
        <v>1750</v>
      </c>
      <c r="P590" s="838" t="s">
        <v>43</v>
      </c>
      <c r="Q590" s="804">
        <v>1E-3</v>
      </c>
      <c r="R590" s="805" t="s">
        <v>1797</v>
      </c>
      <c r="S590" s="527">
        <v>4.9600000000000002E-4</v>
      </c>
      <c r="T590" s="528" t="s">
        <v>414</v>
      </c>
    </row>
    <row r="591" spans="1:20" ht="15" customHeight="1">
      <c r="A591" s="791" t="s">
        <v>1904</v>
      </c>
      <c r="B591" s="792" t="s">
        <v>1905</v>
      </c>
      <c r="C591" s="793">
        <v>212.27</v>
      </c>
      <c r="D591" s="794" t="s">
        <v>414</v>
      </c>
      <c r="E591" s="831" t="s">
        <v>1750</v>
      </c>
      <c r="F591" s="831" t="s">
        <v>1750</v>
      </c>
      <c r="G591" s="832" t="s">
        <v>43</v>
      </c>
      <c r="H591" s="821" t="s">
        <v>1750</v>
      </c>
      <c r="I591" s="822" t="s">
        <v>43</v>
      </c>
      <c r="J591" s="833" t="s">
        <v>1750</v>
      </c>
      <c r="K591" s="833" t="s">
        <v>1750</v>
      </c>
      <c r="L591" s="834" t="s">
        <v>43</v>
      </c>
      <c r="M591" s="835" t="s">
        <v>1750</v>
      </c>
      <c r="N591" s="836" t="s">
        <v>43</v>
      </c>
      <c r="O591" s="837" t="s">
        <v>1750</v>
      </c>
      <c r="P591" s="838" t="s">
        <v>43</v>
      </c>
      <c r="Q591" s="804">
        <v>1E-3</v>
      </c>
      <c r="R591" s="805" t="s">
        <v>1797</v>
      </c>
      <c r="S591" s="527">
        <v>1.8700000000000001E-2</v>
      </c>
      <c r="T591" s="528" t="s">
        <v>414</v>
      </c>
    </row>
    <row r="592" spans="1:20" ht="15" customHeight="1" thickBot="1">
      <c r="A592" s="806" t="s">
        <v>1906</v>
      </c>
      <c r="B592" s="807" t="s">
        <v>1907</v>
      </c>
      <c r="C592" s="808">
        <v>163.94</v>
      </c>
      <c r="D592" s="809" t="s">
        <v>1801</v>
      </c>
      <c r="E592" s="823" t="s">
        <v>1750</v>
      </c>
      <c r="F592" s="823" t="s">
        <v>1750</v>
      </c>
      <c r="G592" s="824" t="s">
        <v>43</v>
      </c>
      <c r="H592" s="839" t="s">
        <v>1750</v>
      </c>
      <c r="I592" s="840" t="s">
        <v>43</v>
      </c>
      <c r="J592" s="825" t="s">
        <v>1750</v>
      </c>
      <c r="K592" s="825" t="s">
        <v>1750</v>
      </c>
      <c r="L592" s="826" t="s">
        <v>43</v>
      </c>
      <c r="M592" s="827" t="s">
        <v>1750</v>
      </c>
      <c r="N592" s="828" t="s">
        <v>43</v>
      </c>
      <c r="O592" s="829" t="s">
        <v>1750</v>
      </c>
      <c r="P592" s="830" t="s">
        <v>43</v>
      </c>
      <c r="Q592" s="819">
        <v>1E-3</v>
      </c>
      <c r="R592" s="820" t="s">
        <v>1797</v>
      </c>
      <c r="S592" s="529" t="s">
        <v>1750</v>
      </c>
      <c r="T592" s="530" t="s">
        <v>43</v>
      </c>
    </row>
    <row r="593" spans="1:20" ht="15" customHeight="1">
      <c r="A593" s="791" t="s">
        <v>1297</v>
      </c>
      <c r="B593" s="792" t="s">
        <v>1298</v>
      </c>
      <c r="C593" s="793">
        <v>33.997999999999998</v>
      </c>
      <c r="D593" s="794" t="s">
        <v>1801</v>
      </c>
      <c r="E593" s="795">
        <v>0.998</v>
      </c>
      <c r="F593" s="795">
        <v>2.4400000000000002E-2</v>
      </c>
      <c r="G593" s="796" t="s">
        <v>1801</v>
      </c>
      <c r="H593" s="797">
        <v>1.39</v>
      </c>
      <c r="I593" s="798" t="s">
        <v>1796</v>
      </c>
      <c r="J593" s="799">
        <v>0.1882017</v>
      </c>
      <c r="K593" s="799">
        <v>2.23E-5</v>
      </c>
      <c r="L593" s="800" t="s">
        <v>2367</v>
      </c>
      <c r="M593" s="835" t="s">
        <v>1750</v>
      </c>
      <c r="N593" s="836" t="s">
        <v>43</v>
      </c>
      <c r="O593" s="802">
        <v>260000</v>
      </c>
      <c r="P593" s="803" t="s">
        <v>1802</v>
      </c>
      <c r="Q593" s="804">
        <v>1E-3</v>
      </c>
      <c r="R593" s="805" t="s">
        <v>1797</v>
      </c>
      <c r="S593" s="525" t="s">
        <v>1750</v>
      </c>
      <c r="T593" s="526" t="s">
        <v>43</v>
      </c>
    </row>
    <row r="594" spans="1:20" ht="15" customHeight="1">
      <c r="A594" s="791" t="s">
        <v>1299</v>
      </c>
      <c r="B594" s="792" t="s">
        <v>1300</v>
      </c>
      <c r="C594" s="793">
        <v>97.995000000000005</v>
      </c>
      <c r="D594" s="794" t="s">
        <v>1801</v>
      </c>
      <c r="E594" s="831" t="s">
        <v>1750</v>
      </c>
      <c r="F594" s="831" t="s">
        <v>1750</v>
      </c>
      <c r="G594" s="832" t="s">
        <v>43</v>
      </c>
      <c r="H594" s="797">
        <v>1.8340000000000001</v>
      </c>
      <c r="I594" s="798" t="s">
        <v>1802</v>
      </c>
      <c r="J594" s="833" t="s">
        <v>1750</v>
      </c>
      <c r="K594" s="833" t="s">
        <v>1750</v>
      </c>
      <c r="L594" s="834" t="s">
        <v>43</v>
      </c>
      <c r="M594" s="835" t="s">
        <v>1750</v>
      </c>
      <c r="N594" s="836" t="s">
        <v>43</v>
      </c>
      <c r="O594" s="802">
        <v>5480000</v>
      </c>
      <c r="P594" s="803" t="s">
        <v>1796</v>
      </c>
      <c r="Q594" s="804">
        <v>1E-3</v>
      </c>
      <c r="R594" s="805" t="s">
        <v>1797</v>
      </c>
      <c r="S594" s="527">
        <v>0.30499999999999999</v>
      </c>
      <c r="T594" s="528" t="s">
        <v>414</v>
      </c>
    </row>
    <row r="595" spans="1:20" ht="15" customHeight="1" thickBot="1">
      <c r="A595" s="806" t="s">
        <v>1301</v>
      </c>
      <c r="B595" s="807" t="s">
        <v>1302</v>
      </c>
      <c r="C595" s="808">
        <v>30.974</v>
      </c>
      <c r="D595" s="809" t="s">
        <v>1816</v>
      </c>
      <c r="E595" s="810">
        <v>8.5999999999999993E-2</v>
      </c>
      <c r="F595" s="810">
        <v>2.1099999999999999E-3</v>
      </c>
      <c r="G595" s="811" t="s">
        <v>2171</v>
      </c>
      <c r="H595" s="812">
        <v>1.82</v>
      </c>
      <c r="I595" s="813" t="s">
        <v>2171</v>
      </c>
      <c r="J595" s="814">
        <v>0.21936549999999999</v>
      </c>
      <c r="K595" s="814">
        <v>2.7699999999999999E-5</v>
      </c>
      <c r="L595" s="815" t="s">
        <v>2367</v>
      </c>
      <c r="M595" s="816">
        <v>1122</v>
      </c>
      <c r="N595" s="816" t="s">
        <v>2171</v>
      </c>
      <c r="O595" s="817">
        <v>3</v>
      </c>
      <c r="P595" s="818" t="s">
        <v>2171</v>
      </c>
      <c r="Q595" s="819">
        <v>1E-3</v>
      </c>
      <c r="R595" s="820" t="s">
        <v>1797</v>
      </c>
      <c r="S595" s="521">
        <v>0.16800000000000001</v>
      </c>
      <c r="T595" s="522" t="s">
        <v>414</v>
      </c>
    </row>
    <row r="596" spans="1:20" ht="15" customHeight="1">
      <c r="A596" s="791" t="s">
        <v>2112</v>
      </c>
      <c r="B596" s="792" t="s">
        <v>43</v>
      </c>
      <c r="C596" s="841" t="s">
        <v>1750</v>
      </c>
      <c r="D596" s="842" t="s">
        <v>43</v>
      </c>
      <c r="E596" s="831" t="s">
        <v>1750</v>
      </c>
      <c r="F596" s="831" t="s">
        <v>1750</v>
      </c>
      <c r="G596" s="832" t="s">
        <v>43</v>
      </c>
      <c r="H596" s="821" t="s">
        <v>1750</v>
      </c>
      <c r="I596" s="822" t="s">
        <v>43</v>
      </c>
      <c r="J596" s="833" t="s">
        <v>1750</v>
      </c>
      <c r="K596" s="833" t="s">
        <v>1750</v>
      </c>
      <c r="L596" s="834" t="s">
        <v>43</v>
      </c>
      <c r="M596" s="835" t="s">
        <v>1750</v>
      </c>
      <c r="N596" s="836" t="s">
        <v>43</v>
      </c>
      <c r="O596" s="837" t="s">
        <v>1750</v>
      </c>
      <c r="P596" s="838" t="s">
        <v>43</v>
      </c>
      <c r="Q596" s="843" t="s">
        <v>1750</v>
      </c>
      <c r="R596" s="844" t="s">
        <v>43</v>
      </c>
      <c r="S596" s="527">
        <v>0.16800000000000001</v>
      </c>
      <c r="T596" s="528" t="s">
        <v>414</v>
      </c>
    </row>
    <row r="597" spans="1:20" ht="15" customHeight="1">
      <c r="A597" s="791" t="s">
        <v>2113</v>
      </c>
      <c r="B597" s="792" t="s">
        <v>474</v>
      </c>
      <c r="C597" s="793">
        <v>390.57</v>
      </c>
      <c r="D597" s="794" t="s">
        <v>1801</v>
      </c>
      <c r="E597" s="795">
        <v>1.1E-5</v>
      </c>
      <c r="F597" s="795">
        <v>2.7000000000000001E-7</v>
      </c>
      <c r="G597" s="796" t="s">
        <v>414</v>
      </c>
      <c r="H597" s="797">
        <v>0.98099999999999998</v>
      </c>
      <c r="I597" s="798" t="s">
        <v>1796</v>
      </c>
      <c r="J597" s="799">
        <v>1.7340299999999999E-2</v>
      </c>
      <c r="K597" s="799">
        <v>4.1806999999999996E-6</v>
      </c>
      <c r="L597" s="800" t="s">
        <v>2367</v>
      </c>
      <c r="M597" s="801">
        <v>119600</v>
      </c>
      <c r="N597" s="801" t="s">
        <v>414</v>
      </c>
      <c r="O597" s="802">
        <v>0.27</v>
      </c>
      <c r="P597" s="803" t="s">
        <v>1801</v>
      </c>
      <c r="Q597" s="804">
        <v>1.1299999999999999</v>
      </c>
      <c r="R597" s="805" t="s">
        <v>414</v>
      </c>
      <c r="S597" s="527">
        <v>0.54500000000000004</v>
      </c>
      <c r="T597" s="528" t="s">
        <v>414</v>
      </c>
    </row>
    <row r="598" spans="1:20" ht="15" customHeight="1" thickBot="1">
      <c r="A598" s="806" t="s">
        <v>2431</v>
      </c>
      <c r="B598" s="807" t="s">
        <v>502</v>
      </c>
      <c r="C598" s="808">
        <v>312.37</v>
      </c>
      <c r="D598" s="809" t="s">
        <v>1801</v>
      </c>
      <c r="E598" s="810">
        <v>5.1499999999999998E-5</v>
      </c>
      <c r="F598" s="810">
        <v>1.26E-6</v>
      </c>
      <c r="G598" s="811" t="s">
        <v>414</v>
      </c>
      <c r="H598" s="812">
        <v>1.119</v>
      </c>
      <c r="I598" s="813" t="s">
        <v>1796</v>
      </c>
      <c r="J598" s="814">
        <v>2.08319E-2</v>
      </c>
      <c r="K598" s="814">
        <v>5.1733000000000001E-6</v>
      </c>
      <c r="L598" s="815" t="s">
        <v>2367</v>
      </c>
      <c r="M598" s="816">
        <v>7155</v>
      </c>
      <c r="N598" s="816" t="s">
        <v>414</v>
      </c>
      <c r="O598" s="817">
        <v>2.69</v>
      </c>
      <c r="P598" s="818" t="s">
        <v>1801</v>
      </c>
      <c r="Q598" s="819">
        <v>3.85E-2</v>
      </c>
      <c r="R598" s="820" t="s">
        <v>414</v>
      </c>
      <c r="S598" s="521">
        <v>0.47499999999999998</v>
      </c>
      <c r="T598" s="522" t="s">
        <v>414</v>
      </c>
    </row>
    <row r="599" spans="1:20" ht="15" customHeight="1">
      <c r="A599" s="791" t="s">
        <v>2114</v>
      </c>
      <c r="B599" s="792" t="s">
        <v>509</v>
      </c>
      <c r="C599" s="793">
        <v>336.39</v>
      </c>
      <c r="D599" s="794" t="s">
        <v>1801</v>
      </c>
      <c r="E599" s="795">
        <v>8.4219E-7</v>
      </c>
      <c r="F599" s="795">
        <v>2.0599999999999999E-8</v>
      </c>
      <c r="G599" s="796" t="s">
        <v>1801</v>
      </c>
      <c r="H599" s="797">
        <v>1.1000000000000001</v>
      </c>
      <c r="I599" s="798" t="s">
        <v>1798</v>
      </c>
      <c r="J599" s="799">
        <v>1.98663E-2</v>
      </c>
      <c r="K599" s="799">
        <v>4.8977999999999999E-6</v>
      </c>
      <c r="L599" s="800" t="s">
        <v>2367</v>
      </c>
      <c r="M599" s="801">
        <v>11240</v>
      </c>
      <c r="N599" s="801" t="s">
        <v>414</v>
      </c>
      <c r="O599" s="802">
        <v>8.8000000000000007</v>
      </c>
      <c r="P599" s="803" t="s">
        <v>1801</v>
      </c>
      <c r="Q599" s="804">
        <v>1.1599999999999999E-2</v>
      </c>
      <c r="R599" s="805" t="s">
        <v>414</v>
      </c>
      <c r="S599" s="527">
        <v>0.751</v>
      </c>
      <c r="T599" s="528" t="s">
        <v>414</v>
      </c>
    </row>
    <row r="600" spans="1:20" ht="15" customHeight="1">
      <c r="A600" s="791" t="s">
        <v>2115</v>
      </c>
      <c r="B600" s="792" t="s">
        <v>705</v>
      </c>
      <c r="C600" s="793">
        <v>278.35000000000002</v>
      </c>
      <c r="D600" s="794" t="s">
        <v>1801</v>
      </c>
      <c r="E600" s="795">
        <v>7.3999999999999996E-5</v>
      </c>
      <c r="F600" s="795">
        <v>1.81E-6</v>
      </c>
      <c r="G600" s="796" t="s">
        <v>1801</v>
      </c>
      <c r="H600" s="797">
        <v>1.0465</v>
      </c>
      <c r="I600" s="798" t="s">
        <v>1796</v>
      </c>
      <c r="J600" s="799">
        <v>2.1436199999999999E-2</v>
      </c>
      <c r="K600" s="799">
        <v>5.3255000000000001E-6</v>
      </c>
      <c r="L600" s="800" t="s">
        <v>2367</v>
      </c>
      <c r="M600" s="801">
        <v>1157</v>
      </c>
      <c r="N600" s="801" t="s">
        <v>414</v>
      </c>
      <c r="O600" s="802">
        <v>11.2</v>
      </c>
      <c r="P600" s="803" t="s">
        <v>1801</v>
      </c>
      <c r="Q600" s="804">
        <v>4.2000000000000003E-2</v>
      </c>
      <c r="R600" s="805" t="s">
        <v>414</v>
      </c>
      <c r="S600" s="527">
        <v>0.98599999999999999</v>
      </c>
      <c r="T600" s="528" t="s">
        <v>414</v>
      </c>
    </row>
    <row r="601" spans="1:20" ht="15" customHeight="1" thickBot="1">
      <c r="A601" s="806" t="s">
        <v>2116</v>
      </c>
      <c r="B601" s="807" t="s">
        <v>751</v>
      </c>
      <c r="C601" s="808">
        <v>222.24</v>
      </c>
      <c r="D601" s="809" t="s">
        <v>1801</v>
      </c>
      <c r="E601" s="810">
        <v>2.4899999999999999E-5</v>
      </c>
      <c r="F601" s="810">
        <v>6.0999999999999998E-7</v>
      </c>
      <c r="G601" s="811" t="s">
        <v>414</v>
      </c>
      <c r="H601" s="812">
        <v>1.232</v>
      </c>
      <c r="I601" s="813" t="s">
        <v>1796</v>
      </c>
      <c r="J601" s="814">
        <v>2.6074099999999999E-2</v>
      </c>
      <c r="K601" s="814">
        <v>6.7227E-6</v>
      </c>
      <c r="L601" s="815" t="s">
        <v>2367</v>
      </c>
      <c r="M601" s="816">
        <v>104.9</v>
      </c>
      <c r="N601" s="816" t="s">
        <v>414</v>
      </c>
      <c r="O601" s="817">
        <v>1080</v>
      </c>
      <c r="P601" s="818" t="s">
        <v>1801</v>
      </c>
      <c r="Q601" s="819">
        <v>3.5999999999999999E-3</v>
      </c>
      <c r="R601" s="820" t="s">
        <v>414</v>
      </c>
      <c r="S601" s="521">
        <v>0.58399999999999996</v>
      </c>
      <c r="T601" s="522" t="s">
        <v>414</v>
      </c>
    </row>
    <row r="602" spans="1:20" ht="15" customHeight="1">
      <c r="A602" s="791" t="s">
        <v>2117</v>
      </c>
      <c r="B602" s="792" t="s">
        <v>802</v>
      </c>
      <c r="C602" s="793">
        <v>194.19</v>
      </c>
      <c r="D602" s="794" t="s">
        <v>1801</v>
      </c>
      <c r="E602" s="795">
        <v>5.4783000000000002E-3</v>
      </c>
      <c r="F602" s="795">
        <v>1.34E-4</v>
      </c>
      <c r="G602" s="796" t="s">
        <v>414</v>
      </c>
      <c r="H602" s="797">
        <v>1.075</v>
      </c>
      <c r="I602" s="798" t="s">
        <v>1796</v>
      </c>
      <c r="J602" s="799">
        <v>2.85329E-2</v>
      </c>
      <c r="K602" s="799">
        <v>6.7170999999999996E-6</v>
      </c>
      <c r="L602" s="800" t="s">
        <v>2367</v>
      </c>
      <c r="M602" s="801">
        <v>30.96</v>
      </c>
      <c r="N602" s="801" t="s">
        <v>414</v>
      </c>
      <c r="O602" s="802">
        <v>19</v>
      </c>
      <c r="P602" s="803" t="s">
        <v>1801</v>
      </c>
      <c r="Q602" s="804">
        <v>3.9899999999999996E-3</v>
      </c>
      <c r="R602" s="805" t="s">
        <v>414</v>
      </c>
      <c r="S602" s="527">
        <v>2.96</v>
      </c>
      <c r="T602" s="528" t="s">
        <v>414</v>
      </c>
    </row>
    <row r="603" spans="1:20" ht="15" customHeight="1">
      <c r="A603" s="791" t="s">
        <v>2118</v>
      </c>
      <c r="B603" s="792" t="s">
        <v>1834</v>
      </c>
      <c r="C603" s="793">
        <v>390.57</v>
      </c>
      <c r="D603" s="794" t="s">
        <v>1801</v>
      </c>
      <c r="E603" s="795">
        <v>1.0509999999999999E-4</v>
      </c>
      <c r="F603" s="795">
        <v>2.57E-6</v>
      </c>
      <c r="G603" s="796" t="s">
        <v>414</v>
      </c>
      <c r="H603" s="821" t="s">
        <v>1750</v>
      </c>
      <c r="I603" s="822" t="s">
        <v>43</v>
      </c>
      <c r="J603" s="799">
        <v>3.5559399999999998E-2</v>
      </c>
      <c r="K603" s="799">
        <v>4.1547999999999996E-6</v>
      </c>
      <c r="L603" s="800" t="s">
        <v>2367</v>
      </c>
      <c r="M603" s="801">
        <v>140800</v>
      </c>
      <c r="N603" s="801" t="s">
        <v>414</v>
      </c>
      <c r="O603" s="802">
        <v>2.1999999999999999E-2</v>
      </c>
      <c r="P603" s="803" t="s">
        <v>1801</v>
      </c>
      <c r="Q603" s="804">
        <v>2.4300000000000002</v>
      </c>
      <c r="R603" s="805" t="s">
        <v>414</v>
      </c>
      <c r="S603" s="527">
        <v>1.43</v>
      </c>
      <c r="T603" s="528" t="s">
        <v>414</v>
      </c>
    </row>
    <row r="604" spans="1:20" ht="15" customHeight="1" thickBot="1">
      <c r="A604" s="806" t="s">
        <v>2119</v>
      </c>
      <c r="B604" s="807" t="s">
        <v>1303</v>
      </c>
      <c r="C604" s="808">
        <v>166.13</v>
      </c>
      <c r="D604" s="809" t="s">
        <v>1801</v>
      </c>
      <c r="E604" s="810">
        <v>1.5860000000000001E-11</v>
      </c>
      <c r="F604" s="810">
        <v>3.8800000000000001E-13</v>
      </c>
      <c r="G604" s="811" t="s">
        <v>1801</v>
      </c>
      <c r="H604" s="812">
        <v>1.51</v>
      </c>
      <c r="I604" s="813" t="s">
        <v>1802</v>
      </c>
      <c r="J604" s="814">
        <v>4.8722700000000001E-2</v>
      </c>
      <c r="K604" s="814">
        <v>9.0445999999999998E-6</v>
      </c>
      <c r="L604" s="815" t="s">
        <v>2367</v>
      </c>
      <c r="M604" s="816">
        <v>79.239999999999995</v>
      </c>
      <c r="N604" s="816" t="s">
        <v>414</v>
      </c>
      <c r="O604" s="817">
        <v>15</v>
      </c>
      <c r="P604" s="818" t="s">
        <v>1801</v>
      </c>
      <c r="Q604" s="819">
        <v>3.9100000000000003E-3</v>
      </c>
      <c r="R604" s="820" t="s">
        <v>414</v>
      </c>
      <c r="S604" s="521">
        <v>1.66</v>
      </c>
      <c r="T604" s="522" t="s">
        <v>414</v>
      </c>
    </row>
    <row r="605" spans="1:20" ht="15" customHeight="1">
      <c r="A605" s="791" t="s">
        <v>2120</v>
      </c>
      <c r="B605" s="792" t="s">
        <v>1304</v>
      </c>
      <c r="C605" s="793">
        <v>148.12</v>
      </c>
      <c r="D605" s="794" t="s">
        <v>1801</v>
      </c>
      <c r="E605" s="795">
        <v>6.6639000000000003E-7</v>
      </c>
      <c r="F605" s="795">
        <v>1.63E-8</v>
      </c>
      <c r="G605" s="796" t="s">
        <v>414</v>
      </c>
      <c r="H605" s="797">
        <v>1.5269999999999999</v>
      </c>
      <c r="I605" s="798" t="s">
        <v>1796</v>
      </c>
      <c r="J605" s="799">
        <v>5.9479499999999998E-2</v>
      </c>
      <c r="K605" s="799">
        <v>9.7544999999999995E-6</v>
      </c>
      <c r="L605" s="800" t="s">
        <v>2367</v>
      </c>
      <c r="M605" s="801">
        <v>10</v>
      </c>
      <c r="N605" s="801" t="s">
        <v>414</v>
      </c>
      <c r="O605" s="802">
        <v>6200</v>
      </c>
      <c r="P605" s="803" t="s">
        <v>1801</v>
      </c>
      <c r="Q605" s="804">
        <v>2.6700000000000001E-3</v>
      </c>
      <c r="R605" s="805" t="s">
        <v>414</v>
      </c>
      <c r="S605" s="527">
        <v>1.66</v>
      </c>
      <c r="T605" s="528" t="s">
        <v>414</v>
      </c>
    </row>
    <row r="606" spans="1:20" ht="15" customHeight="1">
      <c r="A606" s="791" t="s">
        <v>1305</v>
      </c>
      <c r="B606" s="792" t="s">
        <v>1306</v>
      </c>
      <c r="C606" s="793">
        <v>241.46</v>
      </c>
      <c r="D606" s="794" t="s">
        <v>1801</v>
      </c>
      <c r="E606" s="795">
        <v>2.1789999999999999E-12</v>
      </c>
      <c r="F606" s="795">
        <v>5.3299999999999998E-14</v>
      </c>
      <c r="G606" s="796" t="s">
        <v>414</v>
      </c>
      <c r="H606" s="821" t="s">
        <v>1750</v>
      </c>
      <c r="I606" s="822" t="s">
        <v>43</v>
      </c>
      <c r="J606" s="799">
        <v>4.8999300000000003E-2</v>
      </c>
      <c r="K606" s="799">
        <v>5.7251999999999998E-6</v>
      </c>
      <c r="L606" s="800" t="s">
        <v>2367</v>
      </c>
      <c r="M606" s="801">
        <v>38.770000000000003</v>
      </c>
      <c r="N606" s="801" t="s">
        <v>414</v>
      </c>
      <c r="O606" s="802">
        <v>430</v>
      </c>
      <c r="P606" s="803" t="s">
        <v>1801</v>
      </c>
      <c r="Q606" s="804">
        <v>1.2700000000000001E-3</v>
      </c>
      <c r="R606" s="805" t="s">
        <v>414</v>
      </c>
      <c r="S606" s="527">
        <v>1.24</v>
      </c>
      <c r="T606" s="528" t="s">
        <v>414</v>
      </c>
    </row>
    <row r="607" spans="1:20" ht="15" customHeight="1" thickBot="1">
      <c r="A607" s="806" t="s">
        <v>1307</v>
      </c>
      <c r="B607" s="807" t="s">
        <v>1308</v>
      </c>
      <c r="C607" s="808">
        <v>199.12</v>
      </c>
      <c r="D607" s="809" t="s">
        <v>1801</v>
      </c>
      <c r="E607" s="810">
        <v>3.986E-10</v>
      </c>
      <c r="F607" s="810">
        <v>9.7500000000000003E-12</v>
      </c>
      <c r="G607" s="811" t="s">
        <v>1801</v>
      </c>
      <c r="H607" s="839" t="s">
        <v>1750</v>
      </c>
      <c r="I607" s="840" t="s">
        <v>43</v>
      </c>
      <c r="J607" s="814">
        <v>5.5719900000000003E-2</v>
      </c>
      <c r="K607" s="814">
        <v>6.5104000000000004E-6</v>
      </c>
      <c r="L607" s="815" t="s">
        <v>2367</v>
      </c>
      <c r="M607" s="816">
        <v>226.5</v>
      </c>
      <c r="N607" s="816" t="s">
        <v>414</v>
      </c>
      <c r="O607" s="817">
        <v>1400</v>
      </c>
      <c r="P607" s="818" t="s">
        <v>1801</v>
      </c>
      <c r="Q607" s="819">
        <v>4.9600000000000002E-4</v>
      </c>
      <c r="R607" s="820" t="s">
        <v>414</v>
      </c>
      <c r="S607" s="521">
        <v>1</v>
      </c>
      <c r="T607" s="522" t="s">
        <v>414</v>
      </c>
    </row>
    <row r="608" spans="1:20" ht="15" customHeight="1">
      <c r="A608" s="791" t="s">
        <v>2243</v>
      </c>
      <c r="B608" s="792" t="s">
        <v>2244</v>
      </c>
      <c r="C608" s="793">
        <v>229.11</v>
      </c>
      <c r="D608" s="794" t="s">
        <v>1801</v>
      </c>
      <c r="E608" s="795">
        <v>6.9499999999999998E-10</v>
      </c>
      <c r="F608" s="795">
        <v>1.6999999999999999E-11</v>
      </c>
      <c r="G608" s="796" t="s">
        <v>414</v>
      </c>
      <c r="H608" s="797">
        <v>1.7629999999999999</v>
      </c>
      <c r="I608" s="798" t="s">
        <v>1802</v>
      </c>
      <c r="J608" s="799">
        <v>3.02364E-2</v>
      </c>
      <c r="K608" s="799">
        <v>8.1845999999999995E-6</v>
      </c>
      <c r="L608" s="800" t="s">
        <v>2367</v>
      </c>
      <c r="M608" s="801">
        <v>2251</v>
      </c>
      <c r="N608" s="801" t="s">
        <v>414</v>
      </c>
      <c r="O608" s="802">
        <v>12700</v>
      </c>
      <c r="P608" s="803" t="s">
        <v>1801</v>
      </c>
      <c r="Q608" s="804">
        <v>6.2100000000000002E-4</v>
      </c>
      <c r="R608" s="805" t="s">
        <v>414</v>
      </c>
      <c r="S608" s="527">
        <v>1.24</v>
      </c>
      <c r="T608" s="528" t="s">
        <v>414</v>
      </c>
    </row>
    <row r="609" spans="1:20" ht="15" customHeight="1">
      <c r="A609" s="791" t="s">
        <v>1309</v>
      </c>
      <c r="B609" s="792" t="s">
        <v>1310</v>
      </c>
      <c r="C609" s="793">
        <v>305.33999999999997</v>
      </c>
      <c r="D609" s="794" t="s">
        <v>1801</v>
      </c>
      <c r="E609" s="795">
        <v>2.87E-5</v>
      </c>
      <c r="F609" s="795">
        <v>7.0100000000000004E-7</v>
      </c>
      <c r="G609" s="796" t="s">
        <v>414</v>
      </c>
      <c r="H609" s="797">
        <v>1.17</v>
      </c>
      <c r="I609" s="798" t="s">
        <v>1796</v>
      </c>
      <c r="J609" s="799">
        <v>2.1541999999999999E-2</v>
      </c>
      <c r="K609" s="799">
        <v>5.3866000000000002E-6</v>
      </c>
      <c r="L609" s="800" t="s">
        <v>2367</v>
      </c>
      <c r="M609" s="801">
        <v>374.7</v>
      </c>
      <c r="N609" s="801" t="s">
        <v>414</v>
      </c>
      <c r="O609" s="802">
        <v>8.6</v>
      </c>
      <c r="P609" s="803" t="s">
        <v>1801</v>
      </c>
      <c r="Q609" s="804">
        <v>1.8700000000000001E-2</v>
      </c>
      <c r="R609" s="805" t="s">
        <v>414</v>
      </c>
      <c r="S609" s="527">
        <v>0.751</v>
      </c>
      <c r="T609" s="528" t="s">
        <v>414</v>
      </c>
    </row>
    <row r="610" spans="1:20" ht="15" customHeight="1" thickBot="1">
      <c r="A610" s="806" t="s">
        <v>1311</v>
      </c>
      <c r="B610" s="807" t="s">
        <v>1312</v>
      </c>
      <c r="C610" s="845" t="s">
        <v>1750</v>
      </c>
      <c r="D610" s="846" t="s">
        <v>43</v>
      </c>
      <c r="E610" s="823" t="s">
        <v>1750</v>
      </c>
      <c r="F610" s="823" t="s">
        <v>1750</v>
      </c>
      <c r="G610" s="824" t="s">
        <v>43</v>
      </c>
      <c r="H610" s="839" t="s">
        <v>1750</v>
      </c>
      <c r="I610" s="840" t="s">
        <v>43</v>
      </c>
      <c r="J610" s="825" t="s">
        <v>1750</v>
      </c>
      <c r="K610" s="825" t="s">
        <v>1750</v>
      </c>
      <c r="L610" s="826" t="s">
        <v>43</v>
      </c>
      <c r="M610" s="827" t="s">
        <v>1750</v>
      </c>
      <c r="N610" s="828" t="s">
        <v>43</v>
      </c>
      <c r="O610" s="829" t="s">
        <v>1750</v>
      </c>
      <c r="P610" s="830" t="s">
        <v>43</v>
      </c>
      <c r="Q610" s="847" t="s">
        <v>1750</v>
      </c>
      <c r="R610" s="848" t="s">
        <v>43</v>
      </c>
      <c r="S610" s="521">
        <v>1</v>
      </c>
      <c r="T610" s="522" t="s">
        <v>414</v>
      </c>
    </row>
    <row r="611" spans="1:20" ht="15" customHeight="1">
      <c r="A611" s="791" t="s">
        <v>1313</v>
      </c>
      <c r="B611" s="792" t="s">
        <v>43</v>
      </c>
      <c r="C611" s="841" t="s">
        <v>1750</v>
      </c>
      <c r="D611" s="842" t="s">
        <v>43</v>
      </c>
      <c r="E611" s="831" t="s">
        <v>1750</v>
      </c>
      <c r="F611" s="831" t="s">
        <v>1750</v>
      </c>
      <c r="G611" s="832" t="s">
        <v>43</v>
      </c>
      <c r="H611" s="821" t="s">
        <v>1750</v>
      </c>
      <c r="I611" s="822" t="s">
        <v>43</v>
      </c>
      <c r="J611" s="833" t="s">
        <v>1750</v>
      </c>
      <c r="K611" s="833" t="s">
        <v>1750</v>
      </c>
      <c r="L611" s="834" t="s">
        <v>43</v>
      </c>
      <c r="M611" s="835" t="s">
        <v>1750</v>
      </c>
      <c r="N611" s="836" t="s">
        <v>43</v>
      </c>
      <c r="O611" s="837" t="s">
        <v>1750</v>
      </c>
      <c r="P611" s="838" t="s">
        <v>43</v>
      </c>
      <c r="Q611" s="843" t="s">
        <v>1750</v>
      </c>
      <c r="R611" s="844" t="s">
        <v>43</v>
      </c>
      <c r="S611" s="527">
        <v>1</v>
      </c>
      <c r="T611" s="528" t="s">
        <v>414</v>
      </c>
    </row>
    <row r="612" spans="1:20" ht="15" customHeight="1">
      <c r="A612" s="791" t="s">
        <v>1314</v>
      </c>
      <c r="B612" s="792" t="s">
        <v>1315</v>
      </c>
      <c r="C612" s="793">
        <v>549.54</v>
      </c>
      <c r="D612" s="794" t="s">
        <v>1801</v>
      </c>
      <c r="E612" s="795">
        <v>8.1765999999999991E-3</v>
      </c>
      <c r="F612" s="795">
        <v>2.0000000000000001E-4</v>
      </c>
      <c r="G612" s="796" t="s">
        <v>414</v>
      </c>
      <c r="H612" s="797">
        <v>1.37</v>
      </c>
      <c r="I612" s="798" t="s">
        <v>2171</v>
      </c>
      <c r="J612" s="799">
        <v>1.7099699999999999E-2</v>
      </c>
      <c r="K612" s="799">
        <v>4.1620000000000001E-6</v>
      </c>
      <c r="L612" s="800" t="s">
        <v>2367</v>
      </c>
      <c r="M612" s="801">
        <v>47700</v>
      </c>
      <c r="N612" s="801" t="s">
        <v>414</v>
      </c>
      <c r="O612" s="802">
        <v>0.42</v>
      </c>
      <c r="P612" s="803" t="s">
        <v>1801</v>
      </c>
      <c r="Q612" s="804">
        <v>0.30499999999999999</v>
      </c>
      <c r="R612" s="805" t="s">
        <v>414</v>
      </c>
      <c r="S612" s="527">
        <v>0.54500000000000004</v>
      </c>
      <c r="T612" s="528" t="s">
        <v>414</v>
      </c>
    </row>
    <row r="613" spans="1:20" ht="15" customHeight="1" thickBot="1">
      <c r="A613" s="806" t="s">
        <v>1316</v>
      </c>
      <c r="B613" s="807" t="s">
        <v>1317</v>
      </c>
      <c r="C613" s="808">
        <v>188.66</v>
      </c>
      <c r="D613" s="809" t="s">
        <v>1801</v>
      </c>
      <c r="E613" s="810">
        <v>9.3212999999999994E-3</v>
      </c>
      <c r="F613" s="810">
        <v>2.2800000000000001E-4</v>
      </c>
      <c r="G613" s="811" t="s">
        <v>1801</v>
      </c>
      <c r="H613" s="812">
        <v>1.18</v>
      </c>
      <c r="I613" s="813" t="s">
        <v>2171</v>
      </c>
      <c r="J613" s="814">
        <v>3.2457899999999998E-2</v>
      </c>
      <c r="K613" s="814">
        <v>7.2276000000000001E-6</v>
      </c>
      <c r="L613" s="815" t="s">
        <v>2367</v>
      </c>
      <c r="M613" s="816">
        <v>8397</v>
      </c>
      <c r="N613" s="816" t="s">
        <v>414</v>
      </c>
      <c r="O613" s="817">
        <v>15</v>
      </c>
      <c r="P613" s="818" t="s">
        <v>1801</v>
      </c>
      <c r="Q613" s="819">
        <v>0.16800000000000001</v>
      </c>
      <c r="R613" s="820" t="s">
        <v>414</v>
      </c>
      <c r="S613" s="521">
        <v>0.54500000000000004</v>
      </c>
      <c r="T613" s="522" t="s">
        <v>414</v>
      </c>
    </row>
    <row r="614" spans="1:20" ht="15" customHeight="1">
      <c r="A614" s="791" t="s">
        <v>1318</v>
      </c>
      <c r="B614" s="792" t="s">
        <v>1319</v>
      </c>
      <c r="C614" s="793">
        <v>188.66</v>
      </c>
      <c r="D614" s="794" t="s">
        <v>1801</v>
      </c>
      <c r="E614" s="795">
        <v>3.0089899999999999E-2</v>
      </c>
      <c r="F614" s="795">
        <v>7.36E-4</v>
      </c>
      <c r="G614" s="796" t="s">
        <v>414</v>
      </c>
      <c r="H614" s="797">
        <v>1.26</v>
      </c>
      <c r="I614" s="798" t="s">
        <v>2171</v>
      </c>
      <c r="J614" s="799">
        <v>3.3446799999999999E-2</v>
      </c>
      <c r="K614" s="799">
        <v>7.5177E-6</v>
      </c>
      <c r="L614" s="800" t="s">
        <v>2367</v>
      </c>
      <c r="M614" s="801">
        <v>8397</v>
      </c>
      <c r="N614" s="801" t="s">
        <v>414</v>
      </c>
      <c r="O614" s="802">
        <v>1.45</v>
      </c>
      <c r="P614" s="803" t="s">
        <v>1801</v>
      </c>
      <c r="Q614" s="804">
        <v>0.16800000000000001</v>
      </c>
      <c r="R614" s="805" t="s">
        <v>414</v>
      </c>
      <c r="S614" s="527">
        <v>0.54500000000000004</v>
      </c>
      <c r="T614" s="528" t="s">
        <v>414</v>
      </c>
    </row>
    <row r="615" spans="1:20" ht="15" customHeight="1">
      <c r="A615" s="791" t="s">
        <v>1320</v>
      </c>
      <c r="B615" s="792" t="s">
        <v>1321</v>
      </c>
      <c r="C615" s="793">
        <v>291.99</v>
      </c>
      <c r="D615" s="794" t="s">
        <v>1801</v>
      </c>
      <c r="E615" s="795">
        <v>1.40229E-2</v>
      </c>
      <c r="F615" s="795">
        <v>3.4299999999999999E-4</v>
      </c>
      <c r="G615" s="796" t="s">
        <v>1801</v>
      </c>
      <c r="H615" s="797">
        <v>1.38</v>
      </c>
      <c r="I615" s="798" t="s">
        <v>2171</v>
      </c>
      <c r="J615" s="799">
        <v>2.38564E-2</v>
      </c>
      <c r="K615" s="799">
        <v>6.1090999999999997E-6</v>
      </c>
      <c r="L615" s="800" t="s">
        <v>2367</v>
      </c>
      <c r="M615" s="801">
        <v>78100</v>
      </c>
      <c r="N615" s="801" t="s">
        <v>414</v>
      </c>
      <c r="O615" s="802">
        <v>0.27700000000000002</v>
      </c>
      <c r="P615" s="803" t="s">
        <v>1801</v>
      </c>
      <c r="Q615" s="804">
        <v>0.54500000000000004</v>
      </c>
      <c r="R615" s="805" t="s">
        <v>414</v>
      </c>
      <c r="S615" s="527">
        <v>0.91700000000000004</v>
      </c>
      <c r="T615" s="528" t="s">
        <v>414</v>
      </c>
    </row>
    <row r="616" spans="1:20" ht="15" customHeight="1" thickBot="1">
      <c r="A616" s="806" t="s">
        <v>1322</v>
      </c>
      <c r="B616" s="807" t="s">
        <v>1323</v>
      </c>
      <c r="C616" s="808">
        <v>618.42999999999995</v>
      </c>
      <c r="D616" s="809" t="s">
        <v>1801</v>
      </c>
      <c r="E616" s="810">
        <v>1.79886E-2</v>
      </c>
      <c r="F616" s="810">
        <v>4.4000000000000002E-4</v>
      </c>
      <c r="G616" s="811" t="s">
        <v>1801</v>
      </c>
      <c r="H616" s="812">
        <v>1.405</v>
      </c>
      <c r="I616" s="813" t="s">
        <v>2418</v>
      </c>
      <c r="J616" s="814">
        <v>1.6274500000000001E-2</v>
      </c>
      <c r="K616" s="814">
        <v>3.9364000000000001E-6</v>
      </c>
      <c r="L616" s="815" t="s">
        <v>2367</v>
      </c>
      <c r="M616" s="816">
        <v>76530</v>
      </c>
      <c r="N616" s="816" t="s">
        <v>414</v>
      </c>
      <c r="O616" s="817">
        <v>0.1</v>
      </c>
      <c r="P616" s="818" t="s">
        <v>1801</v>
      </c>
      <c r="Q616" s="819">
        <v>0.47499999999999998</v>
      </c>
      <c r="R616" s="820" t="s">
        <v>414</v>
      </c>
      <c r="S616" s="521">
        <v>0.58399999999999996</v>
      </c>
      <c r="T616" s="522" t="s">
        <v>414</v>
      </c>
    </row>
    <row r="617" spans="1:20" ht="15" customHeight="1">
      <c r="A617" s="791" t="s">
        <v>1324</v>
      </c>
      <c r="B617" s="792" t="s">
        <v>1325</v>
      </c>
      <c r="C617" s="793">
        <v>326.44</v>
      </c>
      <c r="D617" s="794" t="s">
        <v>1801</v>
      </c>
      <c r="E617" s="795">
        <v>1.1569899999999999E-2</v>
      </c>
      <c r="F617" s="795">
        <v>2.8299999999999999E-4</v>
      </c>
      <c r="G617" s="796" t="s">
        <v>1801</v>
      </c>
      <c r="H617" s="797">
        <v>1.54</v>
      </c>
      <c r="I617" s="798" t="s">
        <v>2171</v>
      </c>
      <c r="J617" s="799">
        <v>2.3720499999999999E-2</v>
      </c>
      <c r="K617" s="799">
        <v>6.1024000000000002E-6</v>
      </c>
      <c r="L617" s="800" t="s">
        <v>2367</v>
      </c>
      <c r="M617" s="801">
        <v>130500</v>
      </c>
      <c r="N617" s="801" t="s">
        <v>414</v>
      </c>
      <c r="O617" s="802">
        <v>4.2999999999999997E-2</v>
      </c>
      <c r="P617" s="803" t="s">
        <v>1801</v>
      </c>
      <c r="Q617" s="804">
        <v>0.751</v>
      </c>
      <c r="R617" s="805" t="s">
        <v>414</v>
      </c>
      <c r="S617" s="527">
        <v>18.600000000000001</v>
      </c>
      <c r="T617" s="528" t="s">
        <v>414</v>
      </c>
    </row>
    <row r="618" spans="1:20" ht="15" customHeight="1">
      <c r="A618" s="791" t="s">
        <v>1326</v>
      </c>
      <c r="B618" s="792" t="s">
        <v>1327</v>
      </c>
      <c r="C618" s="793">
        <v>395.33</v>
      </c>
      <c r="D618" s="794" t="s">
        <v>1801</v>
      </c>
      <c r="E618" s="795">
        <v>1.3736699999999999E-2</v>
      </c>
      <c r="F618" s="795">
        <v>3.3599999999999998E-4</v>
      </c>
      <c r="G618" s="796" t="s">
        <v>1801</v>
      </c>
      <c r="H618" s="797">
        <v>1.62</v>
      </c>
      <c r="I618" s="798" t="s">
        <v>2171</v>
      </c>
      <c r="J618" s="799">
        <v>2.2023899999999999E-2</v>
      </c>
      <c r="K618" s="799">
        <v>5.6080000000000003E-6</v>
      </c>
      <c r="L618" s="800" t="s">
        <v>2367</v>
      </c>
      <c r="M618" s="801">
        <v>349700</v>
      </c>
      <c r="N618" s="801" t="s">
        <v>414</v>
      </c>
      <c r="O618" s="802">
        <v>1.44E-2</v>
      </c>
      <c r="P618" s="803" t="s">
        <v>1801</v>
      </c>
      <c r="Q618" s="804">
        <v>0.98599999999999999</v>
      </c>
      <c r="R618" s="805" t="s">
        <v>414</v>
      </c>
      <c r="S618" s="525" t="s">
        <v>1750</v>
      </c>
      <c r="T618" s="526" t="s">
        <v>43</v>
      </c>
    </row>
    <row r="619" spans="1:20" ht="15" customHeight="1" thickBot="1">
      <c r="A619" s="806" t="s">
        <v>2142</v>
      </c>
      <c r="B619" s="807" t="s">
        <v>2143</v>
      </c>
      <c r="C619" s="808">
        <v>291.99</v>
      </c>
      <c r="D619" s="809" t="s">
        <v>1801</v>
      </c>
      <c r="E619" s="810">
        <v>5.1104000000000002E-3</v>
      </c>
      <c r="F619" s="810">
        <v>1.25E-4</v>
      </c>
      <c r="G619" s="811" t="s">
        <v>1801</v>
      </c>
      <c r="H619" s="812">
        <v>1.649</v>
      </c>
      <c r="I619" s="813" t="s">
        <v>2400</v>
      </c>
      <c r="J619" s="814">
        <v>2.5930100000000001E-2</v>
      </c>
      <c r="K619" s="814">
        <v>6.798E-6</v>
      </c>
      <c r="L619" s="815" t="s">
        <v>2367</v>
      </c>
      <c r="M619" s="816">
        <v>81320</v>
      </c>
      <c r="N619" s="816" t="s">
        <v>414</v>
      </c>
      <c r="O619" s="817">
        <v>5.3199999999999997E-2</v>
      </c>
      <c r="P619" s="818" t="s">
        <v>1801</v>
      </c>
      <c r="Q619" s="819">
        <v>0.58399999999999996</v>
      </c>
      <c r="R619" s="820" t="s">
        <v>414</v>
      </c>
      <c r="S619" s="521">
        <v>8.5999999999999993E-2</v>
      </c>
      <c r="T619" s="522" t="s">
        <v>414</v>
      </c>
    </row>
    <row r="620" spans="1:20" ht="15" customHeight="1">
      <c r="A620" s="791" t="s">
        <v>1328</v>
      </c>
      <c r="B620" s="792" t="s">
        <v>1329</v>
      </c>
      <c r="C620" s="793">
        <v>395.33</v>
      </c>
      <c r="D620" s="794" t="s">
        <v>1801</v>
      </c>
      <c r="E620" s="795">
        <v>2.0728000000000001E-3</v>
      </c>
      <c r="F620" s="795">
        <v>5.0699999999999999E-5</v>
      </c>
      <c r="G620" s="796" t="s">
        <v>1801</v>
      </c>
      <c r="H620" s="797">
        <v>1.6579999999999999</v>
      </c>
      <c r="I620" s="798" t="s">
        <v>2400</v>
      </c>
      <c r="J620" s="799">
        <v>4.2441399999999997E-2</v>
      </c>
      <c r="K620" s="799">
        <v>5.6864999999999997E-6</v>
      </c>
      <c r="L620" s="800" t="s">
        <v>2367</v>
      </c>
      <c r="M620" s="801">
        <v>349700</v>
      </c>
      <c r="N620" s="801" t="s">
        <v>414</v>
      </c>
      <c r="O620" s="802">
        <v>7.5299999999999998E-4</v>
      </c>
      <c r="P620" s="803" t="s">
        <v>1801</v>
      </c>
      <c r="Q620" s="804">
        <v>2.96</v>
      </c>
      <c r="R620" s="805" t="s">
        <v>414</v>
      </c>
      <c r="S620" s="527">
        <v>0.14199999999999999</v>
      </c>
      <c r="T620" s="528" t="s">
        <v>414</v>
      </c>
    </row>
    <row r="621" spans="1:20" ht="15" customHeight="1">
      <c r="A621" s="791" t="s">
        <v>1330</v>
      </c>
      <c r="B621" s="792" t="s">
        <v>1331</v>
      </c>
      <c r="C621" s="793">
        <v>360.88</v>
      </c>
      <c r="D621" s="794" t="s">
        <v>1801</v>
      </c>
      <c r="E621" s="795">
        <v>2.8005E-3</v>
      </c>
      <c r="F621" s="795">
        <v>6.8499999999999998E-5</v>
      </c>
      <c r="G621" s="796" t="s">
        <v>1801</v>
      </c>
      <c r="H621" s="797">
        <v>1.593</v>
      </c>
      <c r="I621" s="798" t="s">
        <v>2400</v>
      </c>
      <c r="J621" s="799">
        <v>4.4421000000000002E-2</v>
      </c>
      <c r="K621" s="799">
        <v>5.8638999999999999E-6</v>
      </c>
      <c r="L621" s="800" t="s">
        <v>2367</v>
      </c>
      <c r="M621" s="801">
        <v>209300</v>
      </c>
      <c r="N621" s="801" t="s">
        <v>414</v>
      </c>
      <c r="O621" s="802">
        <v>2.225E-3</v>
      </c>
      <c r="P621" s="803" t="s">
        <v>1801</v>
      </c>
      <c r="Q621" s="804">
        <v>1.43</v>
      </c>
      <c r="R621" s="805" t="s">
        <v>414</v>
      </c>
      <c r="S621" s="527">
        <v>0.55200000000000005</v>
      </c>
      <c r="T621" s="528" t="s">
        <v>414</v>
      </c>
    </row>
    <row r="622" spans="1:20" ht="15" customHeight="1" thickBot="1">
      <c r="A622" s="806" t="s">
        <v>1332</v>
      </c>
      <c r="B622" s="807" t="s">
        <v>1333</v>
      </c>
      <c r="C622" s="808">
        <v>360.88</v>
      </c>
      <c r="D622" s="809" t="s">
        <v>1801</v>
      </c>
      <c r="E622" s="810">
        <v>6.6230999999999998E-3</v>
      </c>
      <c r="F622" s="810">
        <v>1.6200000000000001E-4</v>
      </c>
      <c r="G622" s="811" t="s">
        <v>414</v>
      </c>
      <c r="H622" s="812">
        <v>1.593</v>
      </c>
      <c r="I622" s="813" t="s">
        <v>2432</v>
      </c>
      <c r="J622" s="814">
        <v>4.4421000000000002E-2</v>
      </c>
      <c r="K622" s="814">
        <v>5.8638999999999999E-6</v>
      </c>
      <c r="L622" s="815" t="s">
        <v>2367</v>
      </c>
      <c r="M622" s="816">
        <v>213600</v>
      </c>
      <c r="N622" s="816" t="s">
        <v>414</v>
      </c>
      <c r="O622" s="817">
        <v>1.6469E-3</v>
      </c>
      <c r="P622" s="818" t="s">
        <v>414</v>
      </c>
      <c r="Q622" s="819">
        <v>1.66</v>
      </c>
      <c r="R622" s="820" t="s">
        <v>414</v>
      </c>
      <c r="S622" s="521">
        <v>0.69</v>
      </c>
      <c r="T622" s="522" t="s">
        <v>414</v>
      </c>
    </row>
    <row r="623" spans="1:20" ht="15" customHeight="1">
      <c r="A623" s="791" t="s">
        <v>1334</v>
      </c>
      <c r="B623" s="792" t="s">
        <v>1335</v>
      </c>
      <c r="C623" s="793">
        <v>360.88</v>
      </c>
      <c r="D623" s="794" t="s">
        <v>1801</v>
      </c>
      <c r="E623" s="795">
        <v>5.8462999999999996E-3</v>
      </c>
      <c r="F623" s="795">
        <v>1.4300000000000001E-4</v>
      </c>
      <c r="G623" s="796" t="s">
        <v>414</v>
      </c>
      <c r="H623" s="797">
        <v>1.593</v>
      </c>
      <c r="I623" s="798" t="s">
        <v>2400</v>
      </c>
      <c r="J623" s="799">
        <v>4.4421000000000002E-2</v>
      </c>
      <c r="K623" s="799">
        <v>5.8638999999999999E-6</v>
      </c>
      <c r="L623" s="800" t="s">
        <v>2367</v>
      </c>
      <c r="M623" s="801">
        <v>213600</v>
      </c>
      <c r="N623" s="801" t="s">
        <v>414</v>
      </c>
      <c r="O623" s="802">
        <v>5.3299999999999997E-3</v>
      </c>
      <c r="P623" s="803" t="s">
        <v>1801</v>
      </c>
      <c r="Q623" s="804">
        <v>1.66</v>
      </c>
      <c r="R623" s="805" t="s">
        <v>414</v>
      </c>
      <c r="S623" s="527">
        <v>0.71299999999999997</v>
      </c>
      <c r="T623" s="528" t="s">
        <v>414</v>
      </c>
    </row>
    <row r="624" spans="1:20" ht="15" customHeight="1">
      <c r="A624" s="791" t="s">
        <v>1336</v>
      </c>
      <c r="B624" s="792" t="s">
        <v>1337</v>
      </c>
      <c r="C624" s="793">
        <v>360.88</v>
      </c>
      <c r="D624" s="794" t="s">
        <v>1801</v>
      </c>
      <c r="E624" s="795">
        <v>2.8005E-3</v>
      </c>
      <c r="F624" s="795">
        <v>6.8499999999999998E-5</v>
      </c>
      <c r="G624" s="796" t="s">
        <v>1801</v>
      </c>
      <c r="H624" s="797">
        <v>1.593</v>
      </c>
      <c r="I624" s="798" t="s">
        <v>2400</v>
      </c>
      <c r="J624" s="799">
        <v>4.4421000000000002E-2</v>
      </c>
      <c r="K624" s="799">
        <v>5.8638999999999999E-6</v>
      </c>
      <c r="L624" s="800" t="s">
        <v>2367</v>
      </c>
      <c r="M624" s="801">
        <v>209300</v>
      </c>
      <c r="N624" s="801" t="s">
        <v>414</v>
      </c>
      <c r="O624" s="802">
        <v>5.1000000000000004E-4</v>
      </c>
      <c r="P624" s="803" t="s">
        <v>1801</v>
      </c>
      <c r="Q624" s="804">
        <v>1.24</v>
      </c>
      <c r="R624" s="805" t="s">
        <v>414</v>
      </c>
      <c r="S624" s="527">
        <v>0.41699999999999998</v>
      </c>
      <c r="T624" s="528" t="s">
        <v>414</v>
      </c>
    </row>
    <row r="625" spans="1:20" ht="15" customHeight="1" thickBot="1">
      <c r="A625" s="806" t="s">
        <v>1338</v>
      </c>
      <c r="B625" s="807" t="s">
        <v>1339</v>
      </c>
      <c r="C625" s="808">
        <v>326.44</v>
      </c>
      <c r="D625" s="809" t="s">
        <v>414</v>
      </c>
      <c r="E625" s="810">
        <v>7.7678000000000001E-3</v>
      </c>
      <c r="F625" s="810">
        <v>1.9000000000000001E-4</v>
      </c>
      <c r="G625" s="811" t="s">
        <v>414</v>
      </c>
      <c r="H625" s="812">
        <v>1.522</v>
      </c>
      <c r="I625" s="813" t="s">
        <v>2400</v>
      </c>
      <c r="J625" s="814">
        <v>4.6705499999999997E-2</v>
      </c>
      <c r="K625" s="814">
        <v>6.0595000000000002E-6</v>
      </c>
      <c r="L625" s="815" t="s">
        <v>2367</v>
      </c>
      <c r="M625" s="816">
        <v>130500</v>
      </c>
      <c r="N625" s="816" t="s">
        <v>414</v>
      </c>
      <c r="O625" s="817">
        <v>1.6E-2</v>
      </c>
      <c r="P625" s="818" t="s">
        <v>414</v>
      </c>
      <c r="Q625" s="819">
        <v>1</v>
      </c>
      <c r="R625" s="820" t="s">
        <v>414</v>
      </c>
      <c r="S625" s="521">
        <v>0.69099999999999995</v>
      </c>
      <c r="T625" s="522" t="s">
        <v>414</v>
      </c>
    </row>
    <row r="626" spans="1:20" ht="15" customHeight="1">
      <c r="A626" s="791" t="s">
        <v>1340</v>
      </c>
      <c r="B626" s="792" t="s">
        <v>1341</v>
      </c>
      <c r="C626" s="793">
        <v>326.44</v>
      </c>
      <c r="D626" s="794" t="s">
        <v>1801</v>
      </c>
      <c r="E626" s="795">
        <v>1.17743E-2</v>
      </c>
      <c r="F626" s="795">
        <v>2.8800000000000001E-4</v>
      </c>
      <c r="G626" s="796" t="s">
        <v>414</v>
      </c>
      <c r="H626" s="797">
        <v>1.522</v>
      </c>
      <c r="I626" s="798" t="s">
        <v>2400</v>
      </c>
      <c r="J626" s="799">
        <v>4.6705499999999997E-2</v>
      </c>
      <c r="K626" s="799">
        <v>6.0595000000000002E-6</v>
      </c>
      <c r="L626" s="800" t="s">
        <v>2367</v>
      </c>
      <c r="M626" s="801">
        <v>127900</v>
      </c>
      <c r="N626" s="801" t="s">
        <v>414</v>
      </c>
      <c r="O626" s="802">
        <v>1.34E-2</v>
      </c>
      <c r="P626" s="803" t="s">
        <v>1801</v>
      </c>
      <c r="Q626" s="804">
        <v>1.24</v>
      </c>
      <c r="R626" s="805" t="s">
        <v>414</v>
      </c>
      <c r="S626" s="527">
        <v>7.4899999999999994E-2</v>
      </c>
      <c r="T626" s="528" t="s">
        <v>414</v>
      </c>
    </row>
    <row r="627" spans="1:20" ht="15" customHeight="1">
      <c r="A627" s="791" t="s">
        <v>1342</v>
      </c>
      <c r="B627" s="792" t="s">
        <v>1343</v>
      </c>
      <c r="C627" s="793">
        <v>326.44</v>
      </c>
      <c r="D627" s="794" t="s">
        <v>1801</v>
      </c>
      <c r="E627" s="795">
        <v>1.1569899999999999E-2</v>
      </c>
      <c r="F627" s="795">
        <v>2.8299999999999999E-4</v>
      </c>
      <c r="G627" s="796" t="s">
        <v>414</v>
      </c>
      <c r="H627" s="797">
        <v>1.522</v>
      </c>
      <c r="I627" s="798" t="s">
        <v>2400</v>
      </c>
      <c r="J627" s="799">
        <v>4.6705499999999997E-2</v>
      </c>
      <c r="K627" s="799">
        <v>6.0595000000000002E-6</v>
      </c>
      <c r="L627" s="800" t="s">
        <v>2367</v>
      </c>
      <c r="M627" s="801">
        <v>130500</v>
      </c>
      <c r="N627" s="801" t="s">
        <v>414</v>
      </c>
      <c r="O627" s="802">
        <v>3.3999999999999998E-3</v>
      </c>
      <c r="P627" s="803" t="s">
        <v>1801</v>
      </c>
      <c r="Q627" s="804">
        <v>0.751</v>
      </c>
      <c r="R627" s="805" t="s">
        <v>414</v>
      </c>
      <c r="S627" s="527">
        <v>0.59599999999999997</v>
      </c>
      <c r="T627" s="528" t="s">
        <v>414</v>
      </c>
    </row>
    <row r="628" spans="1:20" ht="15" customHeight="1" thickBot="1">
      <c r="A628" s="806" t="s">
        <v>1344</v>
      </c>
      <c r="B628" s="807" t="s">
        <v>1345</v>
      </c>
      <c r="C628" s="808">
        <v>326.44</v>
      </c>
      <c r="D628" s="809" t="s">
        <v>1801</v>
      </c>
      <c r="E628" s="810">
        <v>3.7775999999999999E-3</v>
      </c>
      <c r="F628" s="810">
        <v>9.2399999999999996E-5</v>
      </c>
      <c r="G628" s="811" t="s">
        <v>1801</v>
      </c>
      <c r="H628" s="812">
        <v>1.522</v>
      </c>
      <c r="I628" s="813" t="s">
        <v>2400</v>
      </c>
      <c r="J628" s="814">
        <v>4.6705499999999997E-2</v>
      </c>
      <c r="K628" s="814">
        <v>6.0595000000000002E-6</v>
      </c>
      <c r="L628" s="815" t="s">
        <v>2367</v>
      </c>
      <c r="M628" s="816">
        <v>130500</v>
      </c>
      <c r="N628" s="816" t="s">
        <v>414</v>
      </c>
      <c r="O628" s="817">
        <v>1.5980000000000001E-2</v>
      </c>
      <c r="P628" s="818" t="s">
        <v>1801</v>
      </c>
      <c r="Q628" s="819">
        <v>1</v>
      </c>
      <c r="R628" s="820" t="s">
        <v>414</v>
      </c>
      <c r="S628" s="521">
        <v>0.95299999999999996</v>
      </c>
      <c r="T628" s="522" t="s">
        <v>414</v>
      </c>
    </row>
    <row r="629" spans="1:20" ht="15" customHeight="1">
      <c r="A629" s="791" t="s">
        <v>1346</v>
      </c>
      <c r="B629" s="792" t="s">
        <v>1347</v>
      </c>
      <c r="C629" s="793">
        <v>326.44</v>
      </c>
      <c r="D629" s="794" t="s">
        <v>414</v>
      </c>
      <c r="E629" s="795">
        <v>7.7678000000000001E-3</v>
      </c>
      <c r="F629" s="795">
        <v>1.9000000000000001E-4</v>
      </c>
      <c r="G629" s="796" t="s">
        <v>414</v>
      </c>
      <c r="H629" s="797">
        <v>1.522</v>
      </c>
      <c r="I629" s="798" t="s">
        <v>2400</v>
      </c>
      <c r="J629" s="799">
        <v>4.6705499999999997E-2</v>
      </c>
      <c r="K629" s="799">
        <v>6.0595000000000002E-6</v>
      </c>
      <c r="L629" s="800" t="s">
        <v>2367</v>
      </c>
      <c r="M629" s="801">
        <v>127900</v>
      </c>
      <c r="N629" s="801" t="s">
        <v>414</v>
      </c>
      <c r="O629" s="802">
        <v>7.3282E-3</v>
      </c>
      <c r="P629" s="803" t="s">
        <v>414</v>
      </c>
      <c r="Q629" s="804">
        <v>1</v>
      </c>
      <c r="R629" s="805" t="s">
        <v>414</v>
      </c>
      <c r="S629" s="527">
        <v>4.1900000000000004</v>
      </c>
      <c r="T629" s="528" t="s">
        <v>414</v>
      </c>
    </row>
    <row r="630" spans="1:20" ht="15" customHeight="1">
      <c r="A630" s="791" t="s">
        <v>1348</v>
      </c>
      <c r="B630" s="792" t="s">
        <v>1349</v>
      </c>
      <c r="C630" s="793">
        <v>291.99</v>
      </c>
      <c r="D630" s="794" t="s">
        <v>1801</v>
      </c>
      <c r="E630" s="795">
        <v>1.6966499999999999E-2</v>
      </c>
      <c r="F630" s="795">
        <v>4.15E-4</v>
      </c>
      <c r="G630" s="796" t="s">
        <v>1801</v>
      </c>
      <c r="H630" s="797">
        <v>1.44</v>
      </c>
      <c r="I630" s="798" t="s">
        <v>2418</v>
      </c>
      <c r="J630" s="799">
        <v>2.4339699999999999E-2</v>
      </c>
      <c r="K630" s="799">
        <v>6.2670999999999997E-6</v>
      </c>
      <c r="L630" s="800" t="s">
        <v>2367</v>
      </c>
      <c r="M630" s="801">
        <v>78100</v>
      </c>
      <c r="N630" s="801" t="s">
        <v>414</v>
      </c>
      <c r="O630" s="802">
        <v>0.7</v>
      </c>
      <c r="P630" s="803" t="s">
        <v>1801</v>
      </c>
      <c r="Q630" s="804">
        <v>0.54500000000000004</v>
      </c>
      <c r="R630" s="805" t="s">
        <v>414</v>
      </c>
      <c r="S630" s="527">
        <v>0.40799999999999997</v>
      </c>
      <c r="T630" s="528" t="s">
        <v>414</v>
      </c>
    </row>
    <row r="631" spans="1:20" ht="15" customHeight="1" thickBot="1">
      <c r="A631" s="806" t="s">
        <v>1350</v>
      </c>
      <c r="B631" s="807" t="s">
        <v>1349</v>
      </c>
      <c r="C631" s="808">
        <v>291.99</v>
      </c>
      <c r="D631" s="809" t="s">
        <v>1801</v>
      </c>
      <c r="E631" s="810">
        <v>1.6966499999999999E-2</v>
      </c>
      <c r="F631" s="810">
        <v>4.15E-4</v>
      </c>
      <c r="G631" s="811" t="s">
        <v>1801</v>
      </c>
      <c r="H631" s="812">
        <v>1.44</v>
      </c>
      <c r="I631" s="813" t="s">
        <v>2418</v>
      </c>
      <c r="J631" s="814">
        <v>2.4339699999999999E-2</v>
      </c>
      <c r="K631" s="814">
        <v>6.2670999999999997E-6</v>
      </c>
      <c r="L631" s="815" t="s">
        <v>2367</v>
      </c>
      <c r="M631" s="816">
        <v>78100</v>
      </c>
      <c r="N631" s="816" t="s">
        <v>414</v>
      </c>
      <c r="O631" s="817">
        <v>0.7</v>
      </c>
      <c r="P631" s="818" t="s">
        <v>1801</v>
      </c>
      <c r="Q631" s="819">
        <v>0.54500000000000004</v>
      </c>
      <c r="R631" s="820" t="s">
        <v>414</v>
      </c>
      <c r="S631" s="521">
        <v>0.308</v>
      </c>
      <c r="T631" s="522" t="s">
        <v>414</v>
      </c>
    </row>
    <row r="632" spans="1:20" ht="15" customHeight="1">
      <c r="A632" s="791" t="s">
        <v>1351</v>
      </c>
      <c r="B632" s="792" t="s">
        <v>1349</v>
      </c>
      <c r="C632" s="793">
        <v>291.99</v>
      </c>
      <c r="D632" s="794" t="s">
        <v>1801</v>
      </c>
      <c r="E632" s="795">
        <v>1.6966499999999999E-2</v>
      </c>
      <c r="F632" s="795">
        <v>4.15E-4</v>
      </c>
      <c r="G632" s="796" t="s">
        <v>1801</v>
      </c>
      <c r="H632" s="797">
        <v>1.44</v>
      </c>
      <c r="I632" s="798" t="s">
        <v>2418</v>
      </c>
      <c r="J632" s="799">
        <v>2.4339699999999999E-2</v>
      </c>
      <c r="K632" s="799">
        <v>6.2670999999999997E-6</v>
      </c>
      <c r="L632" s="800" t="s">
        <v>2367</v>
      </c>
      <c r="M632" s="801">
        <v>78100</v>
      </c>
      <c r="N632" s="801" t="s">
        <v>414</v>
      </c>
      <c r="O632" s="802">
        <v>0.7</v>
      </c>
      <c r="P632" s="803" t="s">
        <v>1801</v>
      </c>
      <c r="Q632" s="804">
        <v>0.54500000000000004</v>
      </c>
      <c r="R632" s="805" t="s">
        <v>414</v>
      </c>
      <c r="S632" s="527">
        <v>0.11</v>
      </c>
      <c r="T632" s="528" t="s">
        <v>414</v>
      </c>
    </row>
    <row r="633" spans="1:20" ht="15" customHeight="1">
      <c r="A633" s="791" t="s">
        <v>1352</v>
      </c>
      <c r="B633" s="792" t="s">
        <v>1353</v>
      </c>
      <c r="C633" s="793">
        <v>291.99</v>
      </c>
      <c r="D633" s="794" t="s">
        <v>1801</v>
      </c>
      <c r="E633" s="795">
        <v>3.8430000000000002E-4</v>
      </c>
      <c r="F633" s="795">
        <v>9.3999999999999998E-6</v>
      </c>
      <c r="G633" s="796" t="s">
        <v>1801</v>
      </c>
      <c r="H633" s="821" t="s">
        <v>1750</v>
      </c>
      <c r="I633" s="822" t="s">
        <v>43</v>
      </c>
      <c r="J633" s="799">
        <v>4.9383900000000001E-2</v>
      </c>
      <c r="K633" s="799">
        <v>5.0440000000000003E-6</v>
      </c>
      <c r="L633" s="800" t="s">
        <v>2367</v>
      </c>
      <c r="M633" s="801">
        <v>78100</v>
      </c>
      <c r="N633" s="801" t="s">
        <v>414</v>
      </c>
      <c r="O633" s="802">
        <v>5.6899999999999995E-4</v>
      </c>
      <c r="P633" s="803" t="s">
        <v>1801</v>
      </c>
      <c r="Q633" s="804">
        <v>0.91700000000000004</v>
      </c>
      <c r="R633" s="805" t="s">
        <v>414</v>
      </c>
      <c r="S633" s="527">
        <v>1.0408204999999999</v>
      </c>
      <c r="T633" s="528" t="s">
        <v>1797</v>
      </c>
    </row>
    <row r="634" spans="1:20" ht="15" customHeight="1" thickBot="1">
      <c r="A634" s="806" t="s">
        <v>1354</v>
      </c>
      <c r="B634" s="807" t="s">
        <v>1355</v>
      </c>
      <c r="C634" s="808">
        <v>291.99</v>
      </c>
      <c r="D634" s="809" t="s">
        <v>414</v>
      </c>
      <c r="E634" s="810">
        <v>9.1169000000000007E-3</v>
      </c>
      <c r="F634" s="810">
        <v>2.23E-4</v>
      </c>
      <c r="G634" s="811" t="s">
        <v>414</v>
      </c>
      <c r="H634" s="812">
        <v>1.4410000000000001</v>
      </c>
      <c r="I634" s="813" t="s">
        <v>2400</v>
      </c>
      <c r="J634" s="814">
        <v>4.9383900000000001E-2</v>
      </c>
      <c r="K634" s="814">
        <v>6.2697000000000003E-6</v>
      </c>
      <c r="L634" s="815" t="s">
        <v>2367</v>
      </c>
      <c r="M634" s="816">
        <v>78100</v>
      </c>
      <c r="N634" s="816" t="s">
        <v>414</v>
      </c>
      <c r="O634" s="817">
        <v>3.2245000000000003E-2</v>
      </c>
      <c r="P634" s="818" t="s">
        <v>414</v>
      </c>
      <c r="Q634" s="819">
        <v>0.58399999999999996</v>
      </c>
      <c r="R634" s="820" t="s">
        <v>414</v>
      </c>
      <c r="S634" s="521">
        <v>9.3100000000000002E-2</v>
      </c>
      <c r="T634" s="522" t="s">
        <v>414</v>
      </c>
    </row>
    <row r="635" spans="1:20" ht="15" customHeight="1">
      <c r="A635" s="791" t="s">
        <v>1356</v>
      </c>
      <c r="B635" s="792" t="s">
        <v>1357</v>
      </c>
      <c r="C635" s="793">
        <v>512.53</v>
      </c>
      <c r="D635" s="794" t="s">
        <v>414</v>
      </c>
      <c r="E635" s="795">
        <v>5.3970000000000001E-10</v>
      </c>
      <c r="F635" s="795">
        <v>1.32E-11</v>
      </c>
      <c r="G635" s="796" t="s">
        <v>414</v>
      </c>
      <c r="H635" s="821" t="s">
        <v>1750</v>
      </c>
      <c r="I635" s="822" t="s">
        <v>43</v>
      </c>
      <c r="J635" s="799">
        <v>2.9666999999999999E-2</v>
      </c>
      <c r="K635" s="799">
        <v>3.4664E-6</v>
      </c>
      <c r="L635" s="800" t="s">
        <v>2367</v>
      </c>
      <c r="M635" s="801">
        <v>10000000000</v>
      </c>
      <c r="N635" s="801" t="s">
        <v>414</v>
      </c>
      <c r="O635" s="802">
        <v>1.7630000000000001E-6</v>
      </c>
      <c r="P635" s="803" t="s">
        <v>414</v>
      </c>
      <c r="Q635" s="804">
        <v>18.600000000000001</v>
      </c>
      <c r="R635" s="805" t="s">
        <v>414</v>
      </c>
      <c r="S635" s="527">
        <v>9.1700000000000004E-2</v>
      </c>
      <c r="T635" s="528" t="s">
        <v>414</v>
      </c>
    </row>
    <row r="636" spans="1:20" ht="15" customHeight="1">
      <c r="A636" s="791" t="s">
        <v>1358</v>
      </c>
      <c r="B636" s="792" t="s">
        <v>43</v>
      </c>
      <c r="C636" s="841" t="s">
        <v>1750</v>
      </c>
      <c r="D636" s="842" t="s">
        <v>43</v>
      </c>
      <c r="E636" s="831" t="s">
        <v>1750</v>
      </c>
      <c r="F636" s="831" t="s">
        <v>1750</v>
      </c>
      <c r="G636" s="832" t="s">
        <v>43</v>
      </c>
      <c r="H636" s="821" t="s">
        <v>1750</v>
      </c>
      <c r="I636" s="822" t="s">
        <v>43</v>
      </c>
      <c r="J636" s="833" t="s">
        <v>1750</v>
      </c>
      <c r="K636" s="833" t="s">
        <v>1750</v>
      </c>
      <c r="L636" s="834" t="s">
        <v>43</v>
      </c>
      <c r="M636" s="835" t="s">
        <v>1750</v>
      </c>
      <c r="N636" s="836" t="s">
        <v>43</v>
      </c>
      <c r="O636" s="837" t="s">
        <v>1750</v>
      </c>
      <c r="P636" s="838" t="s">
        <v>43</v>
      </c>
      <c r="Q636" s="843" t="s">
        <v>1750</v>
      </c>
      <c r="R636" s="844" t="s">
        <v>43</v>
      </c>
      <c r="S636" s="527">
        <v>4.6600000000000003E-2</v>
      </c>
      <c r="T636" s="528" t="s">
        <v>414</v>
      </c>
    </row>
    <row r="637" spans="1:20" ht="15" customHeight="1" thickBot="1">
      <c r="A637" s="806" t="s">
        <v>1359</v>
      </c>
      <c r="B637" s="807" t="s">
        <v>1360</v>
      </c>
      <c r="C637" s="808">
        <v>154.21</v>
      </c>
      <c r="D637" s="809" t="s">
        <v>1801</v>
      </c>
      <c r="E637" s="810">
        <v>7.5224999999999997E-3</v>
      </c>
      <c r="F637" s="810">
        <v>1.84E-4</v>
      </c>
      <c r="G637" s="811" t="s">
        <v>1801</v>
      </c>
      <c r="H637" s="812">
        <v>1.222</v>
      </c>
      <c r="I637" s="813" t="s">
        <v>1796</v>
      </c>
      <c r="J637" s="814">
        <v>5.0614300000000001E-2</v>
      </c>
      <c r="K637" s="814">
        <v>8.3299999999999999E-6</v>
      </c>
      <c r="L637" s="815" t="s">
        <v>2367</v>
      </c>
      <c r="M637" s="816">
        <v>5027</v>
      </c>
      <c r="N637" s="816" t="s">
        <v>414</v>
      </c>
      <c r="O637" s="817">
        <v>3.9</v>
      </c>
      <c r="P637" s="818" t="s">
        <v>1801</v>
      </c>
      <c r="Q637" s="819">
        <v>8.5999999999999993E-2</v>
      </c>
      <c r="R637" s="820" t="s">
        <v>414</v>
      </c>
      <c r="S637" s="521">
        <v>9.2200000000000004E-2</v>
      </c>
      <c r="T637" s="522" t="s">
        <v>414</v>
      </c>
    </row>
    <row r="638" spans="1:20" ht="15" customHeight="1">
      <c r="A638" s="791" t="s">
        <v>1361</v>
      </c>
      <c r="B638" s="792" t="s">
        <v>1362</v>
      </c>
      <c r="C638" s="793">
        <v>178.24</v>
      </c>
      <c r="D638" s="794" t="s">
        <v>1801</v>
      </c>
      <c r="E638" s="795">
        <v>2.2731000000000001E-3</v>
      </c>
      <c r="F638" s="795">
        <v>5.5600000000000003E-5</v>
      </c>
      <c r="G638" s="796" t="s">
        <v>1801</v>
      </c>
      <c r="H638" s="797">
        <v>1.28</v>
      </c>
      <c r="I638" s="798" t="s">
        <v>1796</v>
      </c>
      <c r="J638" s="799">
        <v>3.89732E-2</v>
      </c>
      <c r="K638" s="799">
        <v>7.8522999999999993E-6</v>
      </c>
      <c r="L638" s="800" t="s">
        <v>2367</v>
      </c>
      <c r="M638" s="801">
        <v>16360</v>
      </c>
      <c r="N638" s="801" t="s">
        <v>414</v>
      </c>
      <c r="O638" s="802">
        <v>4.3400000000000001E-2</v>
      </c>
      <c r="P638" s="803" t="s">
        <v>1801</v>
      </c>
      <c r="Q638" s="804">
        <v>0.14199999999999999</v>
      </c>
      <c r="R638" s="805" t="s">
        <v>414</v>
      </c>
      <c r="S638" s="527">
        <v>0.20100000000000001</v>
      </c>
      <c r="T638" s="528" t="s">
        <v>414</v>
      </c>
    </row>
    <row r="639" spans="1:20" ht="15" customHeight="1">
      <c r="A639" s="791" t="s">
        <v>1363</v>
      </c>
      <c r="B639" s="792" t="s">
        <v>1364</v>
      </c>
      <c r="C639" s="793">
        <v>228.3</v>
      </c>
      <c r="D639" s="794" t="s">
        <v>1801</v>
      </c>
      <c r="E639" s="795">
        <v>4.906E-4</v>
      </c>
      <c r="F639" s="795">
        <v>1.2E-5</v>
      </c>
      <c r="G639" s="796" t="s">
        <v>1801</v>
      </c>
      <c r="H639" s="797">
        <v>1.274</v>
      </c>
      <c r="I639" s="798" t="s">
        <v>2168</v>
      </c>
      <c r="J639" s="799">
        <v>2.61138E-2</v>
      </c>
      <c r="K639" s="799">
        <v>6.7495000000000003E-6</v>
      </c>
      <c r="L639" s="800" t="s">
        <v>2367</v>
      </c>
      <c r="M639" s="801">
        <v>176900</v>
      </c>
      <c r="N639" s="801" t="s">
        <v>414</v>
      </c>
      <c r="O639" s="802">
        <v>9.4000000000000004E-3</v>
      </c>
      <c r="P639" s="803" t="s">
        <v>1801</v>
      </c>
      <c r="Q639" s="804">
        <v>0.55200000000000005</v>
      </c>
      <c r="R639" s="805" t="s">
        <v>414</v>
      </c>
      <c r="S639" s="527">
        <v>6.4000000000000003E-3</v>
      </c>
      <c r="T639" s="528" t="s">
        <v>414</v>
      </c>
    </row>
    <row r="640" spans="1:20" ht="15" customHeight="1" thickBot="1">
      <c r="A640" s="806" t="s">
        <v>1365</v>
      </c>
      <c r="B640" s="807" t="s">
        <v>1366</v>
      </c>
      <c r="C640" s="808">
        <v>252.32</v>
      </c>
      <c r="D640" s="809" t="s">
        <v>1801</v>
      </c>
      <c r="E640" s="810">
        <v>8.2993000000000003E-6</v>
      </c>
      <c r="F640" s="810">
        <v>2.03E-7</v>
      </c>
      <c r="G640" s="811" t="s">
        <v>1801</v>
      </c>
      <c r="H640" s="839" t="s">
        <v>1750</v>
      </c>
      <c r="I640" s="840" t="s">
        <v>43</v>
      </c>
      <c r="J640" s="814">
        <v>4.7583100000000003E-2</v>
      </c>
      <c r="K640" s="814">
        <v>5.5597000000000003E-6</v>
      </c>
      <c r="L640" s="815" t="s">
        <v>2367</v>
      </c>
      <c r="M640" s="816">
        <v>599400</v>
      </c>
      <c r="N640" s="816" t="s">
        <v>414</v>
      </c>
      <c r="O640" s="817">
        <v>2.5000000000000001E-3</v>
      </c>
      <c r="P640" s="818" t="s">
        <v>1801</v>
      </c>
      <c r="Q640" s="819">
        <v>0.69</v>
      </c>
      <c r="R640" s="820" t="s">
        <v>414</v>
      </c>
      <c r="S640" s="521">
        <v>0.09</v>
      </c>
      <c r="T640" s="522" t="s">
        <v>414</v>
      </c>
    </row>
    <row r="641" spans="1:20" ht="15" customHeight="1">
      <c r="A641" s="791" t="s">
        <v>1367</v>
      </c>
      <c r="B641" s="792" t="s">
        <v>1368</v>
      </c>
      <c r="C641" s="793">
        <v>252.32</v>
      </c>
      <c r="D641" s="794" t="s">
        <v>1801</v>
      </c>
      <c r="E641" s="795">
        <v>1.8700000000000001E-5</v>
      </c>
      <c r="F641" s="795">
        <v>4.5699999999999998E-7</v>
      </c>
      <c r="G641" s="796" t="s">
        <v>1801</v>
      </c>
      <c r="H641" s="821" t="s">
        <v>1750</v>
      </c>
      <c r="I641" s="822" t="s">
        <v>43</v>
      </c>
      <c r="J641" s="799">
        <v>4.7583100000000003E-2</v>
      </c>
      <c r="K641" s="799">
        <v>5.5597000000000003E-6</v>
      </c>
      <c r="L641" s="800" t="s">
        <v>2367</v>
      </c>
      <c r="M641" s="801">
        <v>587400</v>
      </c>
      <c r="N641" s="801" t="s">
        <v>414</v>
      </c>
      <c r="O641" s="802">
        <v>1.6199999999999999E-3</v>
      </c>
      <c r="P641" s="803" t="s">
        <v>1801</v>
      </c>
      <c r="Q641" s="804">
        <v>0.71299999999999997</v>
      </c>
      <c r="R641" s="805" t="s">
        <v>414</v>
      </c>
      <c r="S641" s="527">
        <v>8.2699999999999996E-3</v>
      </c>
      <c r="T641" s="528" t="s">
        <v>414</v>
      </c>
    </row>
    <row r="642" spans="1:20" ht="15" customHeight="1">
      <c r="A642" s="791" t="s">
        <v>1369</v>
      </c>
      <c r="B642" s="792" t="s">
        <v>1370</v>
      </c>
      <c r="C642" s="793">
        <v>252.32</v>
      </c>
      <c r="D642" s="794" t="s">
        <v>1801</v>
      </c>
      <c r="E642" s="795">
        <v>2.69E-5</v>
      </c>
      <c r="F642" s="795">
        <v>6.5700000000000002E-7</v>
      </c>
      <c r="G642" s="796" t="s">
        <v>1801</v>
      </c>
      <c r="H642" s="821" t="s">
        <v>1750</v>
      </c>
      <c r="I642" s="822" t="s">
        <v>43</v>
      </c>
      <c r="J642" s="799">
        <v>4.7583100000000003E-2</v>
      </c>
      <c r="K642" s="799">
        <v>5.5597000000000003E-6</v>
      </c>
      <c r="L642" s="800" t="s">
        <v>2367</v>
      </c>
      <c r="M642" s="801">
        <v>599400</v>
      </c>
      <c r="N642" s="801" t="s">
        <v>414</v>
      </c>
      <c r="O642" s="802">
        <v>1.5E-3</v>
      </c>
      <c r="P642" s="803" t="s">
        <v>1801</v>
      </c>
      <c r="Q642" s="804">
        <v>0.41699999999999998</v>
      </c>
      <c r="R642" s="805" t="s">
        <v>414</v>
      </c>
      <c r="S642" s="527">
        <v>1.49E-2</v>
      </c>
      <c r="T642" s="528" t="s">
        <v>414</v>
      </c>
    </row>
    <row r="643" spans="1:20" ht="15" customHeight="1" thickBot="1">
      <c r="A643" s="806" t="s">
        <v>1371</v>
      </c>
      <c r="B643" s="807" t="s">
        <v>1372</v>
      </c>
      <c r="C643" s="808">
        <v>252.32</v>
      </c>
      <c r="D643" s="809" t="s">
        <v>1801</v>
      </c>
      <c r="E643" s="810">
        <v>2.3900000000000002E-5</v>
      </c>
      <c r="F643" s="810">
        <v>5.8400000000000004E-7</v>
      </c>
      <c r="G643" s="811" t="s">
        <v>1801</v>
      </c>
      <c r="H643" s="839" t="s">
        <v>1750</v>
      </c>
      <c r="I643" s="840" t="s">
        <v>43</v>
      </c>
      <c r="J643" s="814">
        <v>4.7583100000000003E-2</v>
      </c>
      <c r="K643" s="814">
        <v>5.5597000000000003E-6</v>
      </c>
      <c r="L643" s="815" t="s">
        <v>2367</v>
      </c>
      <c r="M643" s="816">
        <v>587400</v>
      </c>
      <c r="N643" s="816" t="s">
        <v>414</v>
      </c>
      <c r="O643" s="817">
        <v>8.0000000000000004E-4</v>
      </c>
      <c r="P643" s="818" t="s">
        <v>1801</v>
      </c>
      <c r="Q643" s="819">
        <v>0.69099999999999995</v>
      </c>
      <c r="R643" s="820" t="s">
        <v>414</v>
      </c>
      <c r="S643" s="521">
        <v>2.8600000000000001E-3</v>
      </c>
      <c r="T643" s="522" t="s">
        <v>414</v>
      </c>
    </row>
    <row r="644" spans="1:20" ht="15" customHeight="1">
      <c r="A644" s="791" t="s">
        <v>2121</v>
      </c>
      <c r="B644" s="792" t="s">
        <v>582</v>
      </c>
      <c r="C644" s="793">
        <v>162.62</v>
      </c>
      <c r="D644" s="794" t="s">
        <v>1801</v>
      </c>
      <c r="E644" s="795">
        <v>1.30826E-2</v>
      </c>
      <c r="F644" s="795">
        <v>3.2000000000000003E-4</v>
      </c>
      <c r="G644" s="796" t="s">
        <v>1801</v>
      </c>
      <c r="H644" s="797">
        <v>1.1376999999999999</v>
      </c>
      <c r="I644" s="798" t="s">
        <v>1796</v>
      </c>
      <c r="J644" s="799">
        <v>4.4691399999999999E-2</v>
      </c>
      <c r="K644" s="799">
        <v>7.7301000000000007E-6</v>
      </c>
      <c r="L644" s="800" t="s">
        <v>2367</v>
      </c>
      <c r="M644" s="801">
        <v>2478</v>
      </c>
      <c r="N644" s="801" t="s">
        <v>414</v>
      </c>
      <c r="O644" s="802">
        <v>11.7</v>
      </c>
      <c r="P644" s="803" t="s">
        <v>1801</v>
      </c>
      <c r="Q644" s="804">
        <v>7.4899999999999994E-2</v>
      </c>
      <c r="R644" s="805" t="s">
        <v>414</v>
      </c>
      <c r="S644" s="527">
        <v>1.03E-2</v>
      </c>
      <c r="T644" s="528" t="s">
        <v>414</v>
      </c>
    </row>
    <row r="645" spans="1:20" ht="15" customHeight="1">
      <c r="A645" s="791" t="s">
        <v>1373</v>
      </c>
      <c r="B645" s="792" t="s">
        <v>1374</v>
      </c>
      <c r="C645" s="793">
        <v>228.3</v>
      </c>
      <c r="D645" s="794" t="s">
        <v>1801</v>
      </c>
      <c r="E645" s="795">
        <v>2.1379999999999999E-4</v>
      </c>
      <c r="F645" s="795">
        <v>5.2299999999999999E-6</v>
      </c>
      <c r="G645" s="796" t="s">
        <v>1801</v>
      </c>
      <c r="H645" s="797">
        <v>1.274</v>
      </c>
      <c r="I645" s="798" t="s">
        <v>1796</v>
      </c>
      <c r="J645" s="799">
        <v>2.61138E-2</v>
      </c>
      <c r="K645" s="799">
        <v>6.7495000000000003E-6</v>
      </c>
      <c r="L645" s="800" t="s">
        <v>2367</v>
      </c>
      <c r="M645" s="801">
        <v>180500</v>
      </c>
      <c r="N645" s="801" t="s">
        <v>414</v>
      </c>
      <c r="O645" s="802">
        <v>2E-3</v>
      </c>
      <c r="P645" s="803" t="s">
        <v>1801</v>
      </c>
      <c r="Q645" s="804">
        <v>0.59599999999999997</v>
      </c>
      <c r="R645" s="805" t="s">
        <v>414</v>
      </c>
      <c r="S645" s="527">
        <v>3.56E-2</v>
      </c>
      <c r="T645" s="528" t="s">
        <v>414</v>
      </c>
    </row>
    <row r="646" spans="1:20" ht="15" customHeight="1" thickBot="1">
      <c r="A646" s="806" t="s">
        <v>1375</v>
      </c>
      <c r="B646" s="807" t="s">
        <v>1376</v>
      </c>
      <c r="C646" s="808">
        <v>278.36</v>
      </c>
      <c r="D646" s="809" t="s">
        <v>1801</v>
      </c>
      <c r="E646" s="810">
        <v>5.7644999999999996E-6</v>
      </c>
      <c r="F646" s="810">
        <v>1.4100000000000001E-7</v>
      </c>
      <c r="G646" s="811" t="s">
        <v>414</v>
      </c>
      <c r="H646" s="839" t="s">
        <v>1750</v>
      </c>
      <c r="I646" s="840" t="s">
        <v>43</v>
      </c>
      <c r="J646" s="814">
        <v>4.4567200000000001E-2</v>
      </c>
      <c r="K646" s="814">
        <v>5.2073000000000001E-6</v>
      </c>
      <c r="L646" s="815" t="s">
        <v>2367</v>
      </c>
      <c r="M646" s="816">
        <v>1912000</v>
      </c>
      <c r="N646" s="816" t="s">
        <v>414</v>
      </c>
      <c r="O646" s="817">
        <v>2.49E-3</v>
      </c>
      <c r="P646" s="818" t="s">
        <v>1801</v>
      </c>
      <c r="Q646" s="819">
        <v>0.95299999999999996</v>
      </c>
      <c r="R646" s="820" t="s">
        <v>414</v>
      </c>
      <c r="S646" s="521">
        <v>4.2400000000000001E-4</v>
      </c>
      <c r="T646" s="522" t="s">
        <v>414</v>
      </c>
    </row>
    <row r="647" spans="1:20" ht="15" customHeight="1">
      <c r="A647" s="791" t="s">
        <v>1377</v>
      </c>
      <c r="B647" s="792" t="s">
        <v>1378</v>
      </c>
      <c r="C647" s="793">
        <v>302.38</v>
      </c>
      <c r="D647" s="794" t="s">
        <v>1801</v>
      </c>
      <c r="E647" s="795">
        <v>5.7645E-7</v>
      </c>
      <c r="F647" s="795">
        <v>1.4100000000000001E-8</v>
      </c>
      <c r="G647" s="796" t="s">
        <v>1801</v>
      </c>
      <c r="H647" s="821" t="s">
        <v>1750</v>
      </c>
      <c r="I647" s="822" t="s">
        <v>43</v>
      </c>
      <c r="J647" s="799">
        <v>4.2174700000000002E-2</v>
      </c>
      <c r="K647" s="799">
        <v>4.9277999999999996E-6</v>
      </c>
      <c r="L647" s="800" t="s">
        <v>2367</v>
      </c>
      <c r="M647" s="801">
        <v>6479000</v>
      </c>
      <c r="N647" s="801" t="s">
        <v>414</v>
      </c>
      <c r="O647" s="802">
        <v>8.0199999999999998E-5</v>
      </c>
      <c r="P647" s="803" t="s">
        <v>1801</v>
      </c>
      <c r="Q647" s="804">
        <v>4.1900000000000004</v>
      </c>
      <c r="R647" s="805" t="s">
        <v>414</v>
      </c>
      <c r="S647" s="527">
        <v>7.1300000000000001E-3</v>
      </c>
      <c r="T647" s="528" t="s">
        <v>414</v>
      </c>
    </row>
    <row r="648" spans="1:20" ht="15" customHeight="1">
      <c r="A648" s="791" t="s">
        <v>1379</v>
      </c>
      <c r="B648" s="792" t="s">
        <v>1380</v>
      </c>
      <c r="C648" s="793">
        <v>256.35000000000002</v>
      </c>
      <c r="D648" s="794" t="s">
        <v>1801</v>
      </c>
      <c r="E648" s="795">
        <v>1.537E-4</v>
      </c>
      <c r="F648" s="795">
        <v>3.76E-6</v>
      </c>
      <c r="G648" s="796" t="s">
        <v>414</v>
      </c>
      <c r="H648" s="821" t="s">
        <v>1750</v>
      </c>
      <c r="I648" s="822" t="s">
        <v>43</v>
      </c>
      <c r="J648" s="799">
        <v>4.7083100000000003E-2</v>
      </c>
      <c r="K648" s="799">
        <v>5.5013000000000002E-6</v>
      </c>
      <c r="L648" s="800" t="s">
        <v>2367</v>
      </c>
      <c r="M648" s="801">
        <v>493600</v>
      </c>
      <c r="N648" s="801" t="s">
        <v>414</v>
      </c>
      <c r="O648" s="802">
        <v>6.0999999999999999E-2</v>
      </c>
      <c r="P648" s="803" t="s">
        <v>1801</v>
      </c>
      <c r="Q648" s="804">
        <v>0.40799999999999997</v>
      </c>
      <c r="R648" s="805" t="s">
        <v>414</v>
      </c>
      <c r="S648" s="527">
        <v>8.26E-3</v>
      </c>
      <c r="T648" s="528" t="s">
        <v>414</v>
      </c>
    </row>
    <row r="649" spans="1:20" ht="15" customHeight="1" thickBot="1">
      <c r="A649" s="806" t="s">
        <v>1381</v>
      </c>
      <c r="B649" s="807" t="s">
        <v>1382</v>
      </c>
      <c r="C649" s="808">
        <v>202.26</v>
      </c>
      <c r="D649" s="809" t="s">
        <v>1801</v>
      </c>
      <c r="E649" s="810">
        <v>3.6220000000000002E-4</v>
      </c>
      <c r="F649" s="810">
        <v>8.8599999999999999E-6</v>
      </c>
      <c r="G649" s="811" t="s">
        <v>1801</v>
      </c>
      <c r="H649" s="812">
        <v>1.252</v>
      </c>
      <c r="I649" s="813" t="s">
        <v>1796</v>
      </c>
      <c r="J649" s="814">
        <v>2.7595700000000001E-2</v>
      </c>
      <c r="K649" s="814">
        <v>7.1826999999999999E-6</v>
      </c>
      <c r="L649" s="815" t="s">
        <v>2367</v>
      </c>
      <c r="M649" s="816">
        <v>55450</v>
      </c>
      <c r="N649" s="816" t="s">
        <v>414</v>
      </c>
      <c r="O649" s="817">
        <v>0.26</v>
      </c>
      <c r="P649" s="818" t="s">
        <v>1801</v>
      </c>
      <c r="Q649" s="819">
        <v>0.308</v>
      </c>
      <c r="R649" s="820" t="s">
        <v>414</v>
      </c>
      <c r="S649" s="521">
        <v>5.5799999999999999E-3</v>
      </c>
      <c r="T649" s="522" t="s">
        <v>414</v>
      </c>
    </row>
    <row r="650" spans="1:20" ht="15" customHeight="1">
      <c r="A650" s="791" t="s">
        <v>1383</v>
      </c>
      <c r="B650" s="792" t="s">
        <v>1384</v>
      </c>
      <c r="C650" s="793">
        <v>166.22</v>
      </c>
      <c r="D650" s="794" t="s">
        <v>1801</v>
      </c>
      <c r="E650" s="795">
        <v>3.9329999999999999E-3</v>
      </c>
      <c r="F650" s="795">
        <v>9.6199999999999994E-5</v>
      </c>
      <c r="G650" s="796" t="s">
        <v>1801</v>
      </c>
      <c r="H650" s="797">
        <v>1.2030000000000001</v>
      </c>
      <c r="I650" s="798" t="s">
        <v>1796</v>
      </c>
      <c r="J650" s="799">
        <v>4.3974300000000001E-2</v>
      </c>
      <c r="K650" s="799">
        <v>7.8890000000000002E-6</v>
      </c>
      <c r="L650" s="800" t="s">
        <v>2367</v>
      </c>
      <c r="M650" s="801">
        <v>9160</v>
      </c>
      <c r="N650" s="801" t="s">
        <v>414</v>
      </c>
      <c r="O650" s="802">
        <v>1.69</v>
      </c>
      <c r="P650" s="803" t="s">
        <v>1801</v>
      </c>
      <c r="Q650" s="804">
        <v>0.11</v>
      </c>
      <c r="R650" s="805" t="s">
        <v>414</v>
      </c>
      <c r="S650" s="527">
        <v>1.82E-3</v>
      </c>
      <c r="T650" s="528" t="s">
        <v>414</v>
      </c>
    </row>
    <row r="651" spans="1:20" ht="15" customHeight="1">
      <c r="A651" s="791" t="s">
        <v>1385</v>
      </c>
      <c r="B651" s="792" t="s">
        <v>1386</v>
      </c>
      <c r="C651" s="793">
        <v>276.33999999999997</v>
      </c>
      <c r="D651" s="794" t="s">
        <v>1801</v>
      </c>
      <c r="E651" s="795">
        <v>1.42E-5</v>
      </c>
      <c r="F651" s="795">
        <v>3.4799999999999999E-7</v>
      </c>
      <c r="G651" s="796" t="s">
        <v>1801</v>
      </c>
      <c r="H651" s="821" t="s">
        <v>1750</v>
      </c>
      <c r="I651" s="822" t="s">
        <v>43</v>
      </c>
      <c r="J651" s="799">
        <v>4.4784200000000003E-2</v>
      </c>
      <c r="K651" s="799">
        <v>5.2326999999999999E-6</v>
      </c>
      <c r="L651" s="800" t="s">
        <v>2367</v>
      </c>
      <c r="M651" s="801">
        <v>1951000</v>
      </c>
      <c r="N651" s="801" t="s">
        <v>414</v>
      </c>
      <c r="O651" s="802">
        <v>1.9000000000000001E-4</v>
      </c>
      <c r="P651" s="803" t="s">
        <v>1801</v>
      </c>
      <c r="Q651" s="804">
        <v>1.24</v>
      </c>
      <c r="R651" s="805" t="s">
        <v>414</v>
      </c>
      <c r="S651" s="527">
        <v>9.3899999999999997E-2</v>
      </c>
      <c r="T651" s="528" t="s">
        <v>414</v>
      </c>
    </row>
    <row r="652" spans="1:20" ht="15" customHeight="1" thickBot="1">
      <c r="A652" s="806" t="s">
        <v>1387</v>
      </c>
      <c r="B652" s="807" t="s">
        <v>1388</v>
      </c>
      <c r="C652" s="808">
        <v>142.19999999999999</v>
      </c>
      <c r="D652" s="809" t="s">
        <v>1801</v>
      </c>
      <c r="E652" s="810">
        <v>2.1013899999999999E-2</v>
      </c>
      <c r="F652" s="810">
        <v>5.1400000000000003E-4</v>
      </c>
      <c r="G652" s="811" t="s">
        <v>1801</v>
      </c>
      <c r="H652" s="812">
        <v>1.0202</v>
      </c>
      <c r="I652" s="813" t="s">
        <v>1796</v>
      </c>
      <c r="J652" s="814">
        <v>5.2770499999999998E-2</v>
      </c>
      <c r="K652" s="814">
        <v>7.8476999999999994E-6</v>
      </c>
      <c r="L652" s="815" t="s">
        <v>2367</v>
      </c>
      <c r="M652" s="816">
        <v>2528</v>
      </c>
      <c r="N652" s="816" t="s">
        <v>414</v>
      </c>
      <c r="O652" s="817">
        <v>25.8</v>
      </c>
      <c r="P652" s="818" t="s">
        <v>1801</v>
      </c>
      <c r="Q652" s="819">
        <v>9.3100000000000002E-2</v>
      </c>
      <c r="R652" s="820" t="s">
        <v>414</v>
      </c>
      <c r="S652" s="521">
        <v>1.3599999999999999E-2</v>
      </c>
      <c r="T652" s="522" t="s">
        <v>414</v>
      </c>
    </row>
    <row r="653" spans="1:20" ht="15" customHeight="1">
      <c r="A653" s="791" t="s">
        <v>1389</v>
      </c>
      <c r="B653" s="792" t="s">
        <v>1390</v>
      </c>
      <c r="C653" s="793">
        <v>142.19999999999999</v>
      </c>
      <c r="D653" s="794" t="s">
        <v>1801</v>
      </c>
      <c r="E653" s="795">
        <v>2.1177399999999999E-2</v>
      </c>
      <c r="F653" s="795">
        <v>5.1800000000000001E-4</v>
      </c>
      <c r="G653" s="796" t="s">
        <v>1801</v>
      </c>
      <c r="H653" s="797">
        <v>1.0058</v>
      </c>
      <c r="I653" s="798" t="s">
        <v>1796</v>
      </c>
      <c r="J653" s="799">
        <v>5.2431899999999997E-2</v>
      </c>
      <c r="K653" s="799">
        <v>7.7811000000000008E-6</v>
      </c>
      <c r="L653" s="800" t="s">
        <v>2367</v>
      </c>
      <c r="M653" s="801">
        <v>2478</v>
      </c>
      <c r="N653" s="801" t="s">
        <v>414</v>
      </c>
      <c r="O653" s="802">
        <v>24.6</v>
      </c>
      <c r="P653" s="803" t="s">
        <v>1801</v>
      </c>
      <c r="Q653" s="804">
        <v>9.1700000000000004E-2</v>
      </c>
      <c r="R653" s="805" t="s">
        <v>414</v>
      </c>
      <c r="S653" s="527">
        <v>1.4300000000000001E-4</v>
      </c>
      <c r="T653" s="528" t="s">
        <v>414</v>
      </c>
    </row>
    <row r="654" spans="1:20" ht="15" customHeight="1">
      <c r="A654" s="791" t="s">
        <v>1391</v>
      </c>
      <c r="B654" s="792" t="s">
        <v>1392</v>
      </c>
      <c r="C654" s="793">
        <v>128.18</v>
      </c>
      <c r="D654" s="794" t="s">
        <v>1801</v>
      </c>
      <c r="E654" s="795">
        <v>1.79886E-2</v>
      </c>
      <c r="F654" s="795">
        <v>4.4000000000000002E-4</v>
      </c>
      <c r="G654" s="796" t="s">
        <v>1801</v>
      </c>
      <c r="H654" s="797">
        <v>1.0253000000000001</v>
      </c>
      <c r="I654" s="798" t="s">
        <v>1796</v>
      </c>
      <c r="J654" s="799">
        <v>6.0499400000000002E-2</v>
      </c>
      <c r="K654" s="799">
        <v>8.3769999999999996E-6</v>
      </c>
      <c r="L654" s="800" t="s">
        <v>2367</v>
      </c>
      <c r="M654" s="801">
        <v>1544</v>
      </c>
      <c r="N654" s="801" t="s">
        <v>414</v>
      </c>
      <c r="O654" s="802">
        <v>31</v>
      </c>
      <c r="P654" s="803" t="s">
        <v>1801</v>
      </c>
      <c r="Q654" s="804">
        <v>4.6600000000000003E-2</v>
      </c>
      <c r="R654" s="805" t="s">
        <v>414</v>
      </c>
      <c r="S654" s="527">
        <v>2.0799999999999998E-3</v>
      </c>
      <c r="T654" s="528" t="s">
        <v>414</v>
      </c>
    </row>
    <row r="655" spans="1:20" ht="15" customHeight="1" thickBot="1">
      <c r="A655" s="806" t="s">
        <v>1393</v>
      </c>
      <c r="B655" s="807" t="s">
        <v>1394</v>
      </c>
      <c r="C655" s="808">
        <v>249.27</v>
      </c>
      <c r="D655" s="809" t="s">
        <v>1801</v>
      </c>
      <c r="E655" s="810">
        <v>1.0016000000000001E-6</v>
      </c>
      <c r="F655" s="810">
        <v>2.4500000000000001E-8</v>
      </c>
      <c r="G655" s="811" t="s">
        <v>1801</v>
      </c>
      <c r="H655" s="839" t="s">
        <v>1750</v>
      </c>
      <c r="I655" s="840" t="s">
        <v>43</v>
      </c>
      <c r="J655" s="814">
        <v>4.7970400000000003E-2</v>
      </c>
      <c r="K655" s="814">
        <v>5.6049999999999997E-6</v>
      </c>
      <c r="L655" s="815" t="s">
        <v>2367</v>
      </c>
      <c r="M655" s="816">
        <v>86110</v>
      </c>
      <c r="N655" s="816" t="s">
        <v>414</v>
      </c>
      <c r="O655" s="817">
        <v>6.7900000000000002E-2</v>
      </c>
      <c r="P655" s="818" t="s">
        <v>1801</v>
      </c>
      <c r="Q655" s="819">
        <v>9.2200000000000004E-2</v>
      </c>
      <c r="R655" s="820" t="s">
        <v>414</v>
      </c>
      <c r="S655" s="521">
        <v>4.0900000000000002E-4</v>
      </c>
      <c r="T655" s="522" t="s">
        <v>414</v>
      </c>
    </row>
    <row r="656" spans="1:20" ht="15" customHeight="1">
      <c r="A656" s="791" t="s">
        <v>1395</v>
      </c>
      <c r="B656" s="792" t="s">
        <v>1396</v>
      </c>
      <c r="C656" s="793">
        <v>202.26</v>
      </c>
      <c r="D656" s="794" t="s">
        <v>1801</v>
      </c>
      <c r="E656" s="795">
        <v>4.8650000000000001E-4</v>
      </c>
      <c r="F656" s="795">
        <v>1.19E-5</v>
      </c>
      <c r="G656" s="796" t="s">
        <v>1801</v>
      </c>
      <c r="H656" s="797">
        <v>1.2709999999999999</v>
      </c>
      <c r="I656" s="798" t="s">
        <v>1796</v>
      </c>
      <c r="J656" s="799">
        <v>2.7787300000000001E-2</v>
      </c>
      <c r="K656" s="799">
        <v>7.2478999999999997E-6</v>
      </c>
      <c r="L656" s="800" t="s">
        <v>2367</v>
      </c>
      <c r="M656" s="801">
        <v>54340</v>
      </c>
      <c r="N656" s="801" t="s">
        <v>414</v>
      </c>
      <c r="O656" s="802">
        <v>0.13500000000000001</v>
      </c>
      <c r="P656" s="803" t="s">
        <v>1801</v>
      </c>
      <c r="Q656" s="804">
        <v>0.20100000000000001</v>
      </c>
      <c r="R656" s="805" t="s">
        <v>414</v>
      </c>
      <c r="S656" s="527">
        <v>3.7169999999999998E-4</v>
      </c>
      <c r="T656" s="528" t="s">
        <v>1797</v>
      </c>
    </row>
    <row r="657" spans="1:20" ht="15" customHeight="1">
      <c r="A657" s="791" t="s">
        <v>2245</v>
      </c>
      <c r="B657" s="792" t="s">
        <v>2246</v>
      </c>
      <c r="C657" s="793">
        <v>338.19</v>
      </c>
      <c r="D657" s="794" t="s">
        <v>414</v>
      </c>
      <c r="E657" s="795">
        <v>3.59E-11</v>
      </c>
      <c r="F657" s="795">
        <v>8.7899999999999999E-13</v>
      </c>
      <c r="G657" s="796" t="s">
        <v>2370</v>
      </c>
      <c r="H657" s="821" t="s">
        <v>1750</v>
      </c>
      <c r="I657" s="822" t="s">
        <v>43</v>
      </c>
      <c r="J657" s="799">
        <v>3.9142299999999998E-2</v>
      </c>
      <c r="K657" s="799">
        <v>4.5735000000000003E-6</v>
      </c>
      <c r="L657" s="800" t="s">
        <v>2367</v>
      </c>
      <c r="M657" s="835" t="s">
        <v>1750</v>
      </c>
      <c r="N657" s="836" t="s">
        <v>43</v>
      </c>
      <c r="O657" s="802">
        <v>46200</v>
      </c>
      <c r="P657" s="803" t="s">
        <v>2370</v>
      </c>
      <c r="Q657" s="843" t="s">
        <v>1750</v>
      </c>
      <c r="R657" s="844" t="s">
        <v>43</v>
      </c>
      <c r="S657" s="527">
        <v>7.7399999999999995E-4</v>
      </c>
      <c r="T657" s="528" t="s">
        <v>414</v>
      </c>
    </row>
    <row r="658" spans="1:20" ht="15" customHeight="1" thickBot="1">
      <c r="A658" s="806" t="s">
        <v>1398</v>
      </c>
      <c r="B658" s="807" t="s">
        <v>1399</v>
      </c>
      <c r="C658" s="808">
        <v>376.67</v>
      </c>
      <c r="D658" s="809" t="s">
        <v>1801</v>
      </c>
      <c r="E658" s="810">
        <v>6.7047999999999995E-7</v>
      </c>
      <c r="F658" s="810">
        <v>1.6400000000000001E-8</v>
      </c>
      <c r="G658" s="811" t="s">
        <v>414</v>
      </c>
      <c r="H658" s="839" t="s">
        <v>1750</v>
      </c>
      <c r="I658" s="840" t="s">
        <v>43</v>
      </c>
      <c r="J658" s="814">
        <v>3.64289E-2</v>
      </c>
      <c r="K658" s="814">
        <v>4.2563999999999996E-6</v>
      </c>
      <c r="L658" s="815" t="s">
        <v>2367</v>
      </c>
      <c r="M658" s="816">
        <v>2425</v>
      </c>
      <c r="N658" s="816" t="s">
        <v>414</v>
      </c>
      <c r="O658" s="817">
        <v>34</v>
      </c>
      <c r="P658" s="818" t="s">
        <v>1801</v>
      </c>
      <c r="Q658" s="819">
        <v>6.4000000000000003E-3</v>
      </c>
      <c r="R658" s="820" t="s">
        <v>414</v>
      </c>
      <c r="S658" s="521">
        <v>2E-3</v>
      </c>
      <c r="T658" s="522" t="s">
        <v>414</v>
      </c>
    </row>
    <row r="659" spans="1:20" ht="15" customHeight="1">
      <c r="A659" s="791" t="s">
        <v>1400</v>
      </c>
      <c r="B659" s="792" t="s">
        <v>1401</v>
      </c>
      <c r="C659" s="793">
        <v>347.3</v>
      </c>
      <c r="D659" s="794" t="s">
        <v>1801</v>
      </c>
      <c r="E659" s="795">
        <v>1.18561E-2</v>
      </c>
      <c r="F659" s="795">
        <v>2.9E-4</v>
      </c>
      <c r="G659" s="796" t="s">
        <v>414</v>
      </c>
      <c r="H659" s="797">
        <v>1.38</v>
      </c>
      <c r="I659" s="798" t="s">
        <v>2418</v>
      </c>
      <c r="J659" s="799">
        <v>2.18047E-2</v>
      </c>
      <c r="K659" s="799">
        <v>5.5052000000000002E-6</v>
      </c>
      <c r="L659" s="800" t="s">
        <v>2367</v>
      </c>
      <c r="M659" s="801">
        <v>30520</v>
      </c>
      <c r="N659" s="801" t="s">
        <v>414</v>
      </c>
      <c r="O659" s="802">
        <v>0.1</v>
      </c>
      <c r="P659" s="803" t="s">
        <v>1801</v>
      </c>
      <c r="Q659" s="804">
        <v>0.09</v>
      </c>
      <c r="R659" s="805" t="s">
        <v>414</v>
      </c>
      <c r="S659" s="527">
        <v>9.3799999999999994E-2</v>
      </c>
      <c r="T659" s="528" t="s">
        <v>414</v>
      </c>
    </row>
    <row r="660" spans="1:20" ht="15" customHeight="1">
      <c r="A660" s="791" t="s">
        <v>1402</v>
      </c>
      <c r="B660" s="792" t="s">
        <v>1403</v>
      </c>
      <c r="C660" s="793">
        <v>225.3</v>
      </c>
      <c r="D660" s="794" t="s">
        <v>1801</v>
      </c>
      <c r="E660" s="795">
        <v>3.7163E-8</v>
      </c>
      <c r="F660" s="795">
        <v>9.0899999999999996E-10</v>
      </c>
      <c r="G660" s="796" t="s">
        <v>414</v>
      </c>
      <c r="H660" s="821" t="s">
        <v>1750</v>
      </c>
      <c r="I660" s="822" t="s">
        <v>43</v>
      </c>
      <c r="J660" s="799">
        <v>5.1315199999999998E-2</v>
      </c>
      <c r="K660" s="799">
        <v>5.9958000000000003E-6</v>
      </c>
      <c r="L660" s="800" t="s">
        <v>2367</v>
      </c>
      <c r="M660" s="801">
        <v>137.4</v>
      </c>
      <c r="N660" s="801" t="s">
        <v>414</v>
      </c>
      <c r="O660" s="802">
        <v>750</v>
      </c>
      <c r="P660" s="803" t="s">
        <v>1801</v>
      </c>
      <c r="Q660" s="804">
        <v>8.2699999999999996E-3</v>
      </c>
      <c r="R660" s="805" t="s">
        <v>414</v>
      </c>
      <c r="S660" s="527">
        <v>1.5200000000000001E-3</v>
      </c>
      <c r="T660" s="528" t="s">
        <v>414</v>
      </c>
    </row>
    <row r="661" spans="1:20" ht="15" customHeight="1" thickBot="1">
      <c r="A661" s="806" t="s">
        <v>1404</v>
      </c>
      <c r="B661" s="807" t="s">
        <v>1405</v>
      </c>
      <c r="C661" s="808">
        <v>241.36</v>
      </c>
      <c r="D661" s="809" t="s">
        <v>1801</v>
      </c>
      <c r="E661" s="810">
        <v>4.8650999999999998E-7</v>
      </c>
      <c r="F661" s="810">
        <v>1.1900000000000001E-8</v>
      </c>
      <c r="G661" s="811" t="s">
        <v>414</v>
      </c>
      <c r="H661" s="812">
        <v>1.157</v>
      </c>
      <c r="I661" s="813" t="s">
        <v>1796</v>
      </c>
      <c r="J661" s="814">
        <v>2.4246E-2</v>
      </c>
      <c r="K661" s="814">
        <v>6.1612999999999998E-6</v>
      </c>
      <c r="L661" s="815" t="s">
        <v>2367</v>
      </c>
      <c r="M661" s="816">
        <v>656.4</v>
      </c>
      <c r="N661" s="816" t="s">
        <v>414</v>
      </c>
      <c r="O661" s="817">
        <v>33</v>
      </c>
      <c r="P661" s="818" t="s">
        <v>1801</v>
      </c>
      <c r="Q661" s="819">
        <v>1.49E-2</v>
      </c>
      <c r="R661" s="820" t="s">
        <v>414</v>
      </c>
      <c r="S661" s="521">
        <v>2.9600000000000001E-2</v>
      </c>
      <c r="T661" s="522" t="s">
        <v>414</v>
      </c>
    </row>
    <row r="662" spans="1:20" ht="15" customHeight="1">
      <c r="A662" s="791" t="s">
        <v>1406</v>
      </c>
      <c r="B662" s="792" t="s">
        <v>1407</v>
      </c>
      <c r="C662" s="793">
        <v>211.69</v>
      </c>
      <c r="D662" s="794" t="s">
        <v>1801</v>
      </c>
      <c r="E662" s="795">
        <v>1.47E-5</v>
      </c>
      <c r="F662" s="795">
        <v>3.5999999999999999E-7</v>
      </c>
      <c r="G662" s="796" t="s">
        <v>414</v>
      </c>
      <c r="H662" s="797">
        <v>1.242</v>
      </c>
      <c r="I662" s="798" t="s">
        <v>1796</v>
      </c>
      <c r="J662" s="799">
        <v>2.6846399999999999E-2</v>
      </c>
      <c r="K662" s="799">
        <v>6.9554000000000004E-6</v>
      </c>
      <c r="L662" s="800" t="s">
        <v>2367</v>
      </c>
      <c r="M662" s="801">
        <v>204.5</v>
      </c>
      <c r="N662" s="801" t="s">
        <v>414</v>
      </c>
      <c r="O662" s="802">
        <v>580</v>
      </c>
      <c r="P662" s="803" t="s">
        <v>1801</v>
      </c>
      <c r="Q662" s="804">
        <v>2.8600000000000001E-3</v>
      </c>
      <c r="R662" s="805" t="s">
        <v>414</v>
      </c>
      <c r="S662" s="527">
        <v>6.5900000000000004E-3</v>
      </c>
      <c r="T662" s="528" t="s">
        <v>414</v>
      </c>
    </row>
    <row r="663" spans="1:20" ht="15" customHeight="1">
      <c r="A663" s="791" t="s">
        <v>1408</v>
      </c>
      <c r="B663" s="792" t="s">
        <v>1409</v>
      </c>
      <c r="C663" s="793">
        <v>218.08</v>
      </c>
      <c r="D663" s="794" t="s">
        <v>1801</v>
      </c>
      <c r="E663" s="795">
        <v>6.9909999999999995E-8</v>
      </c>
      <c r="F663" s="795">
        <v>1.7100000000000001E-9</v>
      </c>
      <c r="G663" s="796" t="s">
        <v>414</v>
      </c>
      <c r="H663" s="797">
        <v>1.25</v>
      </c>
      <c r="I663" s="798" t="s">
        <v>1796</v>
      </c>
      <c r="J663" s="799">
        <v>2.6510800000000001E-2</v>
      </c>
      <c r="K663" s="799">
        <v>6.8588000000000003E-6</v>
      </c>
      <c r="L663" s="800" t="s">
        <v>2367</v>
      </c>
      <c r="M663" s="801">
        <v>175.9</v>
      </c>
      <c r="N663" s="801" t="s">
        <v>414</v>
      </c>
      <c r="O663" s="802">
        <v>152</v>
      </c>
      <c r="P663" s="803" t="s">
        <v>1801</v>
      </c>
      <c r="Q663" s="804">
        <v>1.03E-2</v>
      </c>
      <c r="R663" s="805" t="s">
        <v>414</v>
      </c>
      <c r="S663" s="527">
        <v>1E-3</v>
      </c>
      <c r="T663" s="528" t="s">
        <v>1797</v>
      </c>
    </row>
    <row r="664" spans="1:20" ht="15" customHeight="1" thickBot="1">
      <c r="A664" s="806" t="s">
        <v>1410</v>
      </c>
      <c r="B664" s="807" t="s">
        <v>1411</v>
      </c>
      <c r="C664" s="808">
        <v>350.48</v>
      </c>
      <c r="D664" s="809" t="s">
        <v>1801</v>
      </c>
      <c r="E664" s="810">
        <v>2.62E-5</v>
      </c>
      <c r="F664" s="810">
        <v>6.4000000000000001E-7</v>
      </c>
      <c r="G664" s="811" t="s">
        <v>414</v>
      </c>
      <c r="H664" s="812">
        <v>1.1000000000000001</v>
      </c>
      <c r="I664" s="813" t="s">
        <v>1796</v>
      </c>
      <c r="J664" s="814">
        <v>1.94398E-2</v>
      </c>
      <c r="K664" s="814">
        <v>4.7786999999999997E-6</v>
      </c>
      <c r="L664" s="815" t="s">
        <v>2367</v>
      </c>
      <c r="M664" s="816">
        <v>36650</v>
      </c>
      <c r="N664" s="816" t="s">
        <v>414</v>
      </c>
      <c r="O664" s="817">
        <v>0.215</v>
      </c>
      <c r="P664" s="818" t="s">
        <v>1801</v>
      </c>
      <c r="Q664" s="819">
        <v>3.56E-2</v>
      </c>
      <c r="R664" s="820" t="s">
        <v>414</v>
      </c>
      <c r="S664" s="521">
        <v>0.23799999999999999</v>
      </c>
      <c r="T664" s="522" t="s">
        <v>414</v>
      </c>
    </row>
    <row r="665" spans="1:20" ht="15" customHeight="1">
      <c r="A665" s="791" t="s">
        <v>1412</v>
      </c>
      <c r="B665" s="792" t="s">
        <v>1413</v>
      </c>
      <c r="C665" s="793">
        <v>56.064999999999998</v>
      </c>
      <c r="D665" s="794" t="s">
        <v>1801</v>
      </c>
      <c r="E665" s="795">
        <v>4.6999999999999997E-5</v>
      </c>
      <c r="F665" s="795">
        <v>1.15E-6</v>
      </c>
      <c r="G665" s="796" t="s">
        <v>414</v>
      </c>
      <c r="H665" s="797">
        <v>0.94779999999999998</v>
      </c>
      <c r="I665" s="798" t="s">
        <v>1796</v>
      </c>
      <c r="J665" s="799">
        <v>0.1173874</v>
      </c>
      <c r="K665" s="799">
        <v>1.31E-5</v>
      </c>
      <c r="L665" s="800" t="s">
        <v>2367</v>
      </c>
      <c r="M665" s="801">
        <v>1.9039999999999999</v>
      </c>
      <c r="N665" s="801" t="s">
        <v>414</v>
      </c>
      <c r="O665" s="802">
        <v>1000000</v>
      </c>
      <c r="P665" s="803" t="s">
        <v>1801</v>
      </c>
      <c r="Q665" s="804">
        <v>4.2400000000000001E-4</v>
      </c>
      <c r="R665" s="805" t="s">
        <v>414</v>
      </c>
      <c r="S665" s="527">
        <v>4.2999999999999997E-2</v>
      </c>
      <c r="T665" s="528" t="s">
        <v>414</v>
      </c>
    </row>
    <row r="666" spans="1:20" ht="15" customHeight="1">
      <c r="A666" s="791" t="s">
        <v>1414</v>
      </c>
      <c r="B666" s="792" t="s">
        <v>1415</v>
      </c>
      <c r="C666" s="793">
        <v>229.71</v>
      </c>
      <c r="D666" s="794" t="s">
        <v>1801</v>
      </c>
      <c r="E666" s="795">
        <v>1.8806E-7</v>
      </c>
      <c r="F666" s="795">
        <v>4.5999999999999998E-9</v>
      </c>
      <c r="G666" s="796" t="s">
        <v>414</v>
      </c>
      <c r="H666" s="797">
        <v>1.1619999999999999</v>
      </c>
      <c r="I666" s="798" t="s">
        <v>1796</v>
      </c>
      <c r="J666" s="799">
        <v>2.49354E-2</v>
      </c>
      <c r="K666" s="799">
        <v>6.3633999999999999E-6</v>
      </c>
      <c r="L666" s="800" t="s">
        <v>2367</v>
      </c>
      <c r="M666" s="801">
        <v>344.1</v>
      </c>
      <c r="N666" s="801" t="s">
        <v>414</v>
      </c>
      <c r="O666" s="802">
        <v>8.6</v>
      </c>
      <c r="P666" s="803" t="s">
        <v>1801</v>
      </c>
      <c r="Q666" s="804">
        <v>7.1300000000000001E-3</v>
      </c>
      <c r="R666" s="805" t="s">
        <v>414</v>
      </c>
      <c r="S666" s="527">
        <v>5.0899999999999999E-3</v>
      </c>
      <c r="T666" s="528" t="s">
        <v>414</v>
      </c>
    </row>
    <row r="667" spans="1:20" ht="15" customHeight="1" thickBot="1">
      <c r="A667" s="806" t="s">
        <v>1416</v>
      </c>
      <c r="B667" s="807" t="s">
        <v>1417</v>
      </c>
      <c r="C667" s="808">
        <v>179.22</v>
      </c>
      <c r="D667" s="809" t="s">
        <v>1801</v>
      </c>
      <c r="E667" s="810">
        <v>7.5225000000000004E-6</v>
      </c>
      <c r="F667" s="810">
        <v>1.8400000000000001E-7</v>
      </c>
      <c r="G667" s="811" t="s">
        <v>414</v>
      </c>
      <c r="H667" s="812">
        <v>1.0900000000000001</v>
      </c>
      <c r="I667" s="813" t="s">
        <v>1796</v>
      </c>
      <c r="J667" s="814">
        <v>3.5749999999999997E-2</v>
      </c>
      <c r="K667" s="814">
        <v>7.1072000000000003E-6</v>
      </c>
      <c r="L667" s="815" t="s">
        <v>2367</v>
      </c>
      <c r="M667" s="816">
        <v>218.6</v>
      </c>
      <c r="N667" s="816" t="s">
        <v>414</v>
      </c>
      <c r="O667" s="817">
        <v>179</v>
      </c>
      <c r="P667" s="818" t="s">
        <v>1801</v>
      </c>
      <c r="Q667" s="819">
        <v>8.26E-3</v>
      </c>
      <c r="R667" s="820" t="s">
        <v>414</v>
      </c>
      <c r="S667" s="521">
        <v>1.1285E-2</v>
      </c>
      <c r="T667" s="522" t="s">
        <v>1797</v>
      </c>
    </row>
    <row r="668" spans="1:20" ht="15" customHeight="1">
      <c r="A668" s="791" t="s">
        <v>1418</v>
      </c>
      <c r="B668" s="792" t="s">
        <v>1419</v>
      </c>
      <c r="C668" s="793">
        <v>342.23</v>
      </c>
      <c r="D668" s="794" t="s">
        <v>1801</v>
      </c>
      <c r="E668" s="795">
        <v>7.0318999999999996E-8</v>
      </c>
      <c r="F668" s="795">
        <v>1.7200000000000001E-9</v>
      </c>
      <c r="G668" s="796" t="s">
        <v>414</v>
      </c>
      <c r="H668" s="797">
        <v>1.27</v>
      </c>
      <c r="I668" s="798" t="s">
        <v>1796</v>
      </c>
      <c r="J668" s="799">
        <v>2.1110899999999998E-2</v>
      </c>
      <c r="K668" s="799">
        <v>5.2839999999999997E-6</v>
      </c>
      <c r="L668" s="800" t="s">
        <v>2367</v>
      </c>
      <c r="M668" s="801">
        <v>1556</v>
      </c>
      <c r="N668" s="801" t="s">
        <v>414</v>
      </c>
      <c r="O668" s="802">
        <v>110</v>
      </c>
      <c r="P668" s="803" t="s">
        <v>1801</v>
      </c>
      <c r="Q668" s="804">
        <v>5.5799999999999999E-3</v>
      </c>
      <c r="R668" s="805" t="s">
        <v>414</v>
      </c>
      <c r="S668" s="527">
        <v>8.2799999999999999E-2</v>
      </c>
      <c r="T668" s="528" t="s">
        <v>414</v>
      </c>
    </row>
    <row r="669" spans="1:20" ht="15" customHeight="1">
      <c r="A669" s="791" t="s">
        <v>1420</v>
      </c>
      <c r="B669" s="792" t="s">
        <v>1421</v>
      </c>
      <c r="C669" s="793">
        <v>58.081000000000003</v>
      </c>
      <c r="D669" s="794" t="s">
        <v>1801</v>
      </c>
      <c r="E669" s="795">
        <v>3.0008000000000001E-3</v>
      </c>
      <c r="F669" s="795">
        <v>7.3399999999999995E-5</v>
      </c>
      <c r="G669" s="796" t="s">
        <v>1801</v>
      </c>
      <c r="H669" s="797">
        <v>0.86570000000000003</v>
      </c>
      <c r="I669" s="798" t="s">
        <v>1796</v>
      </c>
      <c r="J669" s="799">
        <v>0.11037669999999999</v>
      </c>
      <c r="K669" s="799">
        <v>1.22E-5</v>
      </c>
      <c r="L669" s="800" t="s">
        <v>2367</v>
      </c>
      <c r="M669" s="801">
        <v>1</v>
      </c>
      <c r="N669" s="801" t="s">
        <v>414</v>
      </c>
      <c r="O669" s="802">
        <v>306000</v>
      </c>
      <c r="P669" s="803" t="s">
        <v>1801</v>
      </c>
      <c r="Q669" s="804">
        <v>1.82E-3</v>
      </c>
      <c r="R669" s="805" t="s">
        <v>414</v>
      </c>
      <c r="S669" s="527">
        <v>1E-3</v>
      </c>
      <c r="T669" s="528" t="s">
        <v>1797</v>
      </c>
    </row>
    <row r="670" spans="1:20" ht="15" customHeight="1" thickBot="1">
      <c r="A670" s="806" t="s">
        <v>1422</v>
      </c>
      <c r="B670" s="807" t="s">
        <v>1423</v>
      </c>
      <c r="C670" s="808">
        <v>120.2</v>
      </c>
      <c r="D670" s="809" t="s">
        <v>1801</v>
      </c>
      <c r="E670" s="810">
        <v>0.4292723</v>
      </c>
      <c r="F670" s="810">
        <v>1.0500000000000001E-2</v>
      </c>
      <c r="G670" s="811" t="s">
        <v>1801</v>
      </c>
      <c r="H670" s="812">
        <v>0.85929999999999995</v>
      </c>
      <c r="I670" s="813" t="s">
        <v>1796</v>
      </c>
      <c r="J670" s="814">
        <v>6.0155800000000002E-2</v>
      </c>
      <c r="K670" s="814">
        <v>7.8310000000000001E-6</v>
      </c>
      <c r="L670" s="815" t="s">
        <v>2367</v>
      </c>
      <c r="M670" s="816">
        <v>813.1</v>
      </c>
      <c r="N670" s="816" t="s">
        <v>414</v>
      </c>
      <c r="O670" s="817">
        <v>52.2</v>
      </c>
      <c r="P670" s="818" t="s">
        <v>1801</v>
      </c>
      <c r="Q670" s="819">
        <v>9.3899999999999997E-2</v>
      </c>
      <c r="R670" s="820" t="s">
        <v>414</v>
      </c>
      <c r="S670" s="521">
        <v>1E-3</v>
      </c>
      <c r="T670" s="522" t="s">
        <v>1797</v>
      </c>
    </row>
    <row r="671" spans="1:20" ht="15" customHeight="1">
      <c r="A671" s="791" t="s">
        <v>1424</v>
      </c>
      <c r="B671" s="792" t="s">
        <v>1425</v>
      </c>
      <c r="C671" s="793">
        <v>42.081000000000003</v>
      </c>
      <c r="D671" s="794" t="s">
        <v>1801</v>
      </c>
      <c r="E671" s="795">
        <v>8.0130826000000006</v>
      </c>
      <c r="F671" s="795">
        <v>0.19600000000000001</v>
      </c>
      <c r="G671" s="796" t="s">
        <v>1801</v>
      </c>
      <c r="H671" s="797">
        <v>0.505</v>
      </c>
      <c r="I671" s="798" t="s">
        <v>1796</v>
      </c>
      <c r="J671" s="799">
        <v>0.10969669999999999</v>
      </c>
      <c r="K671" s="799">
        <v>1.0699999999999999E-5</v>
      </c>
      <c r="L671" s="800" t="s">
        <v>2367</v>
      </c>
      <c r="M671" s="801">
        <v>21.73</v>
      </c>
      <c r="N671" s="801" t="s">
        <v>414</v>
      </c>
      <c r="O671" s="802">
        <v>200</v>
      </c>
      <c r="P671" s="803" t="s">
        <v>1801</v>
      </c>
      <c r="Q671" s="804">
        <v>1.3599999999999999E-2</v>
      </c>
      <c r="R671" s="805" t="s">
        <v>414</v>
      </c>
      <c r="S671" s="527">
        <v>1E-3</v>
      </c>
      <c r="T671" s="528" t="s">
        <v>1797</v>
      </c>
    </row>
    <row r="672" spans="1:20" ht="15" customHeight="1">
      <c r="A672" s="791" t="s">
        <v>1426</v>
      </c>
      <c r="B672" s="792" t="s">
        <v>1427</v>
      </c>
      <c r="C672" s="793">
        <v>76.096000000000004</v>
      </c>
      <c r="D672" s="794" t="s">
        <v>1801</v>
      </c>
      <c r="E672" s="795">
        <v>5.2738999999999996E-7</v>
      </c>
      <c r="F672" s="795">
        <v>1.29E-8</v>
      </c>
      <c r="G672" s="796" t="s">
        <v>414</v>
      </c>
      <c r="H672" s="797">
        <v>1.0361</v>
      </c>
      <c r="I672" s="798" t="s">
        <v>1796</v>
      </c>
      <c r="J672" s="799">
        <v>9.8068600000000006E-2</v>
      </c>
      <c r="K672" s="799">
        <v>1.15E-5</v>
      </c>
      <c r="L672" s="800" t="s">
        <v>2367</v>
      </c>
      <c r="M672" s="801">
        <v>1</v>
      </c>
      <c r="N672" s="801" t="s">
        <v>414</v>
      </c>
      <c r="O672" s="802">
        <v>1000000</v>
      </c>
      <c r="P672" s="803" t="s">
        <v>1801</v>
      </c>
      <c r="Q672" s="804">
        <v>1.4300000000000001E-4</v>
      </c>
      <c r="R672" s="805" t="s">
        <v>414</v>
      </c>
      <c r="S672" s="527">
        <v>1.8499999999999999E-2</v>
      </c>
      <c r="T672" s="528" t="s">
        <v>414</v>
      </c>
    </row>
    <row r="673" spans="1:20" ht="15" customHeight="1" thickBot="1">
      <c r="A673" s="806" t="s">
        <v>1428</v>
      </c>
      <c r="B673" s="807" t="s">
        <v>1429</v>
      </c>
      <c r="C673" s="808">
        <v>166.09</v>
      </c>
      <c r="D673" s="809" t="s">
        <v>1801</v>
      </c>
      <c r="E673" s="810">
        <v>3.8500000000000001E-5</v>
      </c>
      <c r="F673" s="810">
        <v>9.4200000000000004E-7</v>
      </c>
      <c r="G673" s="811" t="s">
        <v>1801</v>
      </c>
      <c r="H673" s="839" t="s">
        <v>1750</v>
      </c>
      <c r="I673" s="840" t="s">
        <v>43</v>
      </c>
      <c r="J673" s="814">
        <v>6.2881699999999999E-2</v>
      </c>
      <c r="K673" s="814">
        <v>7.3471999999999997E-6</v>
      </c>
      <c r="L673" s="815" t="s">
        <v>2367</v>
      </c>
      <c r="M673" s="816">
        <v>60.7</v>
      </c>
      <c r="N673" s="816" t="s">
        <v>414</v>
      </c>
      <c r="O673" s="817">
        <v>3261.9</v>
      </c>
      <c r="P673" s="818" t="s">
        <v>414</v>
      </c>
      <c r="Q673" s="819">
        <v>2.0799999999999998E-3</v>
      </c>
      <c r="R673" s="820" t="s">
        <v>414</v>
      </c>
      <c r="S673" s="521">
        <v>1E-3</v>
      </c>
      <c r="T673" s="522" t="s">
        <v>1797</v>
      </c>
    </row>
    <row r="674" spans="1:20" ht="15" customHeight="1">
      <c r="A674" s="791" t="s">
        <v>1430</v>
      </c>
      <c r="B674" s="792" t="s">
        <v>1431</v>
      </c>
      <c r="C674" s="793">
        <v>90.123000000000005</v>
      </c>
      <c r="D674" s="794" t="s">
        <v>1801</v>
      </c>
      <c r="E674" s="795">
        <v>3.7599999999999999E-5</v>
      </c>
      <c r="F674" s="795">
        <v>9.1999999999999998E-7</v>
      </c>
      <c r="G674" s="796" t="s">
        <v>1801</v>
      </c>
      <c r="H674" s="797">
        <v>0.96199999999999997</v>
      </c>
      <c r="I674" s="798" t="s">
        <v>1796</v>
      </c>
      <c r="J674" s="799">
        <v>8.3144999999999997E-2</v>
      </c>
      <c r="K674" s="799">
        <v>9.9604000000000004E-6</v>
      </c>
      <c r="L674" s="800" t="s">
        <v>2367</v>
      </c>
      <c r="M674" s="801">
        <v>1</v>
      </c>
      <c r="N674" s="801" t="s">
        <v>414</v>
      </c>
      <c r="O674" s="802">
        <v>1000000</v>
      </c>
      <c r="P674" s="803" t="s">
        <v>1801</v>
      </c>
      <c r="Q674" s="804">
        <v>3.7169999999999998E-4</v>
      </c>
      <c r="R674" s="805" t="s">
        <v>1797</v>
      </c>
      <c r="S674" s="527">
        <v>5.9999999999999995E-4</v>
      </c>
      <c r="T674" s="528" t="s">
        <v>1797</v>
      </c>
    </row>
    <row r="675" spans="1:20" ht="15" customHeight="1">
      <c r="A675" s="791" t="s">
        <v>1432</v>
      </c>
      <c r="B675" s="792" t="s">
        <v>1433</v>
      </c>
      <c r="C675" s="793">
        <v>58.081000000000003</v>
      </c>
      <c r="D675" s="794" t="s">
        <v>1801</v>
      </c>
      <c r="E675" s="795">
        <v>2.8454999999999999E-3</v>
      </c>
      <c r="F675" s="795">
        <v>6.9599999999999998E-5</v>
      </c>
      <c r="G675" s="796" t="s">
        <v>414</v>
      </c>
      <c r="H675" s="797">
        <v>0.83099999999999996</v>
      </c>
      <c r="I675" s="798" t="s">
        <v>1802</v>
      </c>
      <c r="J675" s="799">
        <v>0.1085105</v>
      </c>
      <c r="K675" s="799">
        <v>1.19E-5</v>
      </c>
      <c r="L675" s="800" t="s">
        <v>2367</v>
      </c>
      <c r="M675" s="801">
        <v>5.194</v>
      </c>
      <c r="N675" s="801" t="s">
        <v>414</v>
      </c>
      <c r="O675" s="802">
        <v>590000</v>
      </c>
      <c r="P675" s="803" t="s">
        <v>1801</v>
      </c>
      <c r="Q675" s="804">
        <v>7.7399999999999995E-4</v>
      </c>
      <c r="R675" s="805" t="s">
        <v>414</v>
      </c>
      <c r="S675" s="527">
        <v>3.2499999999999999E-3</v>
      </c>
      <c r="T675" s="528" t="s">
        <v>414</v>
      </c>
    </row>
    <row r="676" spans="1:20" ht="15" customHeight="1" thickBot="1">
      <c r="A676" s="806" t="s">
        <v>2247</v>
      </c>
      <c r="B676" s="807" t="s">
        <v>1032</v>
      </c>
      <c r="C676" s="808">
        <v>256.13</v>
      </c>
      <c r="D676" s="809" t="s">
        <v>1801</v>
      </c>
      <c r="E676" s="810">
        <v>3.9943000000000002E-7</v>
      </c>
      <c r="F676" s="810">
        <v>9.7700000000000008E-9</v>
      </c>
      <c r="G676" s="811" t="s">
        <v>414</v>
      </c>
      <c r="H676" s="839" t="s">
        <v>1750</v>
      </c>
      <c r="I676" s="840" t="s">
        <v>43</v>
      </c>
      <c r="J676" s="814">
        <v>4.7109999999999999E-2</v>
      </c>
      <c r="K676" s="814">
        <v>5.5044000000000002E-6</v>
      </c>
      <c r="L676" s="815" t="s">
        <v>2367</v>
      </c>
      <c r="M676" s="816">
        <v>404.9</v>
      </c>
      <c r="N676" s="816" t="s">
        <v>414</v>
      </c>
      <c r="O676" s="817">
        <v>15</v>
      </c>
      <c r="P676" s="818" t="s">
        <v>1801</v>
      </c>
      <c r="Q676" s="819">
        <v>1.09E-2</v>
      </c>
      <c r="R676" s="820" t="s">
        <v>414</v>
      </c>
      <c r="S676" s="521">
        <v>1.95E-5</v>
      </c>
      <c r="T676" s="522" t="s">
        <v>414</v>
      </c>
    </row>
    <row r="677" spans="1:20" ht="15" customHeight="1">
      <c r="A677" s="791" t="s">
        <v>1436</v>
      </c>
      <c r="B677" s="792" t="s">
        <v>1437</v>
      </c>
      <c r="C677" s="793">
        <v>79.102000000000004</v>
      </c>
      <c r="D677" s="794" t="s">
        <v>1801</v>
      </c>
      <c r="E677" s="795">
        <v>4.4969999999999998E-4</v>
      </c>
      <c r="F677" s="795">
        <v>1.1E-5</v>
      </c>
      <c r="G677" s="796" t="s">
        <v>1801</v>
      </c>
      <c r="H677" s="797">
        <v>0.9819</v>
      </c>
      <c r="I677" s="798" t="s">
        <v>1796</v>
      </c>
      <c r="J677" s="799">
        <v>9.3088299999999999E-2</v>
      </c>
      <c r="K677" s="799">
        <v>1.0900000000000001E-5</v>
      </c>
      <c r="L677" s="800" t="s">
        <v>2367</v>
      </c>
      <c r="M677" s="801">
        <v>71.72</v>
      </c>
      <c r="N677" s="801" t="s">
        <v>414</v>
      </c>
      <c r="O677" s="802">
        <v>1000000</v>
      </c>
      <c r="P677" s="803" t="s">
        <v>1801</v>
      </c>
      <c r="Q677" s="804">
        <v>1.5200000000000001E-3</v>
      </c>
      <c r="R677" s="805" t="s">
        <v>414</v>
      </c>
      <c r="S677" s="527">
        <v>1E-3</v>
      </c>
      <c r="T677" s="528" t="s">
        <v>1797</v>
      </c>
    </row>
    <row r="678" spans="1:20" ht="15" customHeight="1">
      <c r="A678" s="791" t="s">
        <v>1438</v>
      </c>
      <c r="B678" s="792" t="s">
        <v>1439</v>
      </c>
      <c r="C678" s="793">
        <v>298.3</v>
      </c>
      <c r="D678" s="794" t="s">
        <v>1801</v>
      </c>
      <c r="E678" s="795">
        <v>1.897E-6</v>
      </c>
      <c r="F678" s="795">
        <v>4.6399999999999999E-8</v>
      </c>
      <c r="G678" s="796" t="s">
        <v>414</v>
      </c>
      <c r="H678" s="821" t="s">
        <v>1750</v>
      </c>
      <c r="I678" s="822" t="s">
        <v>43</v>
      </c>
      <c r="J678" s="799">
        <v>4.25583E-2</v>
      </c>
      <c r="K678" s="799">
        <v>4.9725999999999996E-6</v>
      </c>
      <c r="L678" s="800" t="s">
        <v>2367</v>
      </c>
      <c r="M678" s="801">
        <v>4185</v>
      </c>
      <c r="N678" s="801" t="s">
        <v>414</v>
      </c>
      <c r="O678" s="802">
        <v>22</v>
      </c>
      <c r="P678" s="803" t="s">
        <v>1801</v>
      </c>
      <c r="Q678" s="804">
        <v>2.9600000000000001E-2</v>
      </c>
      <c r="R678" s="805" t="s">
        <v>414</v>
      </c>
      <c r="S678" s="527">
        <v>1.9199999999999999E-5</v>
      </c>
      <c r="T678" s="528" t="s">
        <v>414</v>
      </c>
    </row>
    <row r="679" spans="1:20" ht="15" customHeight="1" thickBot="1">
      <c r="A679" s="806" t="s">
        <v>1440</v>
      </c>
      <c r="B679" s="807" t="s">
        <v>1441</v>
      </c>
      <c r="C679" s="808">
        <v>129.16</v>
      </c>
      <c r="D679" s="809" t="s">
        <v>1801</v>
      </c>
      <c r="E679" s="810">
        <v>6.8300000000000007E-5</v>
      </c>
      <c r="F679" s="810">
        <v>1.6700000000000001E-6</v>
      </c>
      <c r="G679" s="811" t="s">
        <v>414</v>
      </c>
      <c r="H679" s="812">
        <v>1.0976999999999999</v>
      </c>
      <c r="I679" s="813" t="s">
        <v>1796</v>
      </c>
      <c r="J679" s="814">
        <v>6.1800399999999998E-2</v>
      </c>
      <c r="K679" s="814">
        <v>8.6873000000000007E-6</v>
      </c>
      <c r="L679" s="815" t="s">
        <v>2367</v>
      </c>
      <c r="M679" s="816">
        <v>1544</v>
      </c>
      <c r="N679" s="816" t="s">
        <v>414</v>
      </c>
      <c r="O679" s="817">
        <v>6110</v>
      </c>
      <c r="P679" s="818" t="s">
        <v>1801</v>
      </c>
      <c r="Q679" s="819">
        <v>6.5900000000000004E-3</v>
      </c>
      <c r="R679" s="820" t="s">
        <v>414</v>
      </c>
      <c r="S679" s="521">
        <v>1E-3</v>
      </c>
      <c r="T679" s="522" t="s">
        <v>1797</v>
      </c>
    </row>
    <row r="680" spans="1:20" ht="15" customHeight="1">
      <c r="A680" s="791" t="s">
        <v>2248</v>
      </c>
      <c r="B680" s="792" t="s">
        <v>425</v>
      </c>
      <c r="C680" s="793">
        <v>372.81</v>
      </c>
      <c r="D680" s="794" t="s">
        <v>1801</v>
      </c>
      <c r="E680" s="795">
        <v>4.3336000000000001E-7</v>
      </c>
      <c r="F680" s="795">
        <v>1.0600000000000001E-8</v>
      </c>
      <c r="G680" s="796" t="s">
        <v>414</v>
      </c>
      <c r="H680" s="821" t="s">
        <v>1750</v>
      </c>
      <c r="I680" s="822" t="s">
        <v>43</v>
      </c>
      <c r="J680" s="799">
        <v>3.6679900000000001E-2</v>
      </c>
      <c r="K680" s="799">
        <v>4.2857999999999997E-6</v>
      </c>
      <c r="L680" s="800" t="s">
        <v>2367</v>
      </c>
      <c r="M680" s="801">
        <v>7736</v>
      </c>
      <c r="N680" s="801" t="s">
        <v>414</v>
      </c>
      <c r="O680" s="802">
        <v>0.3</v>
      </c>
      <c r="P680" s="803" t="s">
        <v>1801</v>
      </c>
      <c r="Q680" s="804">
        <v>8.8599999999999998E-3</v>
      </c>
      <c r="R680" s="805" t="s">
        <v>414</v>
      </c>
      <c r="S680" s="527">
        <v>1.3200000000000001E-6</v>
      </c>
      <c r="T680" s="528" t="s">
        <v>414</v>
      </c>
    </row>
    <row r="681" spans="1:20" ht="15" customHeight="1">
      <c r="A681" s="791" t="s">
        <v>1442</v>
      </c>
      <c r="B681" s="792" t="s">
        <v>2433</v>
      </c>
      <c r="C681" s="841" t="s">
        <v>1750</v>
      </c>
      <c r="D681" s="842" t="s">
        <v>43</v>
      </c>
      <c r="E681" s="831" t="s">
        <v>1750</v>
      </c>
      <c r="F681" s="831" t="s">
        <v>1750</v>
      </c>
      <c r="G681" s="832" t="s">
        <v>43</v>
      </c>
      <c r="H681" s="821" t="s">
        <v>1750</v>
      </c>
      <c r="I681" s="822" t="s">
        <v>43</v>
      </c>
      <c r="J681" s="833" t="s">
        <v>1750</v>
      </c>
      <c r="K681" s="833" t="s">
        <v>1750</v>
      </c>
      <c r="L681" s="834" t="s">
        <v>43</v>
      </c>
      <c r="M681" s="835" t="s">
        <v>1750</v>
      </c>
      <c r="N681" s="836" t="s">
        <v>43</v>
      </c>
      <c r="O681" s="837" t="s">
        <v>1750</v>
      </c>
      <c r="P681" s="838" t="s">
        <v>43</v>
      </c>
      <c r="Q681" s="804">
        <v>1E-3</v>
      </c>
      <c r="R681" s="805" t="s">
        <v>1797</v>
      </c>
      <c r="S681" s="527">
        <v>1E-3</v>
      </c>
      <c r="T681" s="528" t="s">
        <v>1797</v>
      </c>
    </row>
    <row r="682" spans="1:20" ht="15" customHeight="1" thickBot="1">
      <c r="A682" s="806" t="s">
        <v>1443</v>
      </c>
      <c r="B682" s="807" t="s">
        <v>1444</v>
      </c>
      <c r="C682" s="808">
        <v>338.45</v>
      </c>
      <c r="D682" s="809" t="s">
        <v>1801</v>
      </c>
      <c r="E682" s="810">
        <v>5.4373999999999998E-6</v>
      </c>
      <c r="F682" s="810">
        <v>1.3300000000000001E-7</v>
      </c>
      <c r="G682" s="811" t="s">
        <v>414</v>
      </c>
      <c r="H682" s="839" t="s">
        <v>1750</v>
      </c>
      <c r="I682" s="840" t="s">
        <v>43</v>
      </c>
      <c r="J682" s="814">
        <v>3.9122299999999999E-2</v>
      </c>
      <c r="K682" s="814">
        <v>4.5711000000000002E-6</v>
      </c>
      <c r="L682" s="815" t="s">
        <v>2367</v>
      </c>
      <c r="M682" s="816">
        <v>311400</v>
      </c>
      <c r="N682" s="816" t="s">
        <v>414</v>
      </c>
      <c r="O682" s="817">
        <v>3.7900000000000003E-2</v>
      </c>
      <c r="P682" s="818" t="s">
        <v>1801</v>
      </c>
      <c r="Q682" s="819">
        <v>0.23799999999999999</v>
      </c>
      <c r="R682" s="820" t="s">
        <v>414</v>
      </c>
      <c r="S682" s="521">
        <v>3.0699999999999998E-3</v>
      </c>
      <c r="T682" s="522" t="s">
        <v>414</v>
      </c>
    </row>
    <row r="683" spans="1:20" ht="15" customHeight="1">
      <c r="A683" s="791" t="s">
        <v>1445</v>
      </c>
      <c r="B683" s="792" t="s">
        <v>1446</v>
      </c>
      <c r="C683" s="793">
        <v>321.55</v>
      </c>
      <c r="D683" s="794" t="s">
        <v>1801</v>
      </c>
      <c r="E683" s="795">
        <v>1.3083000000000001E-3</v>
      </c>
      <c r="F683" s="795">
        <v>3.1999999999999999E-5</v>
      </c>
      <c r="G683" s="796" t="s">
        <v>414</v>
      </c>
      <c r="H683" s="797">
        <v>1.44</v>
      </c>
      <c r="I683" s="798" t="s">
        <v>1796</v>
      </c>
      <c r="J683" s="799">
        <v>2.31577E-2</v>
      </c>
      <c r="K683" s="799">
        <v>5.9147999999999997E-6</v>
      </c>
      <c r="L683" s="800" t="s">
        <v>2367</v>
      </c>
      <c r="M683" s="801">
        <v>4457</v>
      </c>
      <c r="N683" s="801" t="s">
        <v>414</v>
      </c>
      <c r="O683" s="802">
        <v>1</v>
      </c>
      <c r="P683" s="803" t="s">
        <v>1801</v>
      </c>
      <c r="Q683" s="804">
        <v>4.2999999999999997E-2</v>
      </c>
      <c r="R683" s="805" t="s">
        <v>414</v>
      </c>
      <c r="S683" s="527">
        <v>1E-3</v>
      </c>
      <c r="T683" s="528" t="s">
        <v>1797</v>
      </c>
    </row>
    <row r="684" spans="1:20" ht="15" customHeight="1">
      <c r="A684" s="791" t="s">
        <v>1447</v>
      </c>
      <c r="B684" s="792" t="s">
        <v>1448</v>
      </c>
      <c r="C684" s="793">
        <v>394.43</v>
      </c>
      <c r="D684" s="794" t="s">
        <v>1801</v>
      </c>
      <c r="E684" s="795">
        <v>4.5789999999999998E-12</v>
      </c>
      <c r="F684" s="795">
        <v>1.12E-13</v>
      </c>
      <c r="G684" s="796" t="s">
        <v>1801</v>
      </c>
      <c r="H684" s="821" t="s">
        <v>1750</v>
      </c>
      <c r="I684" s="822" t="s">
        <v>43</v>
      </c>
      <c r="J684" s="799">
        <v>3.5326999999999997E-2</v>
      </c>
      <c r="K684" s="799">
        <v>4.1277000000000003E-6</v>
      </c>
      <c r="L684" s="800" t="s">
        <v>2367</v>
      </c>
      <c r="M684" s="801">
        <v>261100</v>
      </c>
      <c r="N684" s="801" t="s">
        <v>414</v>
      </c>
      <c r="O684" s="802">
        <v>0.2</v>
      </c>
      <c r="P684" s="803" t="s">
        <v>1801</v>
      </c>
      <c r="Q684" s="804">
        <v>5.0899999999999999E-3</v>
      </c>
      <c r="R684" s="805" t="s">
        <v>414</v>
      </c>
      <c r="S684" s="527">
        <v>3.9899999999999999E-4</v>
      </c>
      <c r="T684" s="528" t="s">
        <v>414</v>
      </c>
    </row>
    <row r="685" spans="1:20" ht="15" customHeight="1" thickBot="1">
      <c r="A685" s="806" t="s">
        <v>1449</v>
      </c>
      <c r="B685" s="807" t="s">
        <v>1450</v>
      </c>
      <c r="C685" s="808">
        <v>162.19</v>
      </c>
      <c r="D685" s="809" t="s">
        <v>1801</v>
      </c>
      <c r="E685" s="810">
        <v>3.7080000000000001E-4</v>
      </c>
      <c r="F685" s="810">
        <v>9.0699999999999996E-6</v>
      </c>
      <c r="G685" s="811" t="s">
        <v>1801</v>
      </c>
      <c r="H685" s="812">
        <v>1.1000000000000001</v>
      </c>
      <c r="I685" s="813" t="s">
        <v>1796</v>
      </c>
      <c r="J685" s="814">
        <v>4.4227200000000001E-2</v>
      </c>
      <c r="K685" s="814">
        <v>7.5874000000000004E-6</v>
      </c>
      <c r="L685" s="815" t="s">
        <v>2367</v>
      </c>
      <c r="M685" s="816">
        <v>207.2</v>
      </c>
      <c r="N685" s="816" t="s">
        <v>414</v>
      </c>
      <c r="O685" s="817">
        <v>121</v>
      </c>
      <c r="P685" s="818" t="s">
        <v>1801</v>
      </c>
      <c r="Q685" s="819">
        <v>1.1285E-2</v>
      </c>
      <c r="R685" s="820" t="s">
        <v>1797</v>
      </c>
      <c r="S685" s="521">
        <v>3.7199999999999997E-2</v>
      </c>
      <c r="T685" s="522" t="s">
        <v>414</v>
      </c>
    </row>
    <row r="686" spans="1:20" ht="15" customHeight="1">
      <c r="A686" s="791" t="s">
        <v>1452</v>
      </c>
      <c r="B686" s="792" t="s">
        <v>1453</v>
      </c>
      <c r="C686" s="793">
        <v>128.97</v>
      </c>
      <c r="D686" s="794" t="s">
        <v>1801</v>
      </c>
      <c r="E686" s="831" t="s">
        <v>1750</v>
      </c>
      <c r="F686" s="831" t="s">
        <v>1750</v>
      </c>
      <c r="G686" s="832" t="s">
        <v>43</v>
      </c>
      <c r="H686" s="797">
        <v>3</v>
      </c>
      <c r="I686" s="798" t="s">
        <v>1796</v>
      </c>
      <c r="J686" s="833" t="s">
        <v>1750</v>
      </c>
      <c r="K686" s="833" t="s">
        <v>1750</v>
      </c>
      <c r="L686" s="834" t="s">
        <v>43</v>
      </c>
      <c r="M686" s="835" t="s">
        <v>1750</v>
      </c>
      <c r="N686" s="836" t="s">
        <v>43</v>
      </c>
      <c r="O686" s="802">
        <v>900000</v>
      </c>
      <c r="P686" s="803" t="s">
        <v>1802</v>
      </c>
      <c r="Q686" s="804">
        <v>1E-3</v>
      </c>
      <c r="R686" s="805" t="s">
        <v>1797</v>
      </c>
      <c r="S686" s="527">
        <v>1.02E-4</v>
      </c>
      <c r="T686" s="528" t="s">
        <v>414</v>
      </c>
    </row>
    <row r="687" spans="1:20" ht="15" customHeight="1">
      <c r="A687" s="791" t="s">
        <v>1454</v>
      </c>
      <c r="B687" s="792" t="s">
        <v>1455</v>
      </c>
      <c r="C687" s="793">
        <v>78.959999999999994</v>
      </c>
      <c r="D687" s="794" t="s">
        <v>1801</v>
      </c>
      <c r="E687" s="831" t="s">
        <v>1750</v>
      </c>
      <c r="F687" s="831" t="s">
        <v>1750</v>
      </c>
      <c r="G687" s="832" t="s">
        <v>43</v>
      </c>
      <c r="H687" s="797">
        <v>4.8090000000000002</v>
      </c>
      <c r="I687" s="798" t="s">
        <v>1796</v>
      </c>
      <c r="J687" s="833" t="s">
        <v>1750</v>
      </c>
      <c r="K687" s="833" t="s">
        <v>1750</v>
      </c>
      <c r="L687" s="834" t="s">
        <v>43</v>
      </c>
      <c r="M687" s="835" t="s">
        <v>1750</v>
      </c>
      <c r="N687" s="836" t="s">
        <v>43</v>
      </c>
      <c r="O687" s="837" t="s">
        <v>1750</v>
      </c>
      <c r="P687" s="838" t="s">
        <v>43</v>
      </c>
      <c r="Q687" s="804">
        <v>1E-3</v>
      </c>
      <c r="R687" s="805" t="s">
        <v>1797</v>
      </c>
      <c r="S687" s="527">
        <v>1.49E-2</v>
      </c>
      <c r="T687" s="528" t="s">
        <v>414</v>
      </c>
    </row>
    <row r="688" spans="1:20" ht="15" customHeight="1" thickBot="1">
      <c r="A688" s="806" t="s">
        <v>1456</v>
      </c>
      <c r="B688" s="807" t="s">
        <v>1457</v>
      </c>
      <c r="C688" s="808">
        <v>111.02</v>
      </c>
      <c r="D688" s="809" t="s">
        <v>414</v>
      </c>
      <c r="E688" s="823" t="s">
        <v>1750</v>
      </c>
      <c r="F688" s="823" t="s">
        <v>1750</v>
      </c>
      <c r="G688" s="824" t="s">
        <v>43</v>
      </c>
      <c r="H688" s="839" t="s">
        <v>1750</v>
      </c>
      <c r="I688" s="840" t="s">
        <v>43</v>
      </c>
      <c r="J688" s="825" t="s">
        <v>1750</v>
      </c>
      <c r="K688" s="825" t="s">
        <v>1750</v>
      </c>
      <c r="L688" s="826" t="s">
        <v>43</v>
      </c>
      <c r="M688" s="827" t="s">
        <v>1750</v>
      </c>
      <c r="N688" s="828" t="s">
        <v>43</v>
      </c>
      <c r="O688" s="829" t="s">
        <v>1750</v>
      </c>
      <c r="P688" s="830" t="s">
        <v>43</v>
      </c>
      <c r="Q688" s="819">
        <v>1E-3</v>
      </c>
      <c r="R688" s="820" t="s">
        <v>1797</v>
      </c>
      <c r="S688" s="521">
        <v>1E-3</v>
      </c>
      <c r="T688" s="522" t="s">
        <v>1797</v>
      </c>
    </row>
    <row r="689" spans="1:20" ht="15" customHeight="1">
      <c r="A689" s="791" t="s">
        <v>1458</v>
      </c>
      <c r="B689" s="792" t="s">
        <v>1459</v>
      </c>
      <c r="C689" s="793">
        <v>327.49</v>
      </c>
      <c r="D689" s="794" t="s">
        <v>1801</v>
      </c>
      <c r="E689" s="795">
        <v>8.8309999999999998E-10</v>
      </c>
      <c r="F689" s="795">
        <v>2.1599999999999998E-11</v>
      </c>
      <c r="G689" s="796" t="s">
        <v>1801</v>
      </c>
      <c r="H689" s="797">
        <v>1.0429999999999999</v>
      </c>
      <c r="I689" s="798" t="s">
        <v>1796</v>
      </c>
      <c r="J689" s="799">
        <v>1.9632899999999998E-2</v>
      </c>
      <c r="K689" s="799">
        <v>4.8207999999999997E-6</v>
      </c>
      <c r="L689" s="800" t="s">
        <v>2367</v>
      </c>
      <c r="M689" s="801">
        <v>4374</v>
      </c>
      <c r="N689" s="801" t="s">
        <v>414</v>
      </c>
      <c r="O689" s="802">
        <v>25</v>
      </c>
      <c r="P689" s="803" t="s">
        <v>1801</v>
      </c>
      <c r="Q689" s="804">
        <v>1.8499999999999999E-2</v>
      </c>
      <c r="R689" s="805" t="s">
        <v>414</v>
      </c>
      <c r="S689" s="527">
        <v>3.3700000000000002E-3</v>
      </c>
      <c r="T689" s="528" t="s">
        <v>414</v>
      </c>
    </row>
    <row r="690" spans="1:20" ht="15" customHeight="1">
      <c r="A690" s="791" t="s">
        <v>1460</v>
      </c>
      <c r="B690" s="792" t="s">
        <v>1461</v>
      </c>
      <c r="C690" s="793">
        <v>60.08</v>
      </c>
      <c r="D690" s="794" t="s">
        <v>414</v>
      </c>
      <c r="E690" s="831" t="s">
        <v>1750</v>
      </c>
      <c r="F690" s="831" t="s">
        <v>1750</v>
      </c>
      <c r="G690" s="832" t="s">
        <v>43</v>
      </c>
      <c r="H690" s="797">
        <v>2.3199999999999998</v>
      </c>
      <c r="I690" s="798" t="s">
        <v>1802</v>
      </c>
      <c r="J690" s="833" t="s">
        <v>1750</v>
      </c>
      <c r="K690" s="833" t="s">
        <v>1750</v>
      </c>
      <c r="L690" s="834" t="s">
        <v>43</v>
      </c>
      <c r="M690" s="835" t="s">
        <v>1750</v>
      </c>
      <c r="N690" s="836" t="s">
        <v>43</v>
      </c>
      <c r="O690" s="837" t="s">
        <v>1750</v>
      </c>
      <c r="P690" s="838" t="s">
        <v>43</v>
      </c>
      <c r="Q690" s="804">
        <v>1E-3</v>
      </c>
      <c r="R690" s="805" t="s">
        <v>1797</v>
      </c>
      <c r="S690" s="527">
        <v>1.12E-2</v>
      </c>
      <c r="T690" s="528" t="s">
        <v>414</v>
      </c>
    </row>
    <row r="691" spans="1:20" ht="15" customHeight="1" thickBot="1">
      <c r="A691" s="806" t="s">
        <v>1462</v>
      </c>
      <c r="B691" s="807" t="s">
        <v>1463</v>
      </c>
      <c r="C691" s="808">
        <v>107.87</v>
      </c>
      <c r="D691" s="809" t="s">
        <v>1801</v>
      </c>
      <c r="E691" s="823" t="s">
        <v>1750</v>
      </c>
      <c r="F691" s="823" t="s">
        <v>1750</v>
      </c>
      <c r="G691" s="824" t="s">
        <v>43</v>
      </c>
      <c r="H691" s="812">
        <v>10.5</v>
      </c>
      <c r="I691" s="813" t="s">
        <v>1796</v>
      </c>
      <c r="J691" s="825" t="s">
        <v>1750</v>
      </c>
      <c r="K691" s="825" t="s">
        <v>1750</v>
      </c>
      <c r="L691" s="826" t="s">
        <v>43</v>
      </c>
      <c r="M691" s="827" t="s">
        <v>1750</v>
      </c>
      <c r="N691" s="828" t="s">
        <v>43</v>
      </c>
      <c r="O691" s="829" t="s">
        <v>1750</v>
      </c>
      <c r="P691" s="830" t="s">
        <v>43</v>
      </c>
      <c r="Q691" s="819">
        <v>5.9999999999999995E-4</v>
      </c>
      <c r="R691" s="820" t="s">
        <v>1797</v>
      </c>
      <c r="S691" s="521">
        <v>1.2700000000000001E-3</v>
      </c>
      <c r="T691" s="522" t="s">
        <v>414</v>
      </c>
    </row>
    <row r="692" spans="1:20" ht="15" customHeight="1">
      <c r="A692" s="791" t="s">
        <v>1464</v>
      </c>
      <c r="B692" s="792" t="s">
        <v>1465</v>
      </c>
      <c r="C692" s="793">
        <v>201.66</v>
      </c>
      <c r="D692" s="794" t="s">
        <v>1801</v>
      </c>
      <c r="E692" s="795">
        <v>3.8512000000000001E-8</v>
      </c>
      <c r="F692" s="795">
        <v>9.4200000000000006E-10</v>
      </c>
      <c r="G692" s="796" t="s">
        <v>414</v>
      </c>
      <c r="H692" s="797">
        <v>1.302</v>
      </c>
      <c r="I692" s="798" t="s">
        <v>1796</v>
      </c>
      <c r="J692" s="799">
        <v>2.8139399999999998E-2</v>
      </c>
      <c r="K692" s="799">
        <v>7.3665999999999999E-6</v>
      </c>
      <c r="L692" s="800" t="s">
        <v>2367</v>
      </c>
      <c r="M692" s="801">
        <v>146.5</v>
      </c>
      <c r="N692" s="801" t="s">
        <v>414</v>
      </c>
      <c r="O692" s="802">
        <v>6.2</v>
      </c>
      <c r="P692" s="803" t="s">
        <v>1801</v>
      </c>
      <c r="Q692" s="804">
        <v>3.2499999999999999E-3</v>
      </c>
      <c r="R692" s="805" t="s">
        <v>414</v>
      </c>
      <c r="S692" s="527">
        <v>3.4500000000000003E-2</v>
      </c>
      <c r="T692" s="528" t="s">
        <v>414</v>
      </c>
    </row>
    <row r="693" spans="1:20" ht="15" customHeight="1">
      <c r="A693" s="791" t="s">
        <v>1466</v>
      </c>
      <c r="B693" s="792" t="s">
        <v>1467</v>
      </c>
      <c r="C693" s="793">
        <v>383.65</v>
      </c>
      <c r="D693" s="794" t="s">
        <v>1801</v>
      </c>
      <c r="E693" s="795">
        <v>2.4734000000000002E-9</v>
      </c>
      <c r="F693" s="795">
        <v>6.0499999999999998E-11</v>
      </c>
      <c r="G693" s="796" t="s">
        <v>1801</v>
      </c>
      <c r="H693" s="821" t="s">
        <v>1750</v>
      </c>
      <c r="I693" s="822" t="s">
        <v>43</v>
      </c>
      <c r="J693" s="799">
        <v>3.5985700000000002E-2</v>
      </c>
      <c r="K693" s="799">
        <v>4.2046000000000004E-6</v>
      </c>
      <c r="L693" s="800" t="s">
        <v>2367</v>
      </c>
      <c r="M693" s="801">
        <v>3880</v>
      </c>
      <c r="N693" s="801" t="s">
        <v>414</v>
      </c>
      <c r="O693" s="802">
        <v>250000</v>
      </c>
      <c r="P693" s="803" t="s">
        <v>1801</v>
      </c>
      <c r="Q693" s="804">
        <v>1.95E-5</v>
      </c>
      <c r="R693" s="805" t="s">
        <v>414</v>
      </c>
      <c r="S693" s="527">
        <v>1.72E-3</v>
      </c>
      <c r="T693" s="528" t="s">
        <v>414</v>
      </c>
    </row>
    <row r="694" spans="1:20" ht="15" customHeight="1" thickBot="1">
      <c r="A694" s="806" t="s">
        <v>1468</v>
      </c>
      <c r="B694" s="807" t="s">
        <v>1469</v>
      </c>
      <c r="C694" s="808">
        <v>65.010000000000005</v>
      </c>
      <c r="D694" s="809" t="s">
        <v>414</v>
      </c>
      <c r="E694" s="823" t="s">
        <v>1750</v>
      </c>
      <c r="F694" s="823" t="s">
        <v>1750</v>
      </c>
      <c r="G694" s="824" t="s">
        <v>43</v>
      </c>
      <c r="H694" s="812">
        <v>1.8460000000000001</v>
      </c>
      <c r="I694" s="813" t="s">
        <v>1796</v>
      </c>
      <c r="J694" s="825" t="s">
        <v>1750</v>
      </c>
      <c r="K694" s="825" t="s">
        <v>1750</v>
      </c>
      <c r="L694" s="826" t="s">
        <v>43</v>
      </c>
      <c r="M694" s="827" t="s">
        <v>1750</v>
      </c>
      <c r="N694" s="828" t="s">
        <v>43</v>
      </c>
      <c r="O694" s="817">
        <v>408000</v>
      </c>
      <c r="P694" s="818" t="s">
        <v>1796</v>
      </c>
      <c r="Q694" s="819">
        <v>1E-3</v>
      </c>
      <c r="R694" s="820" t="s">
        <v>1797</v>
      </c>
      <c r="S694" s="521">
        <v>3.5799999999999998E-2</v>
      </c>
      <c r="T694" s="522" t="s">
        <v>414</v>
      </c>
    </row>
    <row r="695" spans="1:20" ht="15" customHeight="1">
      <c r="A695" s="791" t="s">
        <v>2249</v>
      </c>
      <c r="B695" s="792" t="s">
        <v>2250</v>
      </c>
      <c r="C695" s="793">
        <v>261.96800000000002</v>
      </c>
      <c r="D695" s="794" t="s">
        <v>1796</v>
      </c>
      <c r="E695" s="831" t="s">
        <v>1750</v>
      </c>
      <c r="F695" s="831" t="s">
        <v>1750</v>
      </c>
      <c r="G695" s="832" t="s">
        <v>43</v>
      </c>
      <c r="H695" s="821" t="s">
        <v>1750</v>
      </c>
      <c r="I695" s="822" t="s">
        <v>43</v>
      </c>
      <c r="J695" s="833" t="s">
        <v>1750</v>
      </c>
      <c r="K695" s="833" t="s">
        <v>1750</v>
      </c>
      <c r="L695" s="834" t="s">
        <v>43</v>
      </c>
      <c r="M695" s="835" t="s">
        <v>1750</v>
      </c>
      <c r="N695" s="836" t="s">
        <v>43</v>
      </c>
      <c r="O695" s="802">
        <v>1870000</v>
      </c>
      <c r="P695" s="803" t="s">
        <v>1796</v>
      </c>
      <c r="Q695" s="804">
        <v>1E-3</v>
      </c>
      <c r="R695" s="805" t="s">
        <v>1797</v>
      </c>
      <c r="S695" s="527">
        <v>2.12E-2</v>
      </c>
      <c r="T695" s="528" t="s">
        <v>414</v>
      </c>
    </row>
    <row r="696" spans="1:20" ht="15" customHeight="1">
      <c r="A696" s="791" t="s">
        <v>1470</v>
      </c>
      <c r="B696" s="792" t="s">
        <v>1471</v>
      </c>
      <c r="C696" s="793">
        <v>172.27</v>
      </c>
      <c r="D696" s="794" t="s">
        <v>1801</v>
      </c>
      <c r="E696" s="831" t="s">
        <v>1750</v>
      </c>
      <c r="F696" s="831" t="s">
        <v>1750</v>
      </c>
      <c r="G696" s="832" t="s">
        <v>43</v>
      </c>
      <c r="H696" s="821" t="s">
        <v>1750</v>
      </c>
      <c r="I696" s="822" t="s">
        <v>43</v>
      </c>
      <c r="J696" s="799">
        <v>6.1368699999999998E-2</v>
      </c>
      <c r="K696" s="799">
        <v>7.1705000000000002E-6</v>
      </c>
      <c r="L696" s="800" t="s">
        <v>2367</v>
      </c>
      <c r="M696" s="801">
        <v>204.5</v>
      </c>
      <c r="N696" s="801" t="s">
        <v>414</v>
      </c>
      <c r="O696" s="802">
        <v>364100</v>
      </c>
      <c r="P696" s="803" t="s">
        <v>1801</v>
      </c>
      <c r="Q696" s="804">
        <v>1.9199999999999999E-5</v>
      </c>
      <c r="R696" s="805" t="s">
        <v>414</v>
      </c>
      <c r="S696" s="527">
        <v>9.2899999999999996E-2</v>
      </c>
      <c r="T696" s="528" t="s">
        <v>414</v>
      </c>
    </row>
    <row r="697" spans="1:20" ht="15" customHeight="1" thickBot="1">
      <c r="A697" s="806" t="s">
        <v>1472</v>
      </c>
      <c r="B697" s="807" t="s">
        <v>1473</v>
      </c>
      <c r="C697" s="808">
        <v>41.988</v>
      </c>
      <c r="D697" s="809" t="s">
        <v>1801</v>
      </c>
      <c r="E697" s="823" t="s">
        <v>1750</v>
      </c>
      <c r="F697" s="823" t="s">
        <v>1750</v>
      </c>
      <c r="G697" s="824" t="s">
        <v>43</v>
      </c>
      <c r="H697" s="812">
        <v>2.78</v>
      </c>
      <c r="I697" s="813" t="s">
        <v>1796</v>
      </c>
      <c r="J697" s="825" t="s">
        <v>1750</v>
      </c>
      <c r="K697" s="825" t="s">
        <v>1750</v>
      </c>
      <c r="L697" s="826" t="s">
        <v>43</v>
      </c>
      <c r="M697" s="827" t="s">
        <v>1750</v>
      </c>
      <c r="N697" s="828" t="s">
        <v>43</v>
      </c>
      <c r="O697" s="817">
        <v>42200</v>
      </c>
      <c r="P697" s="818" t="s">
        <v>1801</v>
      </c>
      <c r="Q697" s="819">
        <v>1E-3</v>
      </c>
      <c r="R697" s="820" t="s">
        <v>1797</v>
      </c>
      <c r="S697" s="521">
        <v>0.11700000000000001</v>
      </c>
      <c r="T697" s="522" t="s">
        <v>414</v>
      </c>
    </row>
    <row r="698" spans="1:20" ht="15" customHeight="1">
      <c r="A698" s="791" t="s">
        <v>1474</v>
      </c>
      <c r="B698" s="792" t="s">
        <v>1475</v>
      </c>
      <c r="C698" s="793">
        <v>100.03</v>
      </c>
      <c r="D698" s="794" t="s">
        <v>1801</v>
      </c>
      <c r="E698" s="795">
        <v>4.46E-5</v>
      </c>
      <c r="F698" s="795">
        <v>1.0899999999999999E-6</v>
      </c>
      <c r="G698" s="796" t="s">
        <v>1801</v>
      </c>
      <c r="H698" s="821" t="s">
        <v>1750</v>
      </c>
      <c r="I698" s="822" t="s">
        <v>43</v>
      </c>
      <c r="J698" s="799">
        <v>8.8172600000000004E-2</v>
      </c>
      <c r="K698" s="799">
        <v>1.03E-5</v>
      </c>
      <c r="L698" s="800" t="s">
        <v>2367</v>
      </c>
      <c r="M698" s="801">
        <v>1.44</v>
      </c>
      <c r="N698" s="801" t="s">
        <v>414</v>
      </c>
      <c r="O698" s="802">
        <v>1110000</v>
      </c>
      <c r="P698" s="803" t="s">
        <v>1801</v>
      </c>
      <c r="Q698" s="804">
        <v>1.3200000000000001E-6</v>
      </c>
      <c r="R698" s="805" t="s">
        <v>414</v>
      </c>
      <c r="S698" s="527">
        <v>1.5900000000000001E-2</v>
      </c>
      <c r="T698" s="528" t="s">
        <v>414</v>
      </c>
    </row>
    <row r="699" spans="1:20" ht="15" customHeight="1">
      <c r="A699" s="791" t="s">
        <v>1476</v>
      </c>
      <c r="B699" s="792" t="s">
        <v>1477</v>
      </c>
      <c r="C699" s="793">
        <v>121.93</v>
      </c>
      <c r="D699" s="794" t="s">
        <v>1796</v>
      </c>
      <c r="E699" s="831" t="s">
        <v>1750</v>
      </c>
      <c r="F699" s="831" t="s">
        <v>1750</v>
      </c>
      <c r="G699" s="832" t="s">
        <v>43</v>
      </c>
      <c r="H699" s="821" t="s">
        <v>1750</v>
      </c>
      <c r="I699" s="822" t="s">
        <v>43</v>
      </c>
      <c r="J699" s="833" t="s">
        <v>1750</v>
      </c>
      <c r="K699" s="833" t="s">
        <v>1750</v>
      </c>
      <c r="L699" s="834" t="s">
        <v>43</v>
      </c>
      <c r="M699" s="835" t="s">
        <v>1750</v>
      </c>
      <c r="N699" s="836" t="s">
        <v>43</v>
      </c>
      <c r="O699" s="802">
        <v>210000</v>
      </c>
      <c r="P699" s="803" t="s">
        <v>1796</v>
      </c>
      <c r="Q699" s="804">
        <v>1E-3</v>
      </c>
      <c r="R699" s="805" t="s">
        <v>1797</v>
      </c>
      <c r="S699" s="527">
        <v>6.94E-3</v>
      </c>
      <c r="T699" s="528" t="s">
        <v>414</v>
      </c>
    </row>
    <row r="700" spans="1:20" ht="15" customHeight="1" thickBot="1">
      <c r="A700" s="806" t="s">
        <v>2251</v>
      </c>
      <c r="B700" s="807" t="s">
        <v>2252</v>
      </c>
      <c r="C700" s="808">
        <v>293.82</v>
      </c>
      <c r="D700" s="809" t="s">
        <v>1796</v>
      </c>
      <c r="E700" s="823" t="s">
        <v>1750</v>
      </c>
      <c r="F700" s="823" t="s">
        <v>1750</v>
      </c>
      <c r="G700" s="824" t="s">
        <v>43</v>
      </c>
      <c r="H700" s="812">
        <v>4.18</v>
      </c>
      <c r="I700" s="813" t="s">
        <v>1796</v>
      </c>
      <c r="J700" s="825" t="s">
        <v>1750</v>
      </c>
      <c r="K700" s="825" t="s">
        <v>1750</v>
      </c>
      <c r="L700" s="826" t="s">
        <v>43</v>
      </c>
      <c r="M700" s="827" t="s">
        <v>1750</v>
      </c>
      <c r="N700" s="828" t="s">
        <v>43</v>
      </c>
      <c r="O700" s="817">
        <v>742000</v>
      </c>
      <c r="P700" s="818" t="s">
        <v>1796</v>
      </c>
      <c r="Q700" s="819">
        <v>1E-3</v>
      </c>
      <c r="R700" s="820" t="s">
        <v>1797</v>
      </c>
      <c r="S700" s="521">
        <v>3.3399999999999999E-2</v>
      </c>
      <c r="T700" s="522" t="s">
        <v>414</v>
      </c>
    </row>
    <row r="701" spans="1:20" ht="15" customHeight="1">
      <c r="A701" s="791" t="s">
        <v>2253</v>
      </c>
      <c r="B701" s="792" t="s">
        <v>2254</v>
      </c>
      <c r="C701" s="793">
        <v>329.85</v>
      </c>
      <c r="D701" s="794" t="s">
        <v>1796</v>
      </c>
      <c r="E701" s="831" t="s">
        <v>1750</v>
      </c>
      <c r="F701" s="831" t="s">
        <v>1750</v>
      </c>
      <c r="G701" s="832" t="s">
        <v>43</v>
      </c>
      <c r="H701" s="797">
        <v>3.25</v>
      </c>
      <c r="I701" s="798" t="s">
        <v>1796</v>
      </c>
      <c r="J701" s="833" t="s">
        <v>1750</v>
      </c>
      <c r="K701" s="833" t="s">
        <v>1750</v>
      </c>
      <c r="L701" s="834" t="s">
        <v>43</v>
      </c>
      <c r="M701" s="835" t="s">
        <v>1750</v>
      </c>
      <c r="N701" s="836" t="s">
        <v>43</v>
      </c>
      <c r="O701" s="802">
        <v>742000</v>
      </c>
      <c r="P701" s="803" t="s">
        <v>1796</v>
      </c>
      <c r="Q701" s="804">
        <v>1E-3</v>
      </c>
      <c r="R701" s="805" t="s">
        <v>1797</v>
      </c>
      <c r="S701" s="527">
        <v>7.0999999999999994E-2</v>
      </c>
      <c r="T701" s="528" t="s">
        <v>414</v>
      </c>
    </row>
    <row r="702" spans="1:20" ht="15" customHeight="1">
      <c r="A702" s="791" t="s">
        <v>1479</v>
      </c>
      <c r="B702" s="792" t="s">
        <v>1480</v>
      </c>
      <c r="C702" s="793">
        <v>365.97</v>
      </c>
      <c r="D702" s="794" t="s">
        <v>1801</v>
      </c>
      <c r="E702" s="795">
        <v>7.5225E-8</v>
      </c>
      <c r="F702" s="795">
        <v>1.8400000000000001E-9</v>
      </c>
      <c r="G702" s="796" t="s">
        <v>414</v>
      </c>
      <c r="H702" s="821" t="s">
        <v>1750</v>
      </c>
      <c r="I702" s="822" t="s">
        <v>43</v>
      </c>
      <c r="J702" s="799">
        <v>3.7135599999999998E-2</v>
      </c>
      <c r="K702" s="799">
        <v>4.3390000000000003E-6</v>
      </c>
      <c r="L702" s="800" t="s">
        <v>2367</v>
      </c>
      <c r="M702" s="801">
        <v>1375</v>
      </c>
      <c r="N702" s="801" t="s">
        <v>414</v>
      </c>
      <c r="O702" s="802">
        <v>11</v>
      </c>
      <c r="P702" s="803" t="s">
        <v>1801</v>
      </c>
      <c r="Q702" s="804">
        <v>3.0699999999999998E-3</v>
      </c>
      <c r="R702" s="805" t="s">
        <v>414</v>
      </c>
      <c r="S702" s="527">
        <v>8.3599999999999994E-2</v>
      </c>
      <c r="T702" s="528" t="s">
        <v>414</v>
      </c>
    </row>
    <row r="703" spans="1:20" ht="15" customHeight="1" thickBot="1">
      <c r="A703" s="806" t="s">
        <v>2255</v>
      </c>
      <c r="B703" s="807" t="s">
        <v>2256</v>
      </c>
      <c r="C703" s="808">
        <v>203.61</v>
      </c>
      <c r="D703" s="809" t="s">
        <v>1796</v>
      </c>
      <c r="E703" s="823" t="s">
        <v>1750</v>
      </c>
      <c r="F703" s="823" t="s">
        <v>1750</v>
      </c>
      <c r="G703" s="824" t="s">
        <v>43</v>
      </c>
      <c r="H703" s="812">
        <v>3.9</v>
      </c>
      <c r="I703" s="813" t="s">
        <v>1796</v>
      </c>
      <c r="J703" s="825" t="s">
        <v>1750</v>
      </c>
      <c r="K703" s="825" t="s">
        <v>1750</v>
      </c>
      <c r="L703" s="826" t="s">
        <v>43</v>
      </c>
      <c r="M703" s="827" t="s">
        <v>1750</v>
      </c>
      <c r="N703" s="828" t="s">
        <v>43</v>
      </c>
      <c r="O703" s="817">
        <v>1060</v>
      </c>
      <c r="P703" s="818" t="s">
        <v>1796</v>
      </c>
      <c r="Q703" s="819">
        <v>1E-3</v>
      </c>
      <c r="R703" s="820" t="s">
        <v>1797</v>
      </c>
      <c r="S703" s="521">
        <v>1.09E-2</v>
      </c>
      <c r="T703" s="522" t="s">
        <v>414</v>
      </c>
    </row>
    <row r="704" spans="1:20" ht="15" customHeight="1">
      <c r="A704" s="791" t="s">
        <v>1481</v>
      </c>
      <c r="B704" s="792" t="s">
        <v>1482</v>
      </c>
      <c r="C704" s="793">
        <v>87.62</v>
      </c>
      <c r="D704" s="794" t="s">
        <v>1801</v>
      </c>
      <c r="E704" s="831" t="s">
        <v>1750</v>
      </c>
      <c r="F704" s="831" t="s">
        <v>1750</v>
      </c>
      <c r="G704" s="832" t="s">
        <v>43</v>
      </c>
      <c r="H704" s="797">
        <v>2.64</v>
      </c>
      <c r="I704" s="798" t="s">
        <v>1796</v>
      </c>
      <c r="J704" s="833" t="s">
        <v>1750</v>
      </c>
      <c r="K704" s="833" t="s">
        <v>1750</v>
      </c>
      <c r="L704" s="834" t="s">
        <v>43</v>
      </c>
      <c r="M704" s="835" t="s">
        <v>1750</v>
      </c>
      <c r="N704" s="836" t="s">
        <v>43</v>
      </c>
      <c r="O704" s="837" t="s">
        <v>1750</v>
      </c>
      <c r="P704" s="838" t="s">
        <v>43</v>
      </c>
      <c r="Q704" s="804">
        <v>1E-3</v>
      </c>
      <c r="R704" s="805" t="s">
        <v>1797</v>
      </c>
      <c r="S704" s="527">
        <v>5.4799999999999996E-3</v>
      </c>
      <c r="T704" s="528" t="s">
        <v>414</v>
      </c>
    </row>
    <row r="705" spans="1:20" ht="15" customHeight="1">
      <c r="A705" s="791" t="s">
        <v>1483</v>
      </c>
      <c r="B705" s="792" t="s">
        <v>1484</v>
      </c>
      <c r="C705" s="793">
        <v>334.42</v>
      </c>
      <c r="D705" s="794" t="s">
        <v>1801</v>
      </c>
      <c r="E705" s="795">
        <v>3.0910000000000001E-12</v>
      </c>
      <c r="F705" s="795">
        <v>7.5600000000000001E-14</v>
      </c>
      <c r="G705" s="796" t="s">
        <v>1801</v>
      </c>
      <c r="H705" s="797">
        <v>1.36</v>
      </c>
      <c r="I705" s="798" t="s">
        <v>1796</v>
      </c>
      <c r="J705" s="799">
        <v>2.2081699999999999E-2</v>
      </c>
      <c r="K705" s="799">
        <v>5.5824000000000001E-6</v>
      </c>
      <c r="L705" s="800" t="s">
        <v>2367</v>
      </c>
      <c r="M705" s="801">
        <v>5403</v>
      </c>
      <c r="N705" s="801" t="s">
        <v>414</v>
      </c>
      <c r="O705" s="802">
        <v>160</v>
      </c>
      <c r="P705" s="803" t="s">
        <v>1801</v>
      </c>
      <c r="Q705" s="804">
        <v>3.9899999999999999E-4</v>
      </c>
      <c r="R705" s="805" t="s">
        <v>414</v>
      </c>
      <c r="S705" s="527">
        <v>4.7399999999999997E-4</v>
      </c>
      <c r="T705" s="528" t="s">
        <v>414</v>
      </c>
    </row>
    <row r="706" spans="1:20" ht="15" customHeight="1" thickBot="1">
      <c r="A706" s="806" t="s">
        <v>85</v>
      </c>
      <c r="B706" s="807" t="s">
        <v>1485</v>
      </c>
      <c r="C706" s="808">
        <v>104.15</v>
      </c>
      <c r="D706" s="809" t="s">
        <v>1801</v>
      </c>
      <c r="E706" s="810">
        <v>0.1124285</v>
      </c>
      <c r="F706" s="810">
        <v>2.7499999999999998E-3</v>
      </c>
      <c r="G706" s="811" t="s">
        <v>1801</v>
      </c>
      <c r="H706" s="812">
        <v>0.90159999999999996</v>
      </c>
      <c r="I706" s="813" t="s">
        <v>1796</v>
      </c>
      <c r="J706" s="814">
        <v>7.1113999999999997E-2</v>
      </c>
      <c r="K706" s="814">
        <v>8.7838000000000005E-6</v>
      </c>
      <c r="L706" s="815" t="s">
        <v>2367</v>
      </c>
      <c r="M706" s="816">
        <v>446.1</v>
      </c>
      <c r="N706" s="816" t="s">
        <v>414</v>
      </c>
      <c r="O706" s="817">
        <v>310</v>
      </c>
      <c r="P706" s="818" t="s">
        <v>1801</v>
      </c>
      <c r="Q706" s="819">
        <v>3.7199999999999997E-2</v>
      </c>
      <c r="R706" s="820" t="s">
        <v>414</v>
      </c>
      <c r="S706" s="521">
        <v>1E-3</v>
      </c>
      <c r="T706" s="522" t="s">
        <v>1797</v>
      </c>
    </row>
    <row r="707" spans="1:20" ht="15" customHeight="1">
      <c r="A707" s="791" t="s">
        <v>2257</v>
      </c>
      <c r="B707" s="792" t="s">
        <v>43</v>
      </c>
      <c r="C707" s="793">
        <v>210</v>
      </c>
      <c r="D707" s="794" t="s">
        <v>2058</v>
      </c>
      <c r="E707" s="831" t="s">
        <v>1750</v>
      </c>
      <c r="F707" s="831" t="s">
        <v>1750</v>
      </c>
      <c r="G707" s="832" t="s">
        <v>43</v>
      </c>
      <c r="H707" s="797">
        <v>1.103</v>
      </c>
      <c r="I707" s="798" t="s">
        <v>2058</v>
      </c>
      <c r="J707" s="799">
        <v>2.55131E-2</v>
      </c>
      <c r="K707" s="799">
        <v>6.5085999999999998E-6</v>
      </c>
      <c r="L707" s="800" t="s">
        <v>2367</v>
      </c>
      <c r="M707" s="835" t="s">
        <v>1750</v>
      </c>
      <c r="N707" s="836" t="s">
        <v>43</v>
      </c>
      <c r="O707" s="802">
        <v>84.9</v>
      </c>
      <c r="P707" s="803" t="s">
        <v>2058</v>
      </c>
      <c r="Q707" s="804">
        <v>1.1931000000000001E-2</v>
      </c>
      <c r="R707" s="805" t="s">
        <v>1797</v>
      </c>
      <c r="S707" s="527">
        <v>1E-3</v>
      </c>
      <c r="T707" s="528" t="s">
        <v>1797</v>
      </c>
    </row>
    <row r="708" spans="1:20" ht="15" customHeight="1">
      <c r="A708" s="791" t="s">
        <v>1908</v>
      </c>
      <c r="B708" s="792" t="s">
        <v>1909</v>
      </c>
      <c r="C708" s="793">
        <v>120.17</v>
      </c>
      <c r="D708" s="794" t="s">
        <v>1801</v>
      </c>
      <c r="E708" s="795">
        <v>1.983E-4</v>
      </c>
      <c r="F708" s="795">
        <v>4.8500000000000002E-6</v>
      </c>
      <c r="G708" s="796" t="s">
        <v>1801</v>
      </c>
      <c r="H708" s="797">
        <v>1.2723</v>
      </c>
      <c r="I708" s="798" t="s">
        <v>1796</v>
      </c>
      <c r="J708" s="799">
        <v>7.1599800000000005E-2</v>
      </c>
      <c r="K708" s="799">
        <v>9.9117000000000003E-6</v>
      </c>
      <c r="L708" s="800" t="s">
        <v>2367</v>
      </c>
      <c r="M708" s="801">
        <v>9.0790000000000006</v>
      </c>
      <c r="N708" s="801" t="s">
        <v>414</v>
      </c>
      <c r="O708" s="802">
        <v>1000000</v>
      </c>
      <c r="P708" s="803" t="s">
        <v>1801</v>
      </c>
      <c r="Q708" s="804">
        <v>1.02E-4</v>
      </c>
      <c r="R708" s="805" t="s">
        <v>414</v>
      </c>
      <c r="S708" s="527">
        <v>1E-3</v>
      </c>
      <c r="T708" s="528" t="s">
        <v>1797</v>
      </c>
    </row>
    <row r="709" spans="1:20" ht="15" customHeight="1" thickBot="1">
      <c r="A709" s="806" t="s">
        <v>1486</v>
      </c>
      <c r="B709" s="807" t="s">
        <v>1487</v>
      </c>
      <c r="C709" s="808">
        <v>287.17</v>
      </c>
      <c r="D709" s="809" t="s">
        <v>1801</v>
      </c>
      <c r="E709" s="810">
        <v>5.6010000000000002E-6</v>
      </c>
      <c r="F709" s="810">
        <v>1.37E-7</v>
      </c>
      <c r="G709" s="811" t="s">
        <v>1801</v>
      </c>
      <c r="H709" s="839" t="s">
        <v>1750</v>
      </c>
      <c r="I709" s="840" t="s">
        <v>43</v>
      </c>
      <c r="J709" s="814">
        <v>4.3651000000000002E-2</v>
      </c>
      <c r="K709" s="814">
        <v>5.1003000000000001E-6</v>
      </c>
      <c r="L709" s="815" t="s">
        <v>2367</v>
      </c>
      <c r="M709" s="816">
        <v>2855</v>
      </c>
      <c r="N709" s="816" t="s">
        <v>414</v>
      </c>
      <c r="O709" s="817">
        <v>2.391</v>
      </c>
      <c r="P709" s="818" t="s">
        <v>1801</v>
      </c>
      <c r="Q709" s="819">
        <v>1.49E-2</v>
      </c>
      <c r="R709" s="820" t="s">
        <v>414</v>
      </c>
      <c r="S709" s="521">
        <v>1E-3</v>
      </c>
      <c r="T709" s="522" t="s">
        <v>1797</v>
      </c>
    </row>
    <row r="710" spans="1:20" ht="15" customHeight="1">
      <c r="A710" s="791" t="s">
        <v>2162</v>
      </c>
      <c r="B710" s="792" t="s">
        <v>2166</v>
      </c>
      <c r="C710" s="793">
        <v>80.061999999999998</v>
      </c>
      <c r="D710" s="794" t="s">
        <v>1801</v>
      </c>
      <c r="E710" s="831" t="s">
        <v>1750</v>
      </c>
      <c r="F710" s="831" t="s">
        <v>1750</v>
      </c>
      <c r="G710" s="832" t="s">
        <v>43</v>
      </c>
      <c r="H710" s="797">
        <v>1.9</v>
      </c>
      <c r="I710" s="798" t="s">
        <v>1796</v>
      </c>
      <c r="J710" s="799">
        <v>0.12078220000000001</v>
      </c>
      <c r="K710" s="799">
        <v>1.6099999999999998E-5</v>
      </c>
      <c r="L710" s="800" t="s">
        <v>2367</v>
      </c>
      <c r="M710" s="835" t="s">
        <v>1750</v>
      </c>
      <c r="N710" s="836" t="s">
        <v>43</v>
      </c>
      <c r="O710" s="837" t="s">
        <v>1750</v>
      </c>
      <c r="P710" s="838" t="s">
        <v>43</v>
      </c>
      <c r="Q710" s="804">
        <v>1E-3</v>
      </c>
      <c r="R710" s="805" t="s">
        <v>1797</v>
      </c>
      <c r="S710" s="527">
        <v>1E-3</v>
      </c>
      <c r="T710" s="528" t="s">
        <v>1797</v>
      </c>
    </row>
    <row r="711" spans="1:20" ht="15" customHeight="1">
      <c r="A711" s="791" t="s">
        <v>1488</v>
      </c>
      <c r="B711" s="792" t="s">
        <v>1489</v>
      </c>
      <c r="C711" s="793">
        <v>98.078000000000003</v>
      </c>
      <c r="D711" s="794" t="s">
        <v>1801</v>
      </c>
      <c r="E711" s="831" t="s">
        <v>1750</v>
      </c>
      <c r="F711" s="831" t="s">
        <v>1750</v>
      </c>
      <c r="G711" s="832" t="s">
        <v>43</v>
      </c>
      <c r="H711" s="797">
        <v>1.8302</v>
      </c>
      <c r="I711" s="798" t="s">
        <v>1796</v>
      </c>
      <c r="J711" s="833" t="s">
        <v>1750</v>
      </c>
      <c r="K711" s="833" t="s">
        <v>1750</v>
      </c>
      <c r="L711" s="834" t="s">
        <v>43</v>
      </c>
      <c r="M711" s="835" t="s">
        <v>1750</v>
      </c>
      <c r="N711" s="836" t="s">
        <v>43</v>
      </c>
      <c r="O711" s="802">
        <v>1000000</v>
      </c>
      <c r="P711" s="803" t="s">
        <v>1801</v>
      </c>
      <c r="Q711" s="804">
        <v>1E-3</v>
      </c>
      <c r="R711" s="805" t="s">
        <v>1797</v>
      </c>
      <c r="S711" s="527">
        <v>1E-3</v>
      </c>
      <c r="T711" s="528" t="s">
        <v>1797</v>
      </c>
    </row>
    <row r="712" spans="1:20" ht="15" customHeight="1" thickBot="1">
      <c r="A712" s="806" t="s">
        <v>2258</v>
      </c>
      <c r="B712" s="807" t="s">
        <v>420</v>
      </c>
      <c r="C712" s="808">
        <v>334.87</v>
      </c>
      <c r="D712" s="809" t="s">
        <v>1801</v>
      </c>
      <c r="E712" s="810">
        <v>7.7678000000000004E-6</v>
      </c>
      <c r="F712" s="810">
        <v>1.9000000000000001E-7</v>
      </c>
      <c r="G712" s="811" t="s">
        <v>1801</v>
      </c>
      <c r="H712" s="812">
        <v>1.143</v>
      </c>
      <c r="I712" s="813" t="s">
        <v>1796</v>
      </c>
      <c r="J712" s="814">
        <v>2.0289700000000001E-2</v>
      </c>
      <c r="K712" s="814">
        <v>5.0254000000000002E-6</v>
      </c>
      <c r="L712" s="815" t="s">
        <v>2367</v>
      </c>
      <c r="M712" s="816">
        <v>5550</v>
      </c>
      <c r="N712" s="816" t="s">
        <v>414</v>
      </c>
      <c r="O712" s="817">
        <v>0.59019999999999995</v>
      </c>
      <c r="P712" s="818" t="s">
        <v>1801</v>
      </c>
      <c r="Q712" s="819">
        <v>3.2800000000000003E-2</v>
      </c>
      <c r="R712" s="820" t="s">
        <v>414</v>
      </c>
      <c r="S712" s="521">
        <v>1.0200000000000001E-2</v>
      </c>
      <c r="T712" s="522" t="s">
        <v>414</v>
      </c>
    </row>
    <row r="713" spans="1:20" ht="15" customHeight="1">
      <c r="A713" s="791" t="s">
        <v>1491</v>
      </c>
      <c r="B713" s="792" t="s">
        <v>1492</v>
      </c>
      <c r="C713" s="793">
        <v>238.35</v>
      </c>
      <c r="D713" s="794" t="s">
        <v>1801</v>
      </c>
      <c r="E713" s="795">
        <v>2.653E-10</v>
      </c>
      <c r="F713" s="795">
        <v>6.49E-12</v>
      </c>
      <c r="G713" s="796" t="s">
        <v>1801</v>
      </c>
      <c r="H713" s="821" t="s">
        <v>1750</v>
      </c>
      <c r="I713" s="822" t="s">
        <v>43</v>
      </c>
      <c r="J713" s="799">
        <v>4.9424599999999999E-2</v>
      </c>
      <c r="K713" s="799">
        <v>5.7749000000000004E-6</v>
      </c>
      <c r="L713" s="800" t="s">
        <v>2367</v>
      </c>
      <c r="M713" s="801">
        <v>3374</v>
      </c>
      <c r="N713" s="801" t="s">
        <v>414</v>
      </c>
      <c r="O713" s="802">
        <v>125</v>
      </c>
      <c r="P713" s="803" t="s">
        <v>1801</v>
      </c>
      <c r="Q713" s="804">
        <v>1.12E-2</v>
      </c>
      <c r="R713" s="805" t="s">
        <v>414</v>
      </c>
      <c r="S713" s="527">
        <v>1.2300000000000001E-4</v>
      </c>
      <c r="T713" s="528" t="s">
        <v>414</v>
      </c>
    </row>
    <row r="714" spans="1:20" ht="15" customHeight="1">
      <c r="A714" s="791" t="s">
        <v>1493</v>
      </c>
      <c r="B714" s="792" t="s">
        <v>1494</v>
      </c>
      <c r="C714" s="793">
        <v>228.32</v>
      </c>
      <c r="D714" s="794" t="s">
        <v>1801</v>
      </c>
      <c r="E714" s="795">
        <v>4.9060000000000002E-9</v>
      </c>
      <c r="F714" s="795">
        <v>1.2E-10</v>
      </c>
      <c r="G714" s="796" t="s">
        <v>1801</v>
      </c>
      <c r="H714" s="821" t="s">
        <v>1750</v>
      </c>
      <c r="I714" s="822" t="s">
        <v>43</v>
      </c>
      <c r="J714" s="799">
        <v>5.0861700000000003E-2</v>
      </c>
      <c r="K714" s="799">
        <v>5.9428000000000001E-6</v>
      </c>
      <c r="L714" s="800" t="s">
        <v>2367</v>
      </c>
      <c r="M714" s="801">
        <v>42.35</v>
      </c>
      <c r="N714" s="801" t="s">
        <v>414</v>
      </c>
      <c r="O714" s="802">
        <v>2500</v>
      </c>
      <c r="P714" s="803" t="s">
        <v>1801</v>
      </c>
      <c r="Q714" s="804">
        <v>1.2700000000000001E-3</v>
      </c>
      <c r="R714" s="805" t="s">
        <v>414</v>
      </c>
      <c r="S714" s="527">
        <v>6.2700000000000004E-3</v>
      </c>
      <c r="T714" s="528" t="s">
        <v>414</v>
      </c>
    </row>
    <row r="715" spans="1:20" ht="15" customHeight="1" thickBot="1">
      <c r="A715" s="806" t="s">
        <v>1495</v>
      </c>
      <c r="B715" s="807" t="s">
        <v>1496</v>
      </c>
      <c r="C715" s="808">
        <v>466.47</v>
      </c>
      <c r="D715" s="809" t="s">
        <v>1801</v>
      </c>
      <c r="E715" s="810">
        <v>8.0131000000000005E-8</v>
      </c>
      <c r="F715" s="810">
        <v>1.9599999999999998E-9</v>
      </c>
      <c r="G715" s="811" t="s">
        <v>1801</v>
      </c>
      <c r="H715" s="812">
        <v>1.32</v>
      </c>
      <c r="I715" s="813" t="s">
        <v>1796</v>
      </c>
      <c r="J715" s="814">
        <v>1.8294299999999999E-2</v>
      </c>
      <c r="K715" s="814">
        <v>4.4908000000000003E-6</v>
      </c>
      <c r="L715" s="815" t="s">
        <v>2367</v>
      </c>
      <c r="M715" s="816">
        <v>95060</v>
      </c>
      <c r="N715" s="816" t="s">
        <v>414</v>
      </c>
      <c r="O715" s="817">
        <v>0.27</v>
      </c>
      <c r="P715" s="818" t="s">
        <v>1801</v>
      </c>
      <c r="Q715" s="819">
        <v>3.4500000000000003E-2</v>
      </c>
      <c r="R715" s="820" t="s">
        <v>414</v>
      </c>
      <c r="S715" s="521">
        <v>1.6000000000000001E-4</v>
      </c>
      <c r="T715" s="522" t="s">
        <v>414</v>
      </c>
    </row>
    <row r="716" spans="1:20" ht="15" customHeight="1">
      <c r="A716" s="791" t="s">
        <v>1497</v>
      </c>
      <c r="B716" s="792" t="s">
        <v>1498</v>
      </c>
      <c r="C716" s="793">
        <v>216.67</v>
      </c>
      <c r="D716" s="794" t="s">
        <v>1801</v>
      </c>
      <c r="E716" s="795">
        <v>4.9060000000000002E-9</v>
      </c>
      <c r="F716" s="795">
        <v>1.2E-10</v>
      </c>
      <c r="G716" s="796" t="s">
        <v>414</v>
      </c>
      <c r="H716" s="797">
        <v>1.34</v>
      </c>
      <c r="I716" s="798" t="s">
        <v>1796</v>
      </c>
      <c r="J716" s="799">
        <v>2.7467700000000001E-2</v>
      </c>
      <c r="K716" s="799">
        <v>7.1789E-6</v>
      </c>
      <c r="L716" s="800" t="s">
        <v>2367</v>
      </c>
      <c r="M716" s="801">
        <v>50.1</v>
      </c>
      <c r="N716" s="801" t="s">
        <v>414</v>
      </c>
      <c r="O716" s="802">
        <v>710</v>
      </c>
      <c r="P716" s="803" t="s">
        <v>1801</v>
      </c>
      <c r="Q716" s="804">
        <v>1.72E-3</v>
      </c>
      <c r="R716" s="805" t="s">
        <v>414</v>
      </c>
      <c r="S716" s="527">
        <v>9.8999999999999999E-4</v>
      </c>
      <c r="T716" s="528" t="s">
        <v>414</v>
      </c>
    </row>
    <row r="717" spans="1:20" ht="15" customHeight="1">
      <c r="A717" s="791" t="s">
        <v>1499</v>
      </c>
      <c r="B717" s="792" t="s">
        <v>1500</v>
      </c>
      <c r="C717" s="793">
        <v>288.43</v>
      </c>
      <c r="D717" s="794" t="s">
        <v>1801</v>
      </c>
      <c r="E717" s="795">
        <v>9.812E-4</v>
      </c>
      <c r="F717" s="795">
        <v>2.4000000000000001E-5</v>
      </c>
      <c r="G717" s="796" t="s">
        <v>414</v>
      </c>
      <c r="H717" s="797">
        <v>1.105</v>
      </c>
      <c r="I717" s="798" t="s">
        <v>1796</v>
      </c>
      <c r="J717" s="799">
        <v>2.15955E-2</v>
      </c>
      <c r="K717" s="799">
        <v>5.3859999999999998E-6</v>
      </c>
      <c r="L717" s="800" t="s">
        <v>2367</v>
      </c>
      <c r="M717" s="801">
        <v>998.9</v>
      </c>
      <c r="N717" s="801" t="s">
        <v>414</v>
      </c>
      <c r="O717" s="802">
        <v>5.07</v>
      </c>
      <c r="P717" s="803" t="s">
        <v>1801</v>
      </c>
      <c r="Q717" s="804">
        <v>3.5799999999999998E-2</v>
      </c>
      <c r="R717" s="805" t="s">
        <v>414</v>
      </c>
      <c r="S717" s="527">
        <v>1E-3</v>
      </c>
      <c r="T717" s="528" t="s">
        <v>1797</v>
      </c>
    </row>
    <row r="718" spans="1:20" ht="15" customHeight="1" thickBot="1">
      <c r="A718" s="806" t="s">
        <v>1501</v>
      </c>
      <c r="B718" s="807" t="s">
        <v>1502</v>
      </c>
      <c r="C718" s="808">
        <v>241.36</v>
      </c>
      <c r="D718" s="809" t="s">
        <v>1801</v>
      </c>
      <c r="E718" s="810">
        <v>8.7899000000000001E-7</v>
      </c>
      <c r="F718" s="810">
        <v>2.1500000000000001E-8</v>
      </c>
      <c r="G718" s="811" t="s">
        <v>414</v>
      </c>
      <c r="H718" s="812">
        <v>1.115</v>
      </c>
      <c r="I718" s="813" t="s">
        <v>1796</v>
      </c>
      <c r="J718" s="814">
        <v>2.3826199999999999E-2</v>
      </c>
      <c r="K718" s="814">
        <v>6.0260999999999998E-6</v>
      </c>
      <c r="L718" s="815" t="s">
        <v>2367</v>
      </c>
      <c r="M718" s="816">
        <v>607</v>
      </c>
      <c r="N718" s="816" t="s">
        <v>414</v>
      </c>
      <c r="O718" s="817">
        <v>25</v>
      </c>
      <c r="P718" s="818" t="s">
        <v>1801</v>
      </c>
      <c r="Q718" s="819">
        <v>2.12E-2</v>
      </c>
      <c r="R718" s="820" t="s">
        <v>414</v>
      </c>
      <c r="S718" s="521">
        <v>1E-3</v>
      </c>
      <c r="T718" s="522" t="s">
        <v>1797</v>
      </c>
    </row>
    <row r="719" spans="1:20" ht="15" customHeight="1">
      <c r="A719" s="791" t="s">
        <v>1503</v>
      </c>
      <c r="B719" s="792" t="s">
        <v>1504</v>
      </c>
      <c r="C719" s="793">
        <v>485.8</v>
      </c>
      <c r="D719" s="794" t="s">
        <v>1801</v>
      </c>
      <c r="E719" s="795">
        <v>1.214E-4</v>
      </c>
      <c r="F719" s="795">
        <v>2.9699999999999999E-6</v>
      </c>
      <c r="G719" s="796" t="s">
        <v>1801</v>
      </c>
      <c r="H719" s="821" t="s">
        <v>1750</v>
      </c>
      <c r="I719" s="822" t="s">
        <v>43</v>
      </c>
      <c r="J719" s="799">
        <v>3.0745499999999999E-2</v>
      </c>
      <c r="K719" s="799">
        <v>3.5924000000000001E-6</v>
      </c>
      <c r="L719" s="800" t="s">
        <v>2367</v>
      </c>
      <c r="M719" s="801">
        <v>13230</v>
      </c>
      <c r="N719" s="801" t="s">
        <v>414</v>
      </c>
      <c r="O719" s="802">
        <v>1.4610000000000001E-3</v>
      </c>
      <c r="P719" s="803" t="s">
        <v>1801</v>
      </c>
      <c r="Q719" s="804">
        <v>9.2899999999999996E-2</v>
      </c>
      <c r="R719" s="805" t="s">
        <v>414</v>
      </c>
      <c r="S719" s="527">
        <v>3.1099999999999999E-2</v>
      </c>
      <c r="T719" s="528" t="s">
        <v>414</v>
      </c>
    </row>
    <row r="720" spans="1:20" ht="15" customHeight="1">
      <c r="A720" s="791" t="s">
        <v>1505</v>
      </c>
      <c r="B720" s="792" t="s">
        <v>1506</v>
      </c>
      <c r="C720" s="793">
        <v>215.89</v>
      </c>
      <c r="D720" s="794" t="s">
        <v>1801</v>
      </c>
      <c r="E720" s="795">
        <v>4.0883099999999999E-2</v>
      </c>
      <c r="F720" s="795">
        <v>1E-3</v>
      </c>
      <c r="G720" s="796" t="s">
        <v>1801</v>
      </c>
      <c r="H720" s="797">
        <v>1.8580000000000001</v>
      </c>
      <c r="I720" s="798" t="s">
        <v>1796</v>
      </c>
      <c r="J720" s="799">
        <v>3.1895800000000002E-2</v>
      </c>
      <c r="K720" s="799">
        <v>8.7530999999999993E-6</v>
      </c>
      <c r="L720" s="800" t="s">
        <v>2367</v>
      </c>
      <c r="M720" s="801">
        <v>2220</v>
      </c>
      <c r="N720" s="801" t="s">
        <v>414</v>
      </c>
      <c r="O720" s="802">
        <v>0.59499999999999997</v>
      </c>
      <c r="P720" s="803" t="s">
        <v>1801</v>
      </c>
      <c r="Q720" s="804">
        <v>0.11700000000000001</v>
      </c>
      <c r="R720" s="805" t="s">
        <v>414</v>
      </c>
      <c r="S720" s="527">
        <v>4.0999999999999999E-4</v>
      </c>
      <c r="T720" s="528" t="s">
        <v>414</v>
      </c>
    </row>
    <row r="721" spans="1:20" ht="15" customHeight="1" thickBot="1">
      <c r="A721" s="806" t="s">
        <v>150</v>
      </c>
      <c r="B721" s="807" t="s">
        <v>1507</v>
      </c>
      <c r="C721" s="808">
        <v>167.85</v>
      </c>
      <c r="D721" s="809" t="s">
        <v>1801</v>
      </c>
      <c r="E721" s="810">
        <v>0.1022077</v>
      </c>
      <c r="F721" s="810">
        <v>2.5000000000000001E-3</v>
      </c>
      <c r="G721" s="811" t="s">
        <v>1801</v>
      </c>
      <c r="H721" s="812">
        <v>1.5406</v>
      </c>
      <c r="I721" s="813" t="s">
        <v>1796</v>
      </c>
      <c r="J721" s="814">
        <v>4.8176099999999999E-2</v>
      </c>
      <c r="K721" s="814">
        <v>9.0976999999999993E-6</v>
      </c>
      <c r="L721" s="815" t="s">
        <v>2367</v>
      </c>
      <c r="M721" s="816">
        <v>86.03</v>
      </c>
      <c r="N721" s="816" t="s">
        <v>414</v>
      </c>
      <c r="O721" s="817">
        <v>1070</v>
      </c>
      <c r="P721" s="818" t="s">
        <v>1801</v>
      </c>
      <c r="Q721" s="819">
        <v>1.5900000000000001E-2</v>
      </c>
      <c r="R721" s="820" t="s">
        <v>414</v>
      </c>
      <c r="S721" s="521">
        <v>3.29E-3</v>
      </c>
      <c r="T721" s="522" t="s">
        <v>414</v>
      </c>
    </row>
    <row r="722" spans="1:20" ht="15" customHeight="1">
      <c r="A722" s="791" t="s">
        <v>152</v>
      </c>
      <c r="B722" s="792" t="s">
        <v>1508</v>
      </c>
      <c r="C722" s="793">
        <v>167.85</v>
      </c>
      <c r="D722" s="794" t="s">
        <v>1801</v>
      </c>
      <c r="E722" s="795">
        <v>1.5004099999999999E-2</v>
      </c>
      <c r="F722" s="795">
        <v>3.6699999999999998E-4</v>
      </c>
      <c r="G722" s="796" t="s">
        <v>1801</v>
      </c>
      <c r="H722" s="797">
        <v>1.5952999999999999</v>
      </c>
      <c r="I722" s="798" t="s">
        <v>1796</v>
      </c>
      <c r="J722" s="799">
        <v>4.8920600000000002E-2</v>
      </c>
      <c r="K722" s="799">
        <v>9.2901999999999996E-6</v>
      </c>
      <c r="L722" s="800" t="s">
        <v>2367</v>
      </c>
      <c r="M722" s="801">
        <v>94.94</v>
      </c>
      <c r="N722" s="801" t="s">
        <v>414</v>
      </c>
      <c r="O722" s="802">
        <v>2830</v>
      </c>
      <c r="P722" s="803" t="s">
        <v>1801</v>
      </c>
      <c r="Q722" s="804">
        <v>6.94E-3</v>
      </c>
      <c r="R722" s="805" t="s">
        <v>414</v>
      </c>
      <c r="S722" s="527">
        <v>1.96</v>
      </c>
      <c r="T722" s="528" t="s">
        <v>414</v>
      </c>
    </row>
    <row r="723" spans="1:20" ht="15" customHeight="1">
      <c r="A723" s="791" t="s">
        <v>105</v>
      </c>
      <c r="B723" s="792" t="s">
        <v>1509</v>
      </c>
      <c r="C723" s="793">
        <v>165.83</v>
      </c>
      <c r="D723" s="794" t="s">
        <v>1801</v>
      </c>
      <c r="E723" s="795">
        <v>0.72363040000000001</v>
      </c>
      <c r="F723" s="795">
        <v>1.77E-2</v>
      </c>
      <c r="G723" s="796" t="s">
        <v>1801</v>
      </c>
      <c r="H723" s="797">
        <v>1.623</v>
      </c>
      <c r="I723" s="798" t="s">
        <v>1796</v>
      </c>
      <c r="J723" s="799">
        <v>5.0466400000000002E-2</v>
      </c>
      <c r="K723" s="799">
        <v>9.4551000000000003E-6</v>
      </c>
      <c r="L723" s="800" t="s">
        <v>2367</v>
      </c>
      <c r="M723" s="801">
        <v>94.94</v>
      </c>
      <c r="N723" s="801" t="s">
        <v>414</v>
      </c>
      <c r="O723" s="802">
        <v>206</v>
      </c>
      <c r="P723" s="803" t="s">
        <v>1801</v>
      </c>
      <c r="Q723" s="804">
        <v>3.3399999999999999E-2</v>
      </c>
      <c r="R723" s="805" t="s">
        <v>414</v>
      </c>
      <c r="S723" s="527">
        <v>0.20100000000000001</v>
      </c>
      <c r="T723" s="528" t="s">
        <v>414</v>
      </c>
    </row>
    <row r="724" spans="1:20" ht="15" customHeight="1" thickBot="1">
      <c r="A724" s="806" t="s">
        <v>1510</v>
      </c>
      <c r="B724" s="807" t="s">
        <v>1511</v>
      </c>
      <c r="C724" s="808">
        <v>231.89</v>
      </c>
      <c r="D724" s="809" t="s">
        <v>1801</v>
      </c>
      <c r="E724" s="810">
        <v>3.614E-4</v>
      </c>
      <c r="F724" s="810">
        <v>8.8400000000000001E-6</v>
      </c>
      <c r="G724" s="811" t="s">
        <v>414</v>
      </c>
      <c r="H724" s="839" t="s">
        <v>1750</v>
      </c>
      <c r="I724" s="840" t="s">
        <v>43</v>
      </c>
      <c r="J724" s="814">
        <v>5.0338300000000002E-2</v>
      </c>
      <c r="K724" s="814">
        <v>5.8815999999999997E-6</v>
      </c>
      <c r="L724" s="815" t="s">
        <v>2367</v>
      </c>
      <c r="M724" s="816">
        <v>280</v>
      </c>
      <c r="N724" s="816" t="s">
        <v>1078</v>
      </c>
      <c r="O724" s="817">
        <v>23</v>
      </c>
      <c r="P724" s="818" t="s">
        <v>1801</v>
      </c>
      <c r="Q724" s="819">
        <v>7.0999999999999994E-2</v>
      </c>
      <c r="R724" s="820" t="s">
        <v>414</v>
      </c>
      <c r="S724" s="521">
        <v>1.7</v>
      </c>
      <c r="T724" s="522" t="s">
        <v>414</v>
      </c>
    </row>
    <row r="725" spans="1:20" ht="15" customHeight="1">
      <c r="A725" s="791" t="s">
        <v>1512</v>
      </c>
      <c r="B725" s="792" t="s">
        <v>1513</v>
      </c>
      <c r="C725" s="793">
        <v>229.92</v>
      </c>
      <c r="D725" s="794" t="s">
        <v>1801</v>
      </c>
      <c r="E725" s="795">
        <v>7.8904000000000005E-3</v>
      </c>
      <c r="F725" s="795">
        <v>1.93E-4</v>
      </c>
      <c r="G725" s="796" t="s">
        <v>1801</v>
      </c>
      <c r="H725" s="797">
        <v>1.4462999999999999</v>
      </c>
      <c r="I725" s="798" t="s">
        <v>1796</v>
      </c>
      <c r="J725" s="799">
        <v>2.7587299999999999E-2</v>
      </c>
      <c r="K725" s="799">
        <v>7.2524000000000002E-6</v>
      </c>
      <c r="L725" s="800" t="s">
        <v>2367</v>
      </c>
      <c r="M725" s="801">
        <v>1606</v>
      </c>
      <c r="N725" s="801" t="s">
        <v>414</v>
      </c>
      <c r="O725" s="802">
        <v>4.0389999999999997</v>
      </c>
      <c r="P725" s="803" t="s">
        <v>1801</v>
      </c>
      <c r="Q725" s="804">
        <v>8.3599999999999994E-2</v>
      </c>
      <c r="R725" s="805" t="s">
        <v>414</v>
      </c>
      <c r="S725" s="527">
        <v>0.308</v>
      </c>
      <c r="T725" s="528" t="s">
        <v>414</v>
      </c>
    </row>
    <row r="726" spans="1:20" ht="15" customHeight="1">
      <c r="A726" s="791" t="s">
        <v>1514</v>
      </c>
      <c r="B726" s="792" t="s">
        <v>1515</v>
      </c>
      <c r="C726" s="793">
        <v>322.32</v>
      </c>
      <c r="D726" s="794" t="s">
        <v>1801</v>
      </c>
      <c r="E726" s="795">
        <v>1.819E-4</v>
      </c>
      <c r="F726" s="795">
        <v>4.4499999999999997E-6</v>
      </c>
      <c r="G726" s="796" t="s">
        <v>414</v>
      </c>
      <c r="H726" s="797">
        <v>1.196</v>
      </c>
      <c r="I726" s="798" t="s">
        <v>1796</v>
      </c>
      <c r="J726" s="799">
        <v>2.11615E-2</v>
      </c>
      <c r="K726" s="799">
        <v>5.2836999999999999E-6</v>
      </c>
      <c r="L726" s="800" t="s">
        <v>2367</v>
      </c>
      <c r="M726" s="801">
        <v>265.60000000000002</v>
      </c>
      <c r="N726" s="801" t="s">
        <v>414</v>
      </c>
      <c r="O726" s="802">
        <v>30</v>
      </c>
      <c r="P726" s="803" t="s">
        <v>1801</v>
      </c>
      <c r="Q726" s="804">
        <v>1.09E-2</v>
      </c>
      <c r="R726" s="805" t="s">
        <v>414</v>
      </c>
      <c r="S726" s="527">
        <v>1.49E-2</v>
      </c>
      <c r="T726" s="528" t="s">
        <v>414</v>
      </c>
    </row>
    <row r="727" spans="1:20" ht="15" customHeight="1" thickBot="1">
      <c r="A727" s="806" t="s">
        <v>1516</v>
      </c>
      <c r="B727" s="807" t="s">
        <v>1517</v>
      </c>
      <c r="C727" s="808">
        <v>102.03</v>
      </c>
      <c r="D727" s="809" t="s">
        <v>1801</v>
      </c>
      <c r="E727" s="810">
        <v>2.0441536999999999</v>
      </c>
      <c r="F727" s="810">
        <v>0.05</v>
      </c>
      <c r="G727" s="811" t="s">
        <v>1801</v>
      </c>
      <c r="H727" s="812">
        <v>1.2072000000000001</v>
      </c>
      <c r="I727" s="813" t="s">
        <v>1796</v>
      </c>
      <c r="J727" s="814">
        <v>8.2306599999999994E-2</v>
      </c>
      <c r="K727" s="814">
        <v>1.06E-5</v>
      </c>
      <c r="L727" s="815" t="s">
        <v>2367</v>
      </c>
      <c r="M727" s="816">
        <v>86.03</v>
      </c>
      <c r="N727" s="816" t="s">
        <v>414</v>
      </c>
      <c r="O727" s="817">
        <v>2040</v>
      </c>
      <c r="P727" s="818" t="s">
        <v>1801</v>
      </c>
      <c r="Q727" s="819">
        <v>5.4799999999999996E-3</v>
      </c>
      <c r="R727" s="820" t="s">
        <v>414</v>
      </c>
      <c r="S727" s="521">
        <v>6.9150000000000003E-2</v>
      </c>
      <c r="T727" s="522" t="s">
        <v>414</v>
      </c>
    </row>
    <row r="728" spans="1:20" ht="15" customHeight="1">
      <c r="A728" s="791" t="s">
        <v>1518</v>
      </c>
      <c r="B728" s="792" t="s">
        <v>1519</v>
      </c>
      <c r="C728" s="793">
        <v>287.14999999999998</v>
      </c>
      <c r="D728" s="794" t="s">
        <v>1801</v>
      </c>
      <c r="E728" s="795">
        <v>1.1079E-7</v>
      </c>
      <c r="F728" s="795">
        <v>2.7099999999999999E-9</v>
      </c>
      <c r="G728" s="796" t="s">
        <v>1801</v>
      </c>
      <c r="H728" s="797">
        <v>1.57</v>
      </c>
      <c r="I728" s="798" t="s">
        <v>1796</v>
      </c>
      <c r="J728" s="799">
        <v>2.5562600000000001E-2</v>
      </c>
      <c r="K728" s="799">
        <v>6.6672000000000003E-6</v>
      </c>
      <c r="L728" s="800" t="s">
        <v>2367</v>
      </c>
      <c r="M728" s="801">
        <v>4605</v>
      </c>
      <c r="N728" s="801" t="s">
        <v>414</v>
      </c>
      <c r="O728" s="802">
        <v>74</v>
      </c>
      <c r="P728" s="803" t="s">
        <v>1801</v>
      </c>
      <c r="Q728" s="804">
        <v>4.7399999999999997E-4</v>
      </c>
      <c r="R728" s="805" t="s">
        <v>414</v>
      </c>
      <c r="S728" s="527">
        <v>5.1799999999999999E-2</v>
      </c>
      <c r="T728" s="528" t="s">
        <v>414</v>
      </c>
    </row>
    <row r="729" spans="1:20" ht="15" customHeight="1">
      <c r="A729" s="791" t="s">
        <v>2434</v>
      </c>
      <c r="B729" s="792" t="s">
        <v>2435</v>
      </c>
      <c r="C729" s="793">
        <v>456.76499999999999</v>
      </c>
      <c r="D729" s="794" t="s">
        <v>1796</v>
      </c>
      <c r="E729" s="831" t="s">
        <v>1750</v>
      </c>
      <c r="F729" s="831" t="s">
        <v>1750</v>
      </c>
      <c r="G729" s="832" t="s">
        <v>43</v>
      </c>
      <c r="H729" s="797">
        <v>10.199999999999999</v>
      </c>
      <c r="I729" s="798" t="s">
        <v>1796</v>
      </c>
      <c r="J729" s="833" t="s">
        <v>1750</v>
      </c>
      <c r="K729" s="833" t="s">
        <v>1750</v>
      </c>
      <c r="L729" s="834" t="s">
        <v>43</v>
      </c>
      <c r="M729" s="835" t="s">
        <v>1750</v>
      </c>
      <c r="N729" s="836" t="s">
        <v>43</v>
      </c>
      <c r="O729" s="837" t="s">
        <v>1750</v>
      </c>
      <c r="P729" s="838" t="s">
        <v>43</v>
      </c>
      <c r="Q729" s="804">
        <v>1E-3</v>
      </c>
      <c r="R729" s="805" t="s">
        <v>1797</v>
      </c>
      <c r="S729" s="527">
        <v>3.0499999999999999E-2</v>
      </c>
      <c r="T729" s="528" t="s">
        <v>414</v>
      </c>
    </row>
    <row r="730" spans="1:20" ht="15" customHeight="1" thickBot="1">
      <c r="A730" s="806" t="s">
        <v>1910</v>
      </c>
      <c r="B730" s="807" t="s">
        <v>1911</v>
      </c>
      <c r="C730" s="808">
        <v>267.38</v>
      </c>
      <c r="D730" s="809" t="s">
        <v>1801</v>
      </c>
      <c r="E730" s="823" t="s">
        <v>1750</v>
      </c>
      <c r="F730" s="823" t="s">
        <v>1750</v>
      </c>
      <c r="G730" s="824" t="s">
        <v>43</v>
      </c>
      <c r="H730" s="812">
        <v>5.55</v>
      </c>
      <c r="I730" s="813" t="s">
        <v>1796</v>
      </c>
      <c r="J730" s="825" t="s">
        <v>1750</v>
      </c>
      <c r="K730" s="825" t="s">
        <v>1750</v>
      </c>
      <c r="L730" s="826" t="s">
        <v>43</v>
      </c>
      <c r="M730" s="827" t="s">
        <v>1750</v>
      </c>
      <c r="N730" s="828" t="s">
        <v>43</v>
      </c>
      <c r="O730" s="817">
        <v>95500</v>
      </c>
      <c r="P730" s="818" t="s">
        <v>1801</v>
      </c>
      <c r="Q730" s="819">
        <v>1E-3</v>
      </c>
      <c r="R730" s="820" t="s">
        <v>1797</v>
      </c>
      <c r="S730" s="521">
        <v>1.9300000000000001E-2</v>
      </c>
      <c r="T730" s="522" t="s">
        <v>414</v>
      </c>
    </row>
    <row r="731" spans="1:20" ht="15" customHeight="1">
      <c r="A731" s="791" t="s">
        <v>1520</v>
      </c>
      <c r="B731" s="792" t="s">
        <v>1521</v>
      </c>
      <c r="C731" s="793">
        <v>204.38</v>
      </c>
      <c r="D731" s="794" t="s">
        <v>414</v>
      </c>
      <c r="E731" s="831" t="s">
        <v>1750</v>
      </c>
      <c r="F731" s="831" t="s">
        <v>1750</v>
      </c>
      <c r="G731" s="832" t="s">
        <v>43</v>
      </c>
      <c r="H731" s="797">
        <v>11.8</v>
      </c>
      <c r="I731" s="798" t="s">
        <v>1796</v>
      </c>
      <c r="J731" s="833" t="s">
        <v>1750</v>
      </c>
      <c r="K731" s="833" t="s">
        <v>1750</v>
      </c>
      <c r="L731" s="834" t="s">
        <v>43</v>
      </c>
      <c r="M731" s="835" t="s">
        <v>1750</v>
      </c>
      <c r="N731" s="836" t="s">
        <v>43</v>
      </c>
      <c r="O731" s="837" t="s">
        <v>1750</v>
      </c>
      <c r="P731" s="838" t="s">
        <v>43</v>
      </c>
      <c r="Q731" s="804">
        <v>1E-3</v>
      </c>
      <c r="R731" s="805" t="s">
        <v>1797</v>
      </c>
      <c r="S731" s="527">
        <v>1.37E-4</v>
      </c>
      <c r="T731" s="528" t="s">
        <v>414</v>
      </c>
    </row>
    <row r="732" spans="1:20" ht="15" customHeight="1">
      <c r="A732" s="791" t="s">
        <v>1912</v>
      </c>
      <c r="B732" s="792" t="s">
        <v>1913</v>
      </c>
      <c r="C732" s="793">
        <v>263.42</v>
      </c>
      <c r="D732" s="794" t="s">
        <v>1801</v>
      </c>
      <c r="E732" s="831" t="s">
        <v>1750</v>
      </c>
      <c r="F732" s="831" t="s">
        <v>1750</v>
      </c>
      <c r="G732" s="832" t="s">
        <v>43</v>
      </c>
      <c r="H732" s="797">
        <v>3.68</v>
      </c>
      <c r="I732" s="798" t="s">
        <v>1796</v>
      </c>
      <c r="J732" s="799">
        <v>3.8883000000000001E-2</v>
      </c>
      <c r="K732" s="799">
        <v>1.17E-5</v>
      </c>
      <c r="L732" s="800" t="s">
        <v>2367</v>
      </c>
      <c r="M732" s="801">
        <v>1.508</v>
      </c>
      <c r="N732" s="801" t="s">
        <v>414</v>
      </c>
      <c r="O732" s="802">
        <v>28030</v>
      </c>
      <c r="P732" s="803" t="s">
        <v>1801</v>
      </c>
      <c r="Q732" s="804">
        <v>3.9900000000000001E-5</v>
      </c>
      <c r="R732" s="805" t="s">
        <v>414</v>
      </c>
      <c r="S732" s="527">
        <v>3.49E-2</v>
      </c>
      <c r="T732" s="528" t="s">
        <v>414</v>
      </c>
    </row>
    <row r="733" spans="1:20" ht="15" customHeight="1" thickBot="1">
      <c r="A733" s="806" t="s">
        <v>1914</v>
      </c>
      <c r="B733" s="807" t="s">
        <v>1915</v>
      </c>
      <c r="C733" s="808">
        <v>468.75</v>
      </c>
      <c r="D733" s="809" t="s">
        <v>1801</v>
      </c>
      <c r="E733" s="823" t="s">
        <v>1750</v>
      </c>
      <c r="F733" s="823" t="s">
        <v>1750</v>
      </c>
      <c r="G733" s="824" t="s">
        <v>43</v>
      </c>
      <c r="H733" s="812">
        <v>7.11</v>
      </c>
      <c r="I733" s="813" t="s">
        <v>1796</v>
      </c>
      <c r="J733" s="814">
        <v>3.9344900000000002E-2</v>
      </c>
      <c r="K733" s="814">
        <v>1.2300000000000001E-5</v>
      </c>
      <c r="L733" s="815" t="s">
        <v>2367</v>
      </c>
      <c r="M733" s="816">
        <v>2.8769999999999998</v>
      </c>
      <c r="N733" s="816" t="s">
        <v>414</v>
      </c>
      <c r="O733" s="817">
        <v>52000</v>
      </c>
      <c r="P733" s="818" t="s">
        <v>1801</v>
      </c>
      <c r="Q733" s="819">
        <v>9.8200000000000008E-7</v>
      </c>
      <c r="R733" s="820" t="s">
        <v>414</v>
      </c>
      <c r="S733" s="521">
        <v>4.6900000000000002E-5</v>
      </c>
      <c r="T733" s="522" t="s">
        <v>414</v>
      </c>
    </row>
    <row r="734" spans="1:20" ht="15" customHeight="1">
      <c r="A734" s="791" t="s">
        <v>1916</v>
      </c>
      <c r="B734" s="792" t="s">
        <v>1917</v>
      </c>
      <c r="C734" s="793">
        <v>239.82</v>
      </c>
      <c r="D734" s="794" t="s">
        <v>1801</v>
      </c>
      <c r="E734" s="831" t="s">
        <v>1750</v>
      </c>
      <c r="F734" s="831" t="s">
        <v>1750</v>
      </c>
      <c r="G734" s="832" t="s">
        <v>43</v>
      </c>
      <c r="H734" s="797">
        <v>7</v>
      </c>
      <c r="I734" s="798" t="s">
        <v>1796</v>
      </c>
      <c r="J734" s="799">
        <v>5.2455300000000003E-2</v>
      </c>
      <c r="K734" s="799">
        <v>1.8199999999999999E-5</v>
      </c>
      <c r="L734" s="800" t="s">
        <v>2367</v>
      </c>
      <c r="M734" s="835" t="s">
        <v>1750</v>
      </c>
      <c r="N734" s="836" t="s">
        <v>43</v>
      </c>
      <c r="O734" s="802">
        <v>2900</v>
      </c>
      <c r="P734" s="803" t="s">
        <v>1801</v>
      </c>
      <c r="Q734" s="804">
        <v>1E-3</v>
      </c>
      <c r="R734" s="805" t="s">
        <v>1797</v>
      </c>
      <c r="S734" s="527">
        <v>3.3700000000000001E-2</v>
      </c>
      <c r="T734" s="528" t="s">
        <v>414</v>
      </c>
    </row>
    <row r="735" spans="1:20" ht="15" customHeight="1">
      <c r="A735" s="791" t="s">
        <v>2436</v>
      </c>
      <c r="B735" s="792" t="s">
        <v>2437</v>
      </c>
      <c r="C735" s="793">
        <v>283.33999999999997</v>
      </c>
      <c r="D735" s="794" t="s">
        <v>414</v>
      </c>
      <c r="E735" s="831" t="s">
        <v>1750</v>
      </c>
      <c r="F735" s="831" t="s">
        <v>1750</v>
      </c>
      <c r="G735" s="832" t="s">
        <v>43</v>
      </c>
      <c r="H735" s="821" t="s">
        <v>1750</v>
      </c>
      <c r="I735" s="822" t="s">
        <v>43</v>
      </c>
      <c r="J735" s="833" t="s">
        <v>1750</v>
      </c>
      <c r="K735" s="833" t="s">
        <v>1750</v>
      </c>
      <c r="L735" s="834" t="s">
        <v>43</v>
      </c>
      <c r="M735" s="835" t="s">
        <v>1750</v>
      </c>
      <c r="N735" s="836" t="s">
        <v>43</v>
      </c>
      <c r="O735" s="837" t="s">
        <v>1750</v>
      </c>
      <c r="P735" s="838" t="s">
        <v>43</v>
      </c>
      <c r="Q735" s="804">
        <v>1E-3</v>
      </c>
      <c r="R735" s="805" t="s">
        <v>1797</v>
      </c>
      <c r="S735" s="527">
        <v>2.2800000000000001E-2</v>
      </c>
      <c r="T735" s="528" t="s">
        <v>414</v>
      </c>
    </row>
    <row r="736" spans="1:20" ht="15" customHeight="1" thickBot="1">
      <c r="A736" s="806" t="s">
        <v>1918</v>
      </c>
      <c r="B736" s="807" t="s">
        <v>1919</v>
      </c>
      <c r="C736" s="808">
        <v>504.8</v>
      </c>
      <c r="D736" s="809" t="s">
        <v>1801</v>
      </c>
      <c r="E736" s="823" t="s">
        <v>1750</v>
      </c>
      <c r="F736" s="823" t="s">
        <v>1750</v>
      </c>
      <c r="G736" s="824" t="s">
        <v>43</v>
      </c>
      <c r="H736" s="812">
        <v>6.77</v>
      </c>
      <c r="I736" s="813" t="s">
        <v>1796</v>
      </c>
      <c r="J736" s="825" t="s">
        <v>1750</v>
      </c>
      <c r="K736" s="825" t="s">
        <v>1750</v>
      </c>
      <c r="L736" s="826" t="s">
        <v>43</v>
      </c>
      <c r="M736" s="827" t="s">
        <v>1750</v>
      </c>
      <c r="N736" s="828" t="s">
        <v>43</v>
      </c>
      <c r="O736" s="817">
        <v>54700</v>
      </c>
      <c r="P736" s="818" t="s">
        <v>1796</v>
      </c>
      <c r="Q736" s="819">
        <v>1E-3</v>
      </c>
      <c r="R736" s="820" t="s">
        <v>1797</v>
      </c>
      <c r="S736" s="529" t="s">
        <v>1750</v>
      </c>
      <c r="T736" s="530" t="s">
        <v>43</v>
      </c>
    </row>
    <row r="737" spans="1:20" ht="15" customHeight="1">
      <c r="A737" s="791" t="s">
        <v>2259</v>
      </c>
      <c r="B737" s="792" t="s">
        <v>962</v>
      </c>
      <c r="C737" s="793">
        <v>387.4</v>
      </c>
      <c r="D737" s="794" t="s">
        <v>1801</v>
      </c>
      <c r="E737" s="795">
        <v>1.668E-12</v>
      </c>
      <c r="F737" s="795">
        <v>4.08E-14</v>
      </c>
      <c r="G737" s="796" t="s">
        <v>1801</v>
      </c>
      <c r="H737" s="821" t="s">
        <v>1750</v>
      </c>
      <c r="I737" s="822" t="s">
        <v>43</v>
      </c>
      <c r="J737" s="799">
        <v>3.5753100000000003E-2</v>
      </c>
      <c r="K737" s="799">
        <v>4.1775000000000002E-6</v>
      </c>
      <c r="L737" s="800" t="s">
        <v>2367</v>
      </c>
      <c r="M737" s="801">
        <v>50.76</v>
      </c>
      <c r="N737" s="801" t="s">
        <v>414</v>
      </c>
      <c r="O737" s="802">
        <v>2240</v>
      </c>
      <c r="P737" s="803" t="s">
        <v>1801</v>
      </c>
      <c r="Q737" s="804">
        <v>1.1400000000000001E-4</v>
      </c>
      <c r="R737" s="805" t="s">
        <v>414</v>
      </c>
      <c r="S737" s="527">
        <v>2.52E-4</v>
      </c>
      <c r="T737" s="528" t="s">
        <v>414</v>
      </c>
    </row>
    <row r="738" spans="1:20" ht="15" customHeight="1">
      <c r="A738" s="791" t="s">
        <v>1522</v>
      </c>
      <c r="B738" s="792" t="s">
        <v>1523</v>
      </c>
      <c r="C738" s="793">
        <v>257.77999999999997</v>
      </c>
      <c r="D738" s="794" t="s">
        <v>1801</v>
      </c>
      <c r="E738" s="795">
        <v>1.0900000000000001E-5</v>
      </c>
      <c r="F738" s="795">
        <v>2.67E-7</v>
      </c>
      <c r="G738" s="796" t="s">
        <v>414</v>
      </c>
      <c r="H738" s="797">
        <v>1.1599999999999999</v>
      </c>
      <c r="I738" s="798" t="s">
        <v>1796</v>
      </c>
      <c r="J738" s="799">
        <v>2.3450100000000001E-2</v>
      </c>
      <c r="K738" s="799">
        <v>5.9318999999999999E-6</v>
      </c>
      <c r="L738" s="800" t="s">
        <v>2367</v>
      </c>
      <c r="M738" s="801">
        <v>1628</v>
      </c>
      <c r="N738" s="801" t="s">
        <v>414</v>
      </c>
      <c r="O738" s="802">
        <v>28</v>
      </c>
      <c r="P738" s="803" t="s">
        <v>1801</v>
      </c>
      <c r="Q738" s="804">
        <v>1.0200000000000001E-2</v>
      </c>
      <c r="R738" s="805" t="s">
        <v>414</v>
      </c>
      <c r="S738" s="527">
        <v>1.7500000000000002E-2</v>
      </c>
      <c r="T738" s="528" t="s">
        <v>414</v>
      </c>
    </row>
    <row r="739" spans="1:20" ht="15" customHeight="1" thickBot="1">
      <c r="A739" s="806" t="s">
        <v>1524</v>
      </c>
      <c r="B739" s="807" t="s">
        <v>1525</v>
      </c>
      <c r="C739" s="808">
        <v>122.19</v>
      </c>
      <c r="D739" s="809" t="s">
        <v>1801</v>
      </c>
      <c r="E739" s="810">
        <v>7.5634000000000001E-8</v>
      </c>
      <c r="F739" s="810">
        <v>1.85E-9</v>
      </c>
      <c r="G739" s="811" t="s">
        <v>1801</v>
      </c>
      <c r="H739" s="812">
        <v>1.1793</v>
      </c>
      <c r="I739" s="813" t="s">
        <v>1796</v>
      </c>
      <c r="J739" s="814">
        <v>6.8014400000000003E-2</v>
      </c>
      <c r="K739" s="814">
        <v>9.3762000000000001E-6</v>
      </c>
      <c r="L739" s="815" t="s">
        <v>2367</v>
      </c>
      <c r="M739" s="816">
        <v>1</v>
      </c>
      <c r="N739" s="816" t="s">
        <v>414</v>
      </c>
      <c r="O739" s="817">
        <v>1000000</v>
      </c>
      <c r="P739" s="818" t="s">
        <v>1801</v>
      </c>
      <c r="Q739" s="819">
        <v>1.2300000000000001E-4</v>
      </c>
      <c r="R739" s="820" t="s">
        <v>414</v>
      </c>
      <c r="S739" s="521">
        <v>1.4499999999999999E-3</v>
      </c>
      <c r="T739" s="522" t="s">
        <v>414</v>
      </c>
    </row>
    <row r="740" spans="1:20" ht="15" customHeight="1">
      <c r="A740" s="791" t="s">
        <v>1526</v>
      </c>
      <c r="B740" s="792" t="s">
        <v>1527</v>
      </c>
      <c r="C740" s="793">
        <v>218.32</v>
      </c>
      <c r="D740" s="794" t="s">
        <v>1801</v>
      </c>
      <c r="E740" s="795">
        <v>3.8388999999999998E-7</v>
      </c>
      <c r="F740" s="795">
        <v>9.39E-9</v>
      </c>
      <c r="G740" s="796" t="s">
        <v>414</v>
      </c>
      <c r="H740" s="821" t="s">
        <v>1750</v>
      </c>
      <c r="I740" s="822" t="s">
        <v>43</v>
      </c>
      <c r="J740" s="799">
        <v>5.2403199999999997E-2</v>
      </c>
      <c r="K740" s="799">
        <v>6.1229000000000003E-6</v>
      </c>
      <c r="L740" s="800" t="s">
        <v>2367</v>
      </c>
      <c r="M740" s="801">
        <v>72.400000000000006</v>
      </c>
      <c r="N740" s="801" t="s">
        <v>414</v>
      </c>
      <c r="O740" s="802">
        <v>5200</v>
      </c>
      <c r="P740" s="803" t="s">
        <v>1801</v>
      </c>
      <c r="Q740" s="804">
        <v>6.2700000000000004E-3</v>
      </c>
      <c r="R740" s="805" t="s">
        <v>414</v>
      </c>
      <c r="S740" s="527">
        <v>2.76E-5</v>
      </c>
      <c r="T740" s="528" t="s">
        <v>414</v>
      </c>
    </row>
    <row r="741" spans="1:20" ht="15" customHeight="1">
      <c r="A741" s="791" t="s">
        <v>1528</v>
      </c>
      <c r="B741" s="792" t="s">
        <v>1529</v>
      </c>
      <c r="C741" s="793">
        <v>342.4</v>
      </c>
      <c r="D741" s="794" t="s">
        <v>1801</v>
      </c>
      <c r="E741" s="795">
        <v>4.9468999999999998E-8</v>
      </c>
      <c r="F741" s="795">
        <v>1.21E-9</v>
      </c>
      <c r="G741" s="796" t="s">
        <v>414</v>
      </c>
      <c r="H741" s="821" t="s">
        <v>1750</v>
      </c>
      <c r="I741" s="822" t="s">
        <v>43</v>
      </c>
      <c r="J741" s="799">
        <v>3.8820800000000003E-2</v>
      </c>
      <c r="K741" s="799">
        <v>4.5359000000000001E-6</v>
      </c>
      <c r="L741" s="800" t="s">
        <v>2367</v>
      </c>
      <c r="M741" s="801">
        <v>327.39999999999998</v>
      </c>
      <c r="N741" s="801" t="s">
        <v>414</v>
      </c>
      <c r="O741" s="802">
        <v>26.6</v>
      </c>
      <c r="P741" s="803" t="s">
        <v>1801</v>
      </c>
      <c r="Q741" s="804">
        <v>1.6000000000000001E-4</v>
      </c>
      <c r="R741" s="805" t="s">
        <v>414</v>
      </c>
      <c r="S741" s="527">
        <v>2.7E-2</v>
      </c>
      <c r="T741" s="528" t="s">
        <v>414</v>
      </c>
    </row>
    <row r="742" spans="1:20" ht="15" customHeight="1" thickBot="1">
      <c r="A742" s="806" t="s">
        <v>1530</v>
      </c>
      <c r="B742" s="807" t="s">
        <v>1531</v>
      </c>
      <c r="C742" s="808">
        <v>240.43</v>
      </c>
      <c r="D742" s="809" t="s">
        <v>1801</v>
      </c>
      <c r="E742" s="810">
        <v>7.4406999999999998E-6</v>
      </c>
      <c r="F742" s="810">
        <v>1.8199999999999999E-7</v>
      </c>
      <c r="G742" s="811" t="s">
        <v>414</v>
      </c>
      <c r="H742" s="812">
        <v>1.29</v>
      </c>
      <c r="I742" s="813" t="s">
        <v>1802</v>
      </c>
      <c r="J742" s="814">
        <v>2.5566700000000001E-2</v>
      </c>
      <c r="K742" s="814">
        <v>6.5922000000000002E-6</v>
      </c>
      <c r="L742" s="815" t="s">
        <v>2367</v>
      </c>
      <c r="M742" s="816">
        <v>611.4</v>
      </c>
      <c r="N742" s="816" t="s">
        <v>414</v>
      </c>
      <c r="O742" s="817">
        <v>30</v>
      </c>
      <c r="P742" s="818" t="s">
        <v>1801</v>
      </c>
      <c r="Q742" s="819">
        <v>9.8999999999999999E-4</v>
      </c>
      <c r="R742" s="820" t="s">
        <v>414</v>
      </c>
      <c r="S742" s="521">
        <v>7.3800000000000004E-2</v>
      </c>
      <c r="T742" s="522" t="s">
        <v>414</v>
      </c>
    </row>
    <row r="743" spans="1:20" ht="15" customHeight="1">
      <c r="A743" s="791" t="s">
        <v>1532</v>
      </c>
      <c r="B743" s="792" t="s">
        <v>1533</v>
      </c>
      <c r="C743" s="793">
        <v>118.71</v>
      </c>
      <c r="D743" s="794" t="s">
        <v>1796</v>
      </c>
      <c r="E743" s="831" t="s">
        <v>1750</v>
      </c>
      <c r="F743" s="831" t="s">
        <v>1750</v>
      </c>
      <c r="G743" s="832" t="s">
        <v>43</v>
      </c>
      <c r="H743" s="797">
        <v>7.2869999999999999</v>
      </c>
      <c r="I743" s="798" t="s">
        <v>1796</v>
      </c>
      <c r="J743" s="833" t="s">
        <v>1750</v>
      </c>
      <c r="K743" s="833" t="s">
        <v>1750</v>
      </c>
      <c r="L743" s="834" t="s">
        <v>43</v>
      </c>
      <c r="M743" s="835" t="s">
        <v>1750</v>
      </c>
      <c r="N743" s="836" t="s">
        <v>43</v>
      </c>
      <c r="O743" s="837" t="s">
        <v>1750</v>
      </c>
      <c r="P743" s="838" t="s">
        <v>43</v>
      </c>
      <c r="Q743" s="804">
        <v>1E-3</v>
      </c>
      <c r="R743" s="805" t="s">
        <v>1797</v>
      </c>
      <c r="S743" s="527">
        <v>7.0499999999999993E-2</v>
      </c>
      <c r="T743" s="528" t="s">
        <v>414</v>
      </c>
    </row>
    <row r="744" spans="1:20" ht="15" customHeight="1">
      <c r="A744" s="791" t="s">
        <v>1534</v>
      </c>
      <c r="B744" s="792" t="s">
        <v>1535</v>
      </c>
      <c r="C744" s="793">
        <v>189.679</v>
      </c>
      <c r="D744" s="794" t="s">
        <v>1796</v>
      </c>
      <c r="E744" s="831" t="s">
        <v>1750</v>
      </c>
      <c r="F744" s="831" t="s">
        <v>1750</v>
      </c>
      <c r="G744" s="832" t="s">
        <v>43</v>
      </c>
      <c r="H744" s="797">
        <v>1.73</v>
      </c>
      <c r="I744" s="798" t="s">
        <v>1796</v>
      </c>
      <c r="J744" s="799">
        <v>3.7971600000000001E-2</v>
      </c>
      <c r="K744" s="799">
        <v>9.0633000000000001E-6</v>
      </c>
      <c r="L744" s="800" t="s">
        <v>2367</v>
      </c>
      <c r="M744" s="835" t="s">
        <v>1750</v>
      </c>
      <c r="N744" s="836" t="s">
        <v>43</v>
      </c>
      <c r="O744" s="837" t="s">
        <v>1750</v>
      </c>
      <c r="P744" s="838" t="s">
        <v>43</v>
      </c>
      <c r="Q744" s="804">
        <v>1E-3</v>
      </c>
      <c r="R744" s="805" t="s">
        <v>1797</v>
      </c>
      <c r="S744" s="527">
        <v>1.26E-2</v>
      </c>
      <c r="T744" s="528" t="s">
        <v>414</v>
      </c>
    </row>
    <row r="745" spans="1:20" ht="15" customHeight="1" thickBot="1">
      <c r="A745" s="806" t="s">
        <v>95</v>
      </c>
      <c r="B745" s="807" t="s">
        <v>1536</v>
      </c>
      <c r="C745" s="808">
        <v>92.141999999999996</v>
      </c>
      <c r="D745" s="809" t="s">
        <v>1801</v>
      </c>
      <c r="E745" s="810">
        <v>0.27146360000000003</v>
      </c>
      <c r="F745" s="810">
        <v>6.6400000000000001E-3</v>
      </c>
      <c r="G745" s="811" t="s">
        <v>1801</v>
      </c>
      <c r="H745" s="812">
        <v>0.86229999999999996</v>
      </c>
      <c r="I745" s="813" t="s">
        <v>1796</v>
      </c>
      <c r="J745" s="814">
        <v>7.7803899999999995E-2</v>
      </c>
      <c r="K745" s="814">
        <v>9.2042999999999993E-6</v>
      </c>
      <c r="L745" s="815" t="s">
        <v>2367</v>
      </c>
      <c r="M745" s="816">
        <v>233.9</v>
      </c>
      <c r="N745" s="816" t="s">
        <v>414</v>
      </c>
      <c r="O745" s="817">
        <v>526</v>
      </c>
      <c r="P745" s="818" t="s">
        <v>1801</v>
      </c>
      <c r="Q745" s="819">
        <v>3.1099999999999999E-2</v>
      </c>
      <c r="R745" s="820" t="s">
        <v>414</v>
      </c>
      <c r="S745" s="521">
        <v>5.0400000000000002E-3</v>
      </c>
      <c r="T745" s="522" t="s">
        <v>414</v>
      </c>
    </row>
    <row r="746" spans="1:20" ht="15" customHeight="1">
      <c r="A746" s="791" t="s">
        <v>2438</v>
      </c>
      <c r="B746" s="792" t="s">
        <v>2439</v>
      </c>
      <c r="C746" s="793">
        <v>174.16</v>
      </c>
      <c r="D746" s="794" t="s">
        <v>414</v>
      </c>
      <c r="E746" s="795">
        <v>4.5380000000000003E-4</v>
      </c>
      <c r="F746" s="795">
        <v>1.11E-5</v>
      </c>
      <c r="G746" s="796" t="s">
        <v>414</v>
      </c>
      <c r="H746" s="797">
        <v>1.2243999999999999</v>
      </c>
      <c r="I746" s="798" t="s">
        <v>1796</v>
      </c>
      <c r="J746" s="799">
        <v>4.0256699999999999E-2</v>
      </c>
      <c r="K746" s="799">
        <v>7.7527999999999997E-6</v>
      </c>
      <c r="L746" s="800" t="s">
        <v>2367</v>
      </c>
      <c r="M746" s="801">
        <v>7424</v>
      </c>
      <c r="N746" s="801" t="s">
        <v>414</v>
      </c>
      <c r="O746" s="802">
        <v>37.57</v>
      </c>
      <c r="P746" s="803" t="s">
        <v>414</v>
      </c>
      <c r="Q746" s="804">
        <v>0.505</v>
      </c>
      <c r="R746" s="805" t="s">
        <v>414</v>
      </c>
      <c r="S746" s="527">
        <v>1.1599999999999999E-2</v>
      </c>
      <c r="T746" s="528" t="s">
        <v>414</v>
      </c>
    </row>
    <row r="747" spans="1:20" ht="15" customHeight="1">
      <c r="A747" s="791" t="s">
        <v>1920</v>
      </c>
      <c r="B747" s="792" t="s">
        <v>1921</v>
      </c>
      <c r="C747" s="793">
        <v>122.17</v>
      </c>
      <c r="D747" s="794" t="s">
        <v>1801</v>
      </c>
      <c r="E747" s="795">
        <v>3.0376000000000001E-7</v>
      </c>
      <c r="F747" s="795">
        <v>7.4300000000000002E-9</v>
      </c>
      <c r="G747" s="796" t="s">
        <v>1801</v>
      </c>
      <c r="H747" s="821" t="s">
        <v>1750</v>
      </c>
      <c r="I747" s="822" t="s">
        <v>43</v>
      </c>
      <c r="J747" s="799">
        <v>7.7169199999999993E-2</v>
      </c>
      <c r="K747" s="799">
        <v>9.0165999999999994E-6</v>
      </c>
      <c r="L747" s="800" t="s">
        <v>2367</v>
      </c>
      <c r="M747" s="801">
        <v>55.39</v>
      </c>
      <c r="N747" s="801" t="s">
        <v>414</v>
      </c>
      <c r="O747" s="802">
        <v>77200</v>
      </c>
      <c r="P747" s="803" t="s">
        <v>1801</v>
      </c>
      <c r="Q747" s="804">
        <v>4.0999999999999999E-4</v>
      </c>
      <c r="R747" s="805" t="s">
        <v>414</v>
      </c>
      <c r="S747" s="527">
        <v>1.2699999999999999E-2</v>
      </c>
      <c r="T747" s="528" t="s">
        <v>414</v>
      </c>
    </row>
    <row r="748" spans="1:20" ht="15" customHeight="1" thickBot="1">
      <c r="A748" s="806" t="s">
        <v>2440</v>
      </c>
      <c r="B748" s="807" t="s">
        <v>2441</v>
      </c>
      <c r="C748" s="808">
        <v>174.16</v>
      </c>
      <c r="D748" s="809" t="s">
        <v>414</v>
      </c>
      <c r="E748" s="810">
        <v>4.5380000000000003E-4</v>
      </c>
      <c r="F748" s="810">
        <v>1.11E-5</v>
      </c>
      <c r="G748" s="811" t="s">
        <v>414</v>
      </c>
      <c r="H748" s="839" t="s">
        <v>1750</v>
      </c>
      <c r="I748" s="840" t="s">
        <v>43</v>
      </c>
      <c r="J748" s="814">
        <v>6.0923900000000003E-2</v>
      </c>
      <c r="K748" s="814">
        <v>7.1184999999999997E-6</v>
      </c>
      <c r="L748" s="815" t="s">
        <v>2367</v>
      </c>
      <c r="M748" s="816">
        <v>7576</v>
      </c>
      <c r="N748" s="816" t="s">
        <v>414</v>
      </c>
      <c r="O748" s="817">
        <v>37.57</v>
      </c>
      <c r="P748" s="818" t="s">
        <v>414</v>
      </c>
      <c r="Q748" s="819">
        <v>5.0500000000000003E-2</v>
      </c>
      <c r="R748" s="820" t="s">
        <v>414</v>
      </c>
      <c r="S748" s="521">
        <v>3.6200000000000003E-2</v>
      </c>
      <c r="T748" s="522" t="s">
        <v>414</v>
      </c>
    </row>
    <row r="749" spans="1:20" ht="15" customHeight="1">
      <c r="A749" s="791" t="s">
        <v>2442</v>
      </c>
      <c r="B749" s="792" t="s">
        <v>2443</v>
      </c>
      <c r="C749" s="793">
        <v>107.16</v>
      </c>
      <c r="D749" s="794" t="s">
        <v>1801</v>
      </c>
      <c r="E749" s="795">
        <v>8.0900000000000001E-5</v>
      </c>
      <c r="F749" s="795">
        <v>1.9800000000000001E-6</v>
      </c>
      <c r="G749" s="796" t="s">
        <v>1801</v>
      </c>
      <c r="H749" s="797">
        <v>0.99839999999999995</v>
      </c>
      <c r="I749" s="798" t="s">
        <v>1796</v>
      </c>
      <c r="J749" s="799">
        <v>7.2397400000000001E-2</v>
      </c>
      <c r="K749" s="799">
        <v>9.1797999999999998E-6</v>
      </c>
      <c r="L749" s="800" t="s">
        <v>2367</v>
      </c>
      <c r="M749" s="801">
        <v>115</v>
      </c>
      <c r="N749" s="801" t="s">
        <v>414</v>
      </c>
      <c r="O749" s="802">
        <v>16600</v>
      </c>
      <c r="P749" s="803" t="s">
        <v>1801</v>
      </c>
      <c r="Q749" s="804">
        <v>2.96E-3</v>
      </c>
      <c r="R749" s="805" t="s">
        <v>414</v>
      </c>
      <c r="S749" s="527">
        <v>3.4599999999999999E-2</v>
      </c>
      <c r="T749" s="528" t="s">
        <v>414</v>
      </c>
    </row>
    <row r="750" spans="1:20" ht="15" customHeight="1">
      <c r="A750" s="791" t="s">
        <v>1537</v>
      </c>
      <c r="B750" s="792" t="s">
        <v>1538</v>
      </c>
      <c r="C750" s="793">
        <v>107.16</v>
      </c>
      <c r="D750" s="794" t="s">
        <v>1801</v>
      </c>
      <c r="E750" s="795">
        <v>8.2600000000000002E-5</v>
      </c>
      <c r="F750" s="795">
        <v>2.0200000000000001E-6</v>
      </c>
      <c r="G750" s="796" t="s">
        <v>1801</v>
      </c>
      <c r="H750" s="797">
        <v>0.96189999999999998</v>
      </c>
      <c r="I750" s="798" t="s">
        <v>1796</v>
      </c>
      <c r="J750" s="799">
        <v>7.1219000000000005E-2</v>
      </c>
      <c r="K750" s="799">
        <v>8.9770000000000006E-6</v>
      </c>
      <c r="L750" s="800" t="s">
        <v>2367</v>
      </c>
      <c r="M750" s="801">
        <v>112.7</v>
      </c>
      <c r="N750" s="801" t="s">
        <v>414</v>
      </c>
      <c r="O750" s="802">
        <v>6500</v>
      </c>
      <c r="P750" s="803" t="s">
        <v>1801</v>
      </c>
      <c r="Q750" s="804">
        <v>3.29E-3</v>
      </c>
      <c r="R750" s="805" t="s">
        <v>414</v>
      </c>
      <c r="S750" s="527">
        <v>9.1400000000000006E-3</v>
      </c>
      <c r="T750" s="528" t="s">
        <v>414</v>
      </c>
    </row>
    <row r="751" spans="1:20" ht="15" customHeight="1" thickBot="1">
      <c r="A751" s="806" t="s">
        <v>2122</v>
      </c>
      <c r="B751" s="807" t="s">
        <v>2444</v>
      </c>
      <c r="C751" s="808">
        <v>170.34</v>
      </c>
      <c r="D751" s="809" t="s">
        <v>414</v>
      </c>
      <c r="E751" s="810">
        <v>334.42354999999998</v>
      </c>
      <c r="F751" s="810">
        <v>8.18</v>
      </c>
      <c r="G751" s="811" t="s">
        <v>414</v>
      </c>
      <c r="H751" s="812">
        <v>0.877</v>
      </c>
      <c r="I751" s="813" t="s">
        <v>2399</v>
      </c>
      <c r="J751" s="814">
        <v>3.6193999999999997E-2</v>
      </c>
      <c r="K751" s="814">
        <v>6.4309999999999999E-6</v>
      </c>
      <c r="L751" s="815" t="s">
        <v>2367</v>
      </c>
      <c r="M751" s="816">
        <v>4818</v>
      </c>
      <c r="N751" s="816" t="s">
        <v>414</v>
      </c>
      <c r="O751" s="817">
        <v>3.7000000000000002E-3</v>
      </c>
      <c r="P751" s="818" t="s">
        <v>414</v>
      </c>
      <c r="Q751" s="819">
        <v>1.96</v>
      </c>
      <c r="R751" s="820" t="s">
        <v>414</v>
      </c>
      <c r="S751" s="521">
        <v>1.61E-2</v>
      </c>
      <c r="T751" s="522" t="s">
        <v>414</v>
      </c>
    </row>
    <row r="752" spans="1:20" ht="15" customHeight="1">
      <c r="A752" s="791" t="s">
        <v>2123</v>
      </c>
      <c r="B752" s="792" t="s">
        <v>2445</v>
      </c>
      <c r="C752" s="793">
        <v>86.18</v>
      </c>
      <c r="D752" s="794" t="s">
        <v>2446</v>
      </c>
      <c r="E752" s="795">
        <v>73.589534</v>
      </c>
      <c r="F752" s="795">
        <v>1.8</v>
      </c>
      <c r="G752" s="796" t="s">
        <v>414</v>
      </c>
      <c r="H752" s="797">
        <v>0.66059999999999997</v>
      </c>
      <c r="I752" s="798" t="s">
        <v>1796</v>
      </c>
      <c r="J752" s="799">
        <v>7.3106400000000002E-2</v>
      </c>
      <c r="K752" s="799">
        <v>8.1657000000000004E-6</v>
      </c>
      <c r="L752" s="800" t="s">
        <v>2367</v>
      </c>
      <c r="M752" s="801">
        <v>131.5</v>
      </c>
      <c r="N752" s="801" t="s">
        <v>414</v>
      </c>
      <c r="O752" s="802">
        <v>9.5</v>
      </c>
      <c r="P752" s="803" t="s">
        <v>2446</v>
      </c>
      <c r="Q752" s="804">
        <v>0.20100000000000001</v>
      </c>
      <c r="R752" s="805" t="s">
        <v>414</v>
      </c>
      <c r="S752" s="527">
        <v>9.5999999999999992E-3</v>
      </c>
      <c r="T752" s="528" t="s">
        <v>414</v>
      </c>
    </row>
    <row r="753" spans="1:20" ht="15" customHeight="1">
      <c r="A753" s="791" t="s">
        <v>2124</v>
      </c>
      <c r="B753" s="792" t="s">
        <v>2447</v>
      </c>
      <c r="C753" s="793">
        <v>128.26</v>
      </c>
      <c r="D753" s="794" t="s">
        <v>2446</v>
      </c>
      <c r="E753" s="795">
        <v>139.00245000000001</v>
      </c>
      <c r="F753" s="795">
        <v>3.4</v>
      </c>
      <c r="G753" s="796" t="s">
        <v>414</v>
      </c>
      <c r="H753" s="797">
        <v>0.71919999999999995</v>
      </c>
      <c r="I753" s="798" t="s">
        <v>1796</v>
      </c>
      <c r="J753" s="799">
        <v>5.1431999999999999E-2</v>
      </c>
      <c r="K753" s="799">
        <v>6.7689999999999999E-6</v>
      </c>
      <c r="L753" s="800" t="s">
        <v>2367</v>
      </c>
      <c r="M753" s="801">
        <v>796</v>
      </c>
      <c r="N753" s="801" t="s">
        <v>414</v>
      </c>
      <c r="O753" s="802">
        <v>0.22</v>
      </c>
      <c r="P753" s="803" t="s">
        <v>2446</v>
      </c>
      <c r="Q753" s="804">
        <v>1.7</v>
      </c>
      <c r="R753" s="805" t="s">
        <v>414</v>
      </c>
      <c r="S753" s="527">
        <v>7.5199999999999998E-3</v>
      </c>
      <c r="T753" s="528" t="s">
        <v>414</v>
      </c>
    </row>
    <row r="754" spans="1:20" ht="15" customHeight="1" thickBot="1">
      <c r="A754" s="806" t="s">
        <v>2125</v>
      </c>
      <c r="B754" s="807" t="s">
        <v>2448</v>
      </c>
      <c r="C754" s="808">
        <v>202.26</v>
      </c>
      <c r="D754" s="809" t="s">
        <v>2446</v>
      </c>
      <c r="E754" s="810">
        <v>3.6220000000000002E-4</v>
      </c>
      <c r="F754" s="810">
        <v>8.8599999999999999E-6</v>
      </c>
      <c r="G754" s="811" t="s">
        <v>2446</v>
      </c>
      <c r="H754" s="812">
        <v>1.252</v>
      </c>
      <c r="I754" s="813" t="s">
        <v>1796</v>
      </c>
      <c r="J754" s="814">
        <v>2.7595700000000001E-2</v>
      </c>
      <c r="K754" s="814">
        <v>7.1826999999999999E-6</v>
      </c>
      <c r="L754" s="815" t="s">
        <v>2367</v>
      </c>
      <c r="M754" s="816">
        <v>55450</v>
      </c>
      <c r="N754" s="816" t="s">
        <v>414</v>
      </c>
      <c r="O754" s="817">
        <v>0.26</v>
      </c>
      <c r="P754" s="818" t="s">
        <v>2446</v>
      </c>
      <c r="Q754" s="819">
        <v>0.308</v>
      </c>
      <c r="R754" s="820" t="s">
        <v>414</v>
      </c>
      <c r="S754" s="521">
        <v>1.6899999999999998E-2</v>
      </c>
      <c r="T754" s="522" t="s">
        <v>414</v>
      </c>
    </row>
    <row r="755" spans="1:20" ht="15" customHeight="1">
      <c r="A755" s="791" t="s">
        <v>2126</v>
      </c>
      <c r="B755" s="792" t="s">
        <v>2449</v>
      </c>
      <c r="C755" s="793">
        <v>78.114999999999995</v>
      </c>
      <c r="D755" s="794" t="s">
        <v>2446</v>
      </c>
      <c r="E755" s="795">
        <v>0.22690109999999999</v>
      </c>
      <c r="F755" s="795">
        <v>5.5500000000000002E-3</v>
      </c>
      <c r="G755" s="796" t="s">
        <v>2446</v>
      </c>
      <c r="H755" s="797">
        <v>0.87649999999999995</v>
      </c>
      <c r="I755" s="798" t="s">
        <v>1796</v>
      </c>
      <c r="J755" s="799">
        <v>8.9534000000000002E-2</v>
      </c>
      <c r="K755" s="799">
        <v>1.03E-5</v>
      </c>
      <c r="L755" s="800" t="s">
        <v>2367</v>
      </c>
      <c r="M755" s="801">
        <v>145.80000000000001</v>
      </c>
      <c r="N755" s="801" t="s">
        <v>414</v>
      </c>
      <c r="O755" s="802">
        <v>1790</v>
      </c>
      <c r="P755" s="803" t="s">
        <v>2446</v>
      </c>
      <c r="Q755" s="804">
        <v>1.49E-2</v>
      </c>
      <c r="R755" s="805" t="s">
        <v>414</v>
      </c>
      <c r="S755" s="527">
        <v>3.3399999999999999E-2</v>
      </c>
      <c r="T755" s="528" t="s">
        <v>414</v>
      </c>
    </row>
    <row r="756" spans="1:20" ht="15" customHeight="1">
      <c r="A756" s="791" t="s">
        <v>2127</v>
      </c>
      <c r="B756" s="792" t="s">
        <v>2450</v>
      </c>
      <c r="C756" s="793">
        <v>135.19</v>
      </c>
      <c r="D756" s="794" t="s">
        <v>2446</v>
      </c>
      <c r="E756" s="795">
        <v>1.9583E-2</v>
      </c>
      <c r="F756" s="795">
        <v>4.7899999999999999E-4</v>
      </c>
      <c r="G756" s="796" t="s">
        <v>2446</v>
      </c>
      <c r="H756" s="797">
        <v>1.01555</v>
      </c>
      <c r="I756" s="798" t="s">
        <v>1796</v>
      </c>
      <c r="J756" s="799">
        <v>5.6381800000000003E-2</v>
      </c>
      <c r="K756" s="799">
        <v>8.0672999999999998E-6</v>
      </c>
      <c r="L756" s="800" t="s">
        <v>2367</v>
      </c>
      <c r="M756" s="801">
        <v>2011</v>
      </c>
      <c r="N756" s="801" t="s">
        <v>414</v>
      </c>
      <c r="O756" s="802">
        <v>27.8</v>
      </c>
      <c r="P756" s="803" t="s">
        <v>2446</v>
      </c>
      <c r="Q756" s="804">
        <v>6.9150000000000003E-2</v>
      </c>
      <c r="R756" s="805" t="s">
        <v>414</v>
      </c>
      <c r="S756" s="527">
        <v>6.8900000000000003E-2</v>
      </c>
      <c r="T756" s="528" t="s">
        <v>414</v>
      </c>
    </row>
    <row r="757" spans="1:20" ht="15" customHeight="1" thickBot="1">
      <c r="A757" s="806" t="s">
        <v>1539</v>
      </c>
      <c r="B757" s="807" t="s">
        <v>1540</v>
      </c>
      <c r="C757" s="808">
        <v>448.26</v>
      </c>
      <c r="D757" s="809" t="s">
        <v>1801</v>
      </c>
      <c r="E757" s="810">
        <v>2.453E-4</v>
      </c>
      <c r="F757" s="810">
        <v>6.0000000000000002E-6</v>
      </c>
      <c r="G757" s="811" t="s">
        <v>1801</v>
      </c>
      <c r="H757" s="839" t="s">
        <v>1750</v>
      </c>
      <c r="I757" s="840" t="s">
        <v>43</v>
      </c>
      <c r="J757" s="814">
        <v>3.2439000000000003E-2</v>
      </c>
      <c r="K757" s="814">
        <v>3.7902000000000002E-6</v>
      </c>
      <c r="L757" s="815" t="s">
        <v>2367</v>
      </c>
      <c r="M757" s="816">
        <v>77200</v>
      </c>
      <c r="N757" s="816" t="s">
        <v>414</v>
      </c>
      <c r="O757" s="817">
        <v>0.55000000000000004</v>
      </c>
      <c r="P757" s="818" t="s">
        <v>1801</v>
      </c>
      <c r="Q757" s="819">
        <v>5.1799999999999999E-2</v>
      </c>
      <c r="R757" s="820" t="s">
        <v>414</v>
      </c>
      <c r="S757" s="521">
        <v>3.8999999999999998E-3</v>
      </c>
      <c r="T757" s="522" t="s">
        <v>414</v>
      </c>
    </row>
    <row r="758" spans="1:20" ht="15" customHeight="1">
      <c r="A758" s="791" t="s">
        <v>1541</v>
      </c>
      <c r="B758" s="792" t="s">
        <v>1542</v>
      </c>
      <c r="C758" s="793">
        <v>665.02</v>
      </c>
      <c r="D758" s="794" t="s">
        <v>1801</v>
      </c>
      <c r="E758" s="795">
        <v>1.6108000000000001E-8</v>
      </c>
      <c r="F758" s="795">
        <v>3.9399999999999998E-10</v>
      </c>
      <c r="G758" s="796" t="s">
        <v>414</v>
      </c>
      <c r="H758" s="821" t="s">
        <v>1750</v>
      </c>
      <c r="I758" s="822" t="s">
        <v>43</v>
      </c>
      <c r="J758" s="799">
        <v>2.4938100000000001E-2</v>
      </c>
      <c r="K758" s="799">
        <v>2.9138E-6</v>
      </c>
      <c r="L758" s="800" t="s">
        <v>2367</v>
      </c>
      <c r="M758" s="801">
        <v>191100</v>
      </c>
      <c r="N758" s="801" t="s">
        <v>414</v>
      </c>
      <c r="O758" s="802">
        <v>0.08</v>
      </c>
      <c r="P758" s="803" t="s">
        <v>1801</v>
      </c>
      <c r="Q758" s="804">
        <v>3.0499999999999999E-2</v>
      </c>
      <c r="R758" s="805" t="s">
        <v>414</v>
      </c>
      <c r="S758" s="527">
        <v>7.2800000000000004E-2</v>
      </c>
      <c r="T758" s="528" t="s">
        <v>414</v>
      </c>
    </row>
    <row r="759" spans="1:20" ht="15" customHeight="1">
      <c r="A759" s="791" t="s">
        <v>1543</v>
      </c>
      <c r="B759" s="792" t="s">
        <v>1544</v>
      </c>
      <c r="C759" s="793">
        <v>291.05</v>
      </c>
      <c r="D759" s="794" t="s">
        <v>1801</v>
      </c>
      <c r="E759" s="795">
        <v>62.142273000000003</v>
      </c>
      <c r="F759" s="795">
        <v>1.52</v>
      </c>
      <c r="G759" s="796" t="s">
        <v>1801</v>
      </c>
      <c r="H759" s="797">
        <v>1.103</v>
      </c>
      <c r="I759" s="798" t="s">
        <v>1796</v>
      </c>
      <c r="J759" s="799">
        <v>2.1473800000000001E-2</v>
      </c>
      <c r="K759" s="799">
        <v>5.3510000000000001E-6</v>
      </c>
      <c r="L759" s="800" t="s">
        <v>2367</v>
      </c>
      <c r="M759" s="801">
        <v>8091</v>
      </c>
      <c r="N759" s="801" t="s">
        <v>414</v>
      </c>
      <c r="O759" s="802">
        <v>7.3000000000000001E-3</v>
      </c>
      <c r="P759" s="803" t="s">
        <v>1801</v>
      </c>
      <c r="Q759" s="804">
        <v>1.9300000000000001E-2</v>
      </c>
      <c r="R759" s="805" t="s">
        <v>414</v>
      </c>
      <c r="S759" s="527">
        <v>9.48E-5</v>
      </c>
      <c r="T759" s="528" t="s">
        <v>414</v>
      </c>
    </row>
    <row r="760" spans="1:20" ht="15" customHeight="1" thickBot="1">
      <c r="A760" s="806" t="s">
        <v>1922</v>
      </c>
      <c r="B760" s="807" t="s">
        <v>1923</v>
      </c>
      <c r="C760" s="808">
        <v>218.21</v>
      </c>
      <c r="D760" s="809" t="s">
        <v>1801</v>
      </c>
      <c r="E760" s="810">
        <v>5.0299999999999999E-7</v>
      </c>
      <c r="F760" s="810">
        <v>1.2299999999999999E-8</v>
      </c>
      <c r="G760" s="811" t="s">
        <v>414</v>
      </c>
      <c r="H760" s="812">
        <v>1.1583000000000001</v>
      </c>
      <c r="I760" s="813" t="s">
        <v>1796</v>
      </c>
      <c r="J760" s="814">
        <v>2.5579999999999999E-2</v>
      </c>
      <c r="K760" s="814">
        <v>6.55E-6</v>
      </c>
      <c r="L760" s="815" t="s">
        <v>2367</v>
      </c>
      <c r="M760" s="816">
        <v>40.729999999999997</v>
      </c>
      <c r="N760" s="816" t="s">
        <v>414</v>
      </c>
      <c r="O760" s="817">
        <v>58000</v>
      </c>
      <c r="P760" s="818" t="s">
        <v>1801</v>
      </c>
      <c r="Q760" s="819">
        <v>1.37E-4</v>
      </c>
      <c r="R760" s="820" t="s">
        <v>414</v>
      </c>
      <c r="S760" s="521">
        <v>8.9700000000000002E-2</v>
      </c>
      <c r="T760" s="522" t="s">
        <v>414</v>
      </c>
    </row>
    <row r="761" spans="1:20" ht="15" customHeight="1">
      <c r="A761" s="791" t="s">
        <v>2260</v>
      </c>
      <c r="B761" s="792" t="s">
        <v>439</v>
      </c>
      <c r="C761" s="793">
        <v>293.76</v>
      </c>
      <c r="D761" s="794" t="s">
        <v>1801</v>
      </c>
      <c r="E761" s="795">
        <v>3.3156E-9</v>
      </c>
      <c r="F761" s="795">
        <v>8.1099999999999997E-11</v>
      </c>
      <c r="G761" s="796" t="s">
        <v>414</v>
      </c>
      <c r="H761" s="797">
        <v>1.22</v>
      </c>
      <c r="I761" s="798" t="s">
        <v>1796</v>
      </c>
      <c r="J761" s="799">
        <v>2.24291E-2</v>
      </c>
      <c r="K761" s="799">
        <v>5.6532000000000004E-6</v>
      </c>
      <c r="L761" s="800" t="s">
        <v>2367</v>
      </c>
      <c r="M761" s="801">
        <v>298.5</v>
      </c>
      <c r="N761" s="801" t="s">
        <v>414</v>
      </c>
      <c r="O761" s="802">
        <v>71.5</v>
      </c>
      <c r="P761" s="803" t="s">
        <v>1801</v>
      </c>
      <c r="Q761" s="804">
        <v>2.4399999999999999E-3</v>
      </c>
      <c r="R761" s="805" t="s">
        <v>414</v>
      </c>
      <c r="S761" s="527">
        <v>8.5699999999999998E-2</v>
      </c>
      <c r="T761" s="528" t="s">
        <v>414</v>
      </c>
    </row>
    <row r="762" spans="1:20" ht="15" customHeight="1">
      <c r="A762" s="791" t="s">
        <v>1545</v>
      </c>
      <c r="B762" s="792" t="s">
        <v>1546</v>
      </c>
      <c r="C762" s="793">
        <v>304.67</v>
      </c>
      <c r="D762" s="794" t="s">
        <v>1801</v>
      </c>
      <c r="E762" s="795">
        <v>4.906E-4</v>
      </c>
      <c r="F762" s="795">
        <v>1.2E-5</v>
      </c>
      <c r="G762" s="796" t="s">
        <v>414</v>
      </c>
      <c r="H762" s="797">
        <v>1.2729999999999999</v>
      </c>
      <c r="I762" s="798" t="s">
        <v>1796</v>
      </c>
      <c r="J762" s="799">
        <v>2.2457499999999998E-2</v>
      </c>
      <c r="K762" s="799">
        <v>5.6737999999999998E-6</v>
      </c>
      <c r="L762" s="800" t="s">
        <v>2367</v>
      </c>
      <c r="M762" s="801">
        <v>1008</v>
      </c>
      <c r="N762" s="801" t="s">
        <v>414</v>
      </c>
      <c r="O762" s="802">
        <v>4</v>
      </c>
      <c r="P762" s="803" t="s">
        <v>1801</v>
      </c>
      <c r="Q762" s="804">
        <v>3.49E-2</v>
      </c>
      <c r="R762" s="805" t="s">
        <v>414</v>
      </c>
      <c r="S762" s="527">
        <v>6.2100000000000002E-2</v>
      </c>
      <c r="T762" s="528" t="s">
        <v>414</v>
      </c>
    </row>
    <row r="763" spans="1:20" ht="15" customHeight="1" thickBot="1">
      <c r="A763" s="806" t="s">
        <v>1547</v>
      </c>
      <c r="B763" s="807" t="s">
        <v>1548</v>
      </c>
      <c r="C763" s="808">
        <v>401.83</v>
      </c>
      <c r="D763" s="809" t="s">
        <v>1801</v>
      </c>
      <c r="E763" s="810">
        <v>1.321E-11</v>
      </c>
      <c r="F763" s="810">
        <v>3.2299999999999999E-13</v>
      </c>
      <c r="G763" s="811" t="s">
        <v>1801</v>
      </c>
      <c r="H763" s="839" t="s">
        <v>1750</v>
      </c>
      <c r="I763" s="840" t="s">
        <v>43</v>
      </c>
      <c r="J763" s="814">
        <v>3.4891999999999999E-2</v>
      </c>
      <c r="K763" s="814">
        <v>4.0768999999999999E-6</v>
      </c>
      <c r="L763" s="815" t="s">
        <v>2367</v>
      </c>
      <c r="M763" s="816">
        <v>427.2</v>
      </c>
      <c r="N763" s="816" t="s">
        <v>414</v>
      </c>
      <c r="O763" s="817">
        <v>32</v>
      </c>
      <c r="P763" s="818" t="s">
        <v>1801</v>
      </c>
      <c r="Q763" s="819">
        <v>4.6900000000000002E-5</v>
      </c>
      <c r="R763" s="820" t="s">
        <v>414</v>
      </c>
      <c r="S763" s="521">
        <v>6.0700000000000001E-4</v>
      </c>
      <c r="T763" s="522" t="s">
        <v>414</v>
      </c>
    </row>
    <row r="764" spans="1:20" ht="15" customHeight="1">
      <c r="A764" s="791" t="s">
        <v>2261</v>
      </c>
      <c r="B764" s="792" t="s">
        <v>906</v>
      </c>
      <c r="C764" s="793">
        <v>395.4</v>
      </c>
      <c r="D764" s="794" t="s">
        <v>1801</v>
      </c>
      <c r="E764" s="795">
        <v>4.1700000000000002E-12</v>
      </c>
      <c r="F764" s="795">
        <v>1.0199999999999999E-13</v>
      </c>
      <c r="G764" s="796" t="s">
        <v>1801</v>
      </c>
      <c r="H764" s="821" t="s">
        <v>1750</v>
      </c>
      <c r="I764" s="822" t="s">
        <v>43</v>
      </c>
      <c r="J764" s="799">
        <v>3.5269200000000001E-2</v>
      </c>
      <c r="K764" s="799">
        <v>4.1208999999999998E-6</v>
      </c>
      <c r="L764" s="800" t="s">
        <v>2367</v>
      </c>
      <c r="M764" s="801">
        <v>94.69</v>
      </c>
      <c r="N764" s="801" t="s">
        <v>414</v>
      </c>
      <c r="O764" s="802">
        <v>50</v>
      </c>
      <c r="P764" s="803" t="s">
        <v>1801</v>
      </c>
      <c r="Q764" s="804">
        <v>4.6799999999999999E-4</v>
      </c>
      <c r="R764" s="805" t="s">
        <v>414</v>
      </c>
      <c r="S764" s="527">
        <v>9.6299999999999999E-4</v>
      </c>
      <c r="T764" s="528" t="s">
        <v>414</v>
      </c>
    </row>
    <row r="765" spans="1:20" ht="15" customHeight="1">
      <c r="A765" s="791" t="s">
        <v>1549</v>
      </c>
      <c r="B765" s="792" t="s">
        <v>1550</v>
      </c>
      <c r="C765" s="793">
        <v>314.8</v>
      </c>
      <c r="D765" s="794" t="s">
        <v>1801</v>
      </c>
      <c r="E765" s="795">
        <v>1.39411E-2</v>
      </c>
      <c r="F765" s="795">
        <v>3.4099999999999999E-4</v>
      </c>
      <c r="G765" s="796" t="s">
        <v>1801</v>
      </c>
      <c r="H765" s="797">
        <v>2.2810000000000001</v>
      </c>
      <c r="I765" s="798" t="s">
        <v>2399</v>
      </c>
      <c r="J765" s="799">
        <v>2.8968899999999999E-2</v>
      </c>
      <c r="K765" s="799">
        <v>7.8945000000000004E-6</v>
      </c>
      <c r="L765" s="800" t="s">
        <v>2367</v>
      </c>
      <c r="M765" s="801">
        <v>614.29999999999995</v>
      </c>
      <c r="N765" s="801" t="s">
        <v>414</v>
      </c>
      <c r="O765" s="802">
        <v>4.8979999999999997</v>
      </c>
      <c r="P765" s="803" t="s">
        <v>1801</v>
      </c>
      <c r="Q765" s="804">
        <v>3.3700000000000001E-2</v>
      </c>
      <c r="R765" s="805" t="s">
        <v>414</v>
      </c>
      <c r="S765" s="527">
        <v>3.2699999999999999E-3</v>
      </c>
      <c r="T765" s="528" t="s">
        <v>414</v>
      </c>
    </row>
    <row r="766" spans="1:20" ht="15" customHeight="1" thickBot="1">
      <c r="A766" s="806" t="s">
        <v>2451</v>
      </c>
      <c r="B766" s="807" t="s">
        <v>2452</v>
      </c>
      <c r="C766" s="808">
        <v>330.8</v>
      </c>
      <c r="D766" s="809" t="s">
        <v>1801</v>
      </c>
      <c r="E766" s="810">
        <v>1.4513E-6</v>
      </c>
      <c r="F766" s="810">
        <v>3.55E-8</v>
      </c>
      <c r="G766" s="811" t="s">
        <v>1801</v>
      </c>
      <c r="H766" s="812">
        <v>2.5499999999999998</v>
      </c>
      <c r="I766" s="813" t="s">
        <v>1796</v>
      </c>
      <c r="J766" s="814">
        <v>2.9726499999999999E-2</v>
      </c>
      <c r="K766" s="814">
        <v>8.1933E-6</v>
      </c>
      <c r="L766" s="815" t="s">
        <v>2367</v>
      </c>
      <c r="M766" s="816">
        <v>805.2</v>
      </c>
      <c r="N766" s="816" t="s">
        <v>414</v>
      </c>
      <c r="O766" s="817">
        <v>70</v>
      </c>
      <c r="P766" s="818" t="s">
        <v>1801</v>
      </c>
      <c r="Q766" s="819">
        <v>1.21E-2</v>
      </c>
      <c r="R766" s="820" t="s">
        <v>414</v>
      </c>
      <c r="S766" s="521">
        <v>1.5900000000000001E-3</v>
      </c>
      <c r="T766" s="522" t="s">
        <v>414</v>
      </c>
    </row>
    <row r="767" spans="1:20" ht="15" customHeight="1">
      <c r="A767" s="791" t="s">
        <v>1551</v>
      </c>
      <c r="B767" s="792" t="s">
        <v>1552</v>
      </c>
      <c r="C767" s="793">
        <v>266.32</v>
      </c>
      <c r="D767" s="794" t="s">
        <v>1801</v>
      </c>
      <c r="E767" s="795">
        <v>5.7599999999999997E-5</v>
      </c>
      <c r="F767" s="795">
        <v>1.4100000000000001E-6</v>
      </c>
      <c r="G767" s="796" t="s">
        <v>414</v>
      </c>
      <c r="H767" s="797">
        <v>0.97270000000000001</v>
      </c>
      <c r="I767" s="798" t="s">
        <v>1796</v>
      </c>
      <c r="J767" s="799">
        <v>2.1184100000000001E-2</v>
      </c>
      <c r="K767" s="799">
        <v>5.2337999999999998E-6</v>
      </c>
      <c r="L767" s="800" t="s">
        <v>2367</v>
      </c>
      <c r="M767" s="801">
        <v>2350</v>
      </c>
      <c r="N767" s="801" t="s">
        <v>414</v>
      </c>
      <c r="O767" s="802">
        <v>280</v>
      </c>
      <c r="P767" s="803" t="s">
        <v>1801</v>
      </c>
      <c r="Q767" s="804">
        <v>2.2800000000000001E-2</v>
      </c>
      <c r="R767" s="805" t="s">
        <v>414</v>
      </c>
      <c r="S767" s="527">
        <v>1.1999999999999999E-3</v>
      </c>
      <c r="T767" s="528" t="s">
        <v>414</v>
      </c>
    </row>
    <row r="768" spans="1:20" ht="15" customHeight="1">
      <c r="A768" s="791" t="s">
        <v>1553</v>
      </c>
      <c r="B768" s="792" t="s">
        <v>2453</v>
      </c>
      <c r="C768" s="841" t="s">
        <v>1750</v>
      </c>
      <c r="D768" s="842" t="s">
        <v>43</v>
      </c>
      <c r="E768" s="831" t="s">
        <v>1750</v>
      </c>
      <c r="F768" s="831" t="s">
        <v>1750</v>
      </c>
      <c r="G768" s="832" t="s">
        <v>43</v>
      </c>
      <c r="H768" s="821" t="s">
        <v>1750</v>
      </c>
      <c r="I768" s="822" t="s">
        <v>43</v>
      </c>
      <c r="J768" s="833" t="s">
        <v>1750</v>
      </c>
      <c r="K768" s="833" t="s">
        <v>1750</v>
      </c>
      <c r="L768" s="834" t="s">
        <v>43</v>
      </c>
      <c r="M768" s="835" t="s">
        <v>1750</v>
      </c>
      <c r="N768" s="836" t="s">
        <v>43</v>
      </c>
      <c r="O768" s="837" t="s">
        <v>1750</v>
      </c>
      <c r="P768" s="838" t="s">
        <v>43</v>
      </c>
      <c r="Q768" s="843" t="s">
        <v>1750</v>
      </c>
      <c r="R768" s="844" t="s">
        <v>43</v>
      </c>
      <c r="S768" s="527">
        <v>3.5500000000000001E-4</v>
      </c>
      <c r="T768" s="528" t="s">
        <v>414</v>
      </c>
    </row>
    <row r="769" spans="1:20" ht="15" customHeight="1" thickBot="1">
      <c r="A769" s="806" t="s">
        <v>1554</v>
      </c>
      <c r="B769" s="807" t="s">
        <v>1555</v>
      </c>
      <c r="C769" s="808">
        <v>596.08000000000004</v>
      </c>
      <c r="D769" s="809" t="s">
        <v>1801</v>
      </c>
      <c r="E769" s="810">
        <v>1.2300000000000001E-5</v>
      </c>
      <c r="F769" s="810">
        <v>3.0199999999999998E-7</v>
      </c>
      <c r="G769" s="811" t="s">
        <v>414</v>
      </c>
      <c r="H769" s="812">
        <v>1.17</v>
      </c>
      <c r="I769" s="813" t="s">
        <v>1796</v>
      </c>
      <c r="J769" s="814">
        <v>1.5124800000000001E-2</v>
      </c>
      <c r="K769" s="814">
        <v>3.6057999999999998E-6</v>
      </c>
      <c r="L769" s="815" t="s">
        <v>2367</v>
      </c>
      <c r="M769" s="816">
        <v>25930000</v>
      </c>
      <c r="N769" s="816" t="s">
        <v>414</v>
      </c>
      <c r="O769" s="817">
        <v>19.5</v>
      </c>
      <c r="P769" s="818" t="s">
        <v>1801</v>
      </c>
      <c r="Q769" s="819">
        <v>2.52E-4</v>
      </c>
      <c r="R769" s="820" t="s">
        <v>414</v>
      </c>
      <c r="S769" s="521">
        <v>11.6</v>
      </c>
      <c r="T769" s="522" t="s">
        <v>414</v>
      </c>
    </row>
    <row r="770" spans="1:20" ht="15" customHeight="1">
      <c r="A770" s="791" t="s">
        <v>153</v>
      </c>
      <c r="B770" s="792" t="s">
        <v>1556</v>
      </c>
      <c r="C770" s="793">
        <v>187.38</v>
      </c>
      <c r="D770" s="794" t="s">
        <v>1801</v>
      </c>
      <c r="E770" s="795">
        <v>21.504497000000001</v>
      </c>
      <c r="F770" s="795">
        <v>0.52600000000000002</v>
      </c>
      <c r="G770" s="796" t="s">
        <v>414</v>
      </c>
      <c r="H770" s="797">
        <v>1.5634999999999999</v>
      </c>
      <c r="I770" s="798" t="s">
        <v>1796</v>
      </c>
      <c r="J770" s="799">
        <v>3.7565800000000003E-2</v>
      </c>
      <c r="K770" s="799">
        <v>8.5920000000000001E-6</v>
      </c>
      <c r="L770" s="800" t="s">
        <v>2367</v>
      </c>
      <c r="M770" s="801">
        <v>196.8</v>
      </c>
      <c r="N770" s="801" t="s">
        <v>414</v>
      </c>
      <c r="O770" s="802">
        <v>170</v>
      </c>
      <c r="P770" s="803" t="s">
        <v>1801</v>
      </c>
      <c r="Q770" s="804">
        <v>1.7500000000000002E-2</v>
      </c>
      <c r="R770" s="805" t="s">
        <v>414</v>
      </c>
      <c r="S770" s="527">
        <v>1E-3</v>
      </c>
      <c r="T770" s="528" t="s">
        <v>1797</v>
      </c>
    </row>
    <row r="771" spans="1:20" ht="15" customHeight="1">
      <c r="A771" s="791" t="s">
        <v>1557</v>
      </c>
      <c r="B771" s="792" t="s">
        <v>1558</v>
      </c>
      <c r="C771" s="793">
        <v>163.38999999999999</v>
      </c>
      <c r="D771" s="794" t="s">
        <v>1801</v>
      </c>
      <c r="E771" s="795">
        <v>5.5191999999999998E-7</v>
      </c>
      <c r="F771" s="795">
        <v>1.35E-8</v>
      </c>
      <c r="G771" s="796" t="s">
        <v>1801</v>
      </c>
      <c r="H771" s="797">
        <v>1.6126</v>
      </c>
      <c r="I771" s="798" t="s">
        <v>1796</v>
      </c>
      <c r="J771" s="799">
        <v>5.1748799999999998E-2</v>
      </c>
      <c r="K771" s="799">
        <v>9.5027999999999999E-6</v>
      </c>
      <c r="L771" s="800" t="s">
        <v>2367</v>
      </c>
      <c r="M771" s="801">
        <v>3.2309999999999999</v>
      </c>
      <c r="N771" s="801" t="s">
        <v>414</v>
      </c>
      <c r="O771" s="802">
        <v>54600</v>
      </c>
      <c r="P771" s="803" t="s">
        <v>1801</v>
      </c>
      <c r="Q771" s="804">
        <v>1.4499999999999999E-3</v>
      </c>
      <c r="R771" s="805" t="s">
        <v>414</v>
      </c>
      <c r="S771" s="527">
        <v>3.9399999999999998E-4</v>
      </c>
      <c r="T771" s="528" t="s">
        <v>414</v>
      </c>
    </row>
    <row r="772" spans="1:20" ht="15" customHeight="1" thickBot="1">
      <c r="A772" s="806" t="s">
        <v>1559</v>
      </c>
      <c r="B772" s="807" t="s">
        <v>1560</v>
      </c>
      <c r="C772" s="808">
        <v>232.93</v>
      </c>
      <c r="D772" s="809" t="s">
        <v>414</v>
      </c>
      <c r="E772" s="810">
        <v>2.9349999999999999E-12</v>
      </c>
      <c r="F772" s="810">
        <v>7.1799999999999994E-14</v>
      </c>
      <c r="G772" s="811" t="s">
        <v>414</v>
      </c>
      <c r="H772" s="839" t="s">
        <v>1750</v>
      </c>
      <c r="I772" s="840" t="s">
        <v>43</v>
      </c>
      <c r="J772" s="814">
        <v>5.0188400000000001E-2</v>
      </c>
      <c r="K772" s="814">
        <v>5.8641000000000003E-6</v>
      </c>
      <c r="L772" s="815" t="s">
        <v>2367</v>
      </c>
      <c r="M772" s="816">
        <v>1271</v>
      </c>
      <c r="N772" s="816" t="s">
        <v>414</v>
      </c>
      <c r="O772" s="817">
        <v>20.963999999999999</v>
      </c>
      <c r="P772" s="818" t="s">
        <v>414</v>
      </c>
      <c r="Q772" s="819">
        <v>2.76E-5</v>
      </c>
      <c r="R772" s="820" t="s">
        <v>414</v>
      </c>
      <c r="S772" s="521">
        <v>1E-3</v>
      </c>
      <c r="T772" s="522" t="s">
        <v>1797</v>
      </c>
    </row>
    <row r="773" spans="1:20" ht="15" customHeight="1">
      <c r="A773" s="791" t="s">
        <v>1561</v>
      </c>
      <c r="B773" s="792" t="s">
        <v>1562</v>
      </c>
      <c r="C773" s="793">
        <v>196.46</v>
      </c>
      <c r="D773" s="794" t="s">
        <v>1801</v>
      </c>
      <c r="E773" s="795">
        <v>5.4799999999999997E-5</v>
      </c>
      <c r="F773" s="795">
        <v>1.3400000000000001E-6</v>
      </c>
      <c r="G773" s="796" t="s">
        <v>1801</v>
      </c>
      <c r="H773" s="821" t="s">
        <v>1750</v>
      </c>
      <c r="I773" s="822" t="s">
        <v>43</v>
      </c>
      <c r="J773" s="799">
        <v>5.6221699999999999E-2</v>
      </c>
      <c r="K773" s="799">
        <v>6.5691000000000003E-6</v>
      </c>
      <c r="L773" s="800" t="s">
        <v>2367</v>
      </c>
      <c r="M773" s="801">
        <v>4440</v>
      </c>
      <c r="N773" s="801" t="s">
        <v>414</v>
      </c>
      <c r="O773" s="802">
        <v>40</v>
      </c>
      <c r="P773" s="803" t="s">
        <v>1801</v>
      </c>
      <c r="Q773" s="804">
        <v>2.7E-2</v>
      </c>
      <c r="R773" s="805" t="s">
        <v>414</v>
      </c>
      <c r="S773" s="527">
        <v>1E-3</v>
      </c>
      <c r="T773" s="528" t="s">
        <v>1797</v>
      </c>
    </row>
    <row r="774" spans="1:20" ht="15" customHeight="1">
      <c r="A774" s="791" t="s">
        <v>1563</v>
      </c>
      <c r="B774" s="792" t="s">
        <v>1564</v>
      </c>
      <c r="C774" s="793">
        <v>181.45</v>
      </c>
      <c r="D774" s="794" t="s">
        <v>1801</v>
      </c>
      <c r="E774" s="795">
        <v>5.1103799999999998E-2</v>
      </c>
      <c r="F774" s="795">
        <v>1.25E-3</v>
      </c>
      <c r="G774" s="796" t="s">
        <v>1801</v>
      </c>
      <c r="H774" s="797">
        <v>1.4533</v>
      </c>
      <c r="I774" s="798" t="s">
        <v>1796</v>
      </c>
      <c r="J774" s="799">
        <v>3.9530000000000003E-2</v>
      </c>
      <c r="K774" s="799">
        <v>8.3836000000000005E-6</v>
      </c>
      <c r="L774" s="800" t="s">
        <v>2367</v>
      </c>
      <c r="M774" s="801">
        <v>1383</v>
      </c>
      <c r="N774" s="801" t="s">
        <v>414</v>
      </c>
      <c r="O774" s="802">
        <v>18</v>
      </c>
      <c r="P774" s="803" t="s">
        <v>1801</v>
      </c>
      <c r="Q774" s="804">
        <v>7.3800000000000004E-2</v>
      </c>
      <c r="R774" s="805" t="s">
        <v>414</v>
      </c>
      <c r="S774" s="527">
        <v>4.0300000000000002E-2</v>
      </c>
      <c r="T774" s="528" t="s">
        <v>414</v>
      </c>
    </row>
    <row r="775" spans="1:20" ht="15" customHeight="1" thickBot="1">
      <c r="A775" s="806" t="s">
        <v>158</v>
      </c>
      <c r="B775" s="807" t="s">
        <v>1565</v>
      </c>
      <c r="C775" s="808">
        <v>181.45</v>
      </c>
      <c r="D775" s="809" t="s">
        <v>1801</v>
      </c>
      <c r="E775" s="810">
        <v>5.8054000000000001E-2</v>
      </c>
      <c r="F775" s="810">
        <v>1.42E-3</v>
      </c>
      <c r="G775" s="811" t="s">
        <v>1801</v>
      </c>
      <c r="H775" s="812">
        <v>1.4590000000000001</v>
      </c>
      <c r="I775" s="813" t="s">
        <v>1796</v>
      </c>
      <c r="J775" s="814">
        <v>3.9599200000000001E-2</v>
      </c>
      <c r="K775" s="814">
        <v>8.4032999999999997E-6</v>
      </c>
      <c r="L775" s="815" t="s">
        <v>2367</v>
      </c>
      <c r="M775" s="816">
        <v>1356</v>
      </c>
      <c r="N775" s="816" t="s">
        <v>414</v>
      </c>
      <c r="O775" s="817">
        <v>49</v>
      </c>
      <c r="P775" s="818" t="s">
        <v>1801</v>
      </c>
      <c r="Q775" s="819">
        <v>7.0499999999999993E-2</v>
      </c>
      <c r="R775" s="820" t="s">
        <v>414</v>
      </c>
      <c r="S775" s="521">
        <v>4.4600000000000004E-3</v>
      </c>
      <c r="T775" s="522" t="s">
        <v>414</v>
      </c>
    </row>
    <row r="776" spans="1:20" ht="15" customHeight="1">
      <c r="A776" s="791" t="s">
        <v>151</v>
      </c>
      <c r="B776" s="792" t="s">
        <v>1566</v>
      </c>
      <c r="C776" s="793">
        <v>133.41</v>
      </c>
      <c r="D776" s="794" t="s">
        <v>1801</v>
      </c>
      <c r="E776" s="795">
        <v>0.70318890000000001</v>
      </c>
      <c r="F776" s="795">
        <v>1.72E-2</v>
      </c>
      <c r="G776" s="796" t="s">
        <v>1801</v>
      </c>
      <c r="H776" s="797">
        <v>1.339</v>
      </c>
      <c r="I776" s="798" t="s">
        <v>1796</v>
      </c>
      <c r="J776" s="799">
        <v>6.4817399999999997E-2</v>
      </c>
      <c r="K776" s="799">
        <v>9.5990000000000008E-6</v>
      </c>
      <c r="L776" s="800" t="s">
        <v>2367</v>
      </c>
      <c r="M776" s="801">
        <v>43.89</v>
      </c>
      <c r="N776" s="801" t="s">
        <v>414</v>
      </c>
      <c r="O776" s="802">
        <v>1290</v>
      </c>
      <c r="P776" s="803" t="s">
        <v>1801</v>
      </c>
      <c r="Q776" s="804">
        <v>1.26E-2</v>
      </c>
      <c r="R776" s="805" t="s">
        <v>414</v>
      </c>
      <c r="S776" s="527">
        <v>1.57E-3</v>
      </c>
      <c r="T776" s="528" t="s">
        <v>414</v>
      </c>
    </row>
    <row r="777" spans="1:20" ht="15" customHeight="1">
      <c r="A777" s="791" t="s">
        <v>154</v>
      </c>
      <c r="B777" s="792" t="s">
        <v>1567</v>
      </c>
      <c r="C777" s="793">
        <v>133.41</v>
      </c>
      <c r="D777" s="794" t="s">
        <v>1801</v>
      </c>
      <c r="E777" s="795">
        <v>3.3687700000000001E-2</v>
      </c>
      <c r="F777" s="795">
        <v>8.2399999999999997E-4</v>
      </c>
      <c r="G777" s="796" t="s">
        <v>1801</v>
      </c>
      <c r="H777" s="797">
        <v>1.4397</v>
      </c>
      <c r="I777" s="798" t="s">
        <v>1796</v>
      </c>
      <c r="J777" s="799">
        <v>6.6890400000000003E-2</v>
      </c>
      <c r="K777" s="799">
        <v>1.0000000000000001E-5</v>
      </c>
      <c r="L777" s="800" t="s">
        <v>2367</v>
      </c>
      <c r="M777" s="801">
        <v>60.7</v>
      </c>
      <c r="N777" s="801" t="s">
        <v>414</v>
      </c>
      <c r="O777" s="802">
        <v>4590</v>
      </c>
      <c r="P777" s="803" t="s">
        <v>1801</v>
      </c>
      <c r="Q777" s="804">
        <v>5.0400000000000002E-3</v>
      </c>
      <c r="R777" s="805" t="s">
        <v>414</v>
      </c>
      <c r="S777" s="527">
        <v>4.3499999999999997E-3</v>
      </c>
      <c r="T777" s="528" t="s">
        <v>414</v>
      </c>
    </row>
    <row r="778" spans="1:20" ht="15" customHeight="1" thickBot="1">
      <c r="A778" s="806" t="s">
        <v>68</v>
      </c>
      <c r="B778" s="807" t="s">
        <v>1568</v>
      </c>
      <c r="C778" s="808">
        <v>131.38999999999999</v>
      </c>
      <c r="D778" s="809" t="s">
        <v>1801</v>
      </c>
      <c r="E778" s="810">
        <v>0.40269830000000001</v>
      </c>
      <c r="F778" s="810">
        <v>9.8499999999999994E-3</v>
      </c>
      <c r="G778" s="811" t="s">
        <v>1801</v>
      </c>
      <c r="H778" s="812">
        <v>1.4641999999999999</v>
      </c>
      <c r="I778" s="813" t="s">
        <v>1796</v>
      </c>
      <c r="J778" s="814">
        <v>6.8661799999999995E-2</v>
      </c>
      <c r="K778" s="814">
        <v>1.0200000000000001E-5</v>
      </c>
      <c r="L778" s="815" t="s">
        <v>2367</v>
      </c>
      <c r="M778" s="816">
        <v>60.7</v>
      </c>
      <c r="N778" s="816" t="s">
        <v>414</v>
      </c>
      <c r="O778" s="817">
        <v>1280</v>
      </c>
      <c r="P778" s="818" t="s">
        <v>1801</v>
      </c>
      <c r="Q778" s="819">
        <v>1.1599999999999999E-2</v>
      </c>
      <c r="R778" s="820" t="s">
        <v>414</v>
      </c>
      <c r="S778" s="521">
        <v>8.3800000000000003E-3</v>
      </c>
      <c r="T778" s="522" t="s">
        <v>414</v>
      </c>
    </row>
    <row r="779" spans="1:20" ht="15" customHeight="1">
      <c r="A779" s="791" t="s">
        <v>61</v>
      </c>
      <c r="B779" s="792" t="s">
        <v>1569</v>
      </c>
      <c r="C779" s="793">
        <v>137.37</v>
      </c>
      <c r="D779" s="794" t="s">
        <v>1801</v>
      </c>
      <c r="E779" s="795">
        <v>3.9656582</v>
      </c>
      <c r="F779" s="795">
        <v>9.7000000000000003E-2</v>
      </c>
      <c r="G779" s="796" t="s">
        <v>1801</v>
      </c>
      <c r="H779" s="797">
        <v>1.4879</v>
      </c>
      <c r="I779" s="798" t="s">
        <v>1796</v>
      </c>
      <c r="J779" s="799">
        <v>6.5355999999999997E-2</v>
      </c>
      <c r="K779" s="799">
        <v>1.0000000000000001E-5</v>
      </c>
      <c r="L779" s="800" t="s">
        <v>2367</v>
      </c>
      <c r="M779" s="801">
        <v>43.89</v>
      </c>
      <c r="N779" s="801" t="s">
        <v>414</v>
      </c>
      <c r="O779" s="802">
        <v>1100</v>
      </c>
      <c r="P779" s="803" t="s">
        <v>1801</v>
      </c>
      <c r="Q779" s="804">
        <v>1.2699999999999999E-2</v>
      </c>
      <c r="R779" s="805" t="s">
        <v>414</v>
      </c>
      <c r="S779" s="527">
        <v>1.82E-3</v>
      </c>
      <c r="T779" s="528" t="s">
        <v>414</v>
      </c>
    </row>
    <row r="780" spans="1:20" ht="15" customHeight="1">
      <c r="A780" s="791" t="s">
        <v>1570</v>
      </c>
      <c r="B780" s="792" t="s">
        <v>1571</v>
      </c>
      <c r="C780" s="793">
        <v>197.45</v>
      </c>
      <c r="D780" s="794" t="s">
        <v>1801</v>
      </c>
      <c r="E780" s="795">
        <v>6.6199999999999996E-5</v>
      </c>
      <c r="F780" s="795">
        <v>1.6199999999999999E-6</v>
      </c>
      <c r="G780" s="796" t="s">
        <v>414</v>
      </c>
      <c r="H780" s="797">
        <v>1.49</v>
      </c>
      <c r="I780" s="798" t="s">
        <v>1802</v>
      </c>
      <c r="J780" s="799">
        <v>3.1393799999999999E-2</v>
      </c>
      <c r="K780" s="799">
        <v>8.0893000000000006E-6</v>
      </c>
      <c r="L780" s="800" t="s">
        <v>2367</v>
      </c>
      <c r="M780" s="801">
        <v>1597</v>
      </c>
      <c r="N780" s="801" t="s">
        <v>1078</v>
      </c>
      <c r="O780" s="802">
        <v>1200</v>
      </c>
      <c r="P780" s="803" t="s">
        <v>1801</v>
      </c>
      <c r="Q780" s="804">
        <v>3.6200000000000003E-2</v>
      </c>
      <c r="R780" s="805" t="s">
        <v>414</v>
      </c>
      <c r="S780" s="527">
        <v>4.9299999999999997E-2</v>
      </c>
      <c r="T780" s="528" t="s">
        <v>414</v>
      </c>
    </row>
    <row r="781" spans="1:20" ht="15" customHeight="1" thickBot="1">
      <c r="A781" s="806" t="s">
        <v>1572</v>
      </c>
      <c r="B781" s="807" t="s">
        <v>1573</v>
      </c>
      <c r="C781" s="808">
        <v>197.45</v>
      </c>
      <c r="D781" s="809" t="s">
        <v>1801</v>
      </c>
      <c r="E781" s="810">
        <v>1.063E-4</v>
      </c>
      <c r="F781" s="810">
        <v>2.6000000000000001E-6</v>
      </c>
      <c r="G781" s="811" t="s">
        <v>414</v>
      </c>
      <c r="H781" s="812">
        <v>1.4901</v>
      </c>
      <c r="I781" s="813" t="s">
        <v>1796</v>
      </c>
      <c r="J781" s="814">
        <v>3.13948E-2</v>
      </c>
      <c r="K781" s="814">
        <v>8.0895999999999996E-6</v>
      </c>
      <c r="L781" s="815" t="s">
        <v>2367</v>
      </c>
      <c r="M781" s="816">
        <v>381</v>
      </c>
      <c r="N781" s="816" t="s">
        <v>1078</v>
      </c>
      <c r="O781" s="817">
        <v>800</v>
      </c>
      <c r="P781" s="818" t="s">
        <v>1801</v>
      </c>
      <c r="Q781" s="819">
        <v>3.4599999999999999E-2</v>
      </c>
      <c r="R781" s="820" t="s">
        <v>414</v>
      </c>
      <c r="S781" s="521">
        <v>5.3199999999999997E-2</v>
      </c>
      <c r="T781" s="522" t="s">
        <v>414</v>
      </c>
    </row>
    <row r="782" spans="1:20" ht="15" customHeight="1">
      <c r="A782" s="791" t="s">
        <v>1574</v>
      </c>
      <c r="B782" s="792" t="s">
        <v>1575</v>
      </c>
      <c r="C782" s="793">
        <v>255.49</v>
      </c>
      <c r="D782" s="794" t="s">
        <v>1801</v>
      </c>
      <c r="E782" s="795">
        <v>3.5487E-7</v>
      </c>
      <c r="F782" s="795">
        <v>8.6800000000000006E-9</v>
      </c>
      <c r="G782" s="796" t="s">
        <v>1801</v>
      </c>
      <c r="H782" s="797">
        <v>1.8</v>
      </c>
      <c r="I782" s="798" t="s">
        <v>2168</v>
      </c>
      <c r="J782" s="799">
        <v>2.8885299999999999E-2</v>
      </c>
      <c r="K782" s="799">
        <v>7.7626999999999994E-6</v>
      </c>
      <c r="L782" s="800" t="s">
        <v>2367</v>
      </c>
      <c r="M782" s="801">
        <v>107</v>
      </c>
      <c r="N782" s="801" t="s">
        <v>414</v>
      </c>
      <c r="O782" s="802">
        <v>278</v>
      </c>
      <c r="P782" s="803" t="s">
        <v>1801</v>
      </c>
      <c r="Q782" s="804">
        <v>9.1400000000000006E-3</v>
      </c>
      <c r="R782" s="805" t="s">
        <v>414</v>
      </c>
      <c r="S782" s="527">
        <v>4.7100000000000003E-2</v>
      </c>
      <c r="T782" s="528" t="s">
        <v>414</v>
      </c>
    </row>
    <row r="783" spans="1:20" ht="15" customHeight="1">
      <c r="A783" s="791" t="s">
        <v>1576</v>
      </c>
      <c r="B783" s="792" t="s">
        <v>1577</v>
      </c>
      <c r="C783" s="793">
        <v>269.51</v>
      </c>
      <c r="D783" s="794" t="s">
        <v>1801</v>
      </c>
      <c r="E783" s="795">
        <v>3.7039999999999998E-7</v>
      </c>
      <c r="F783" s="795">
        <v>9.0599999999999997E-9</v>
      </c>
      <c r="G783" s="796" t="s">
        <v>1801</v>
      </c>
      <c r="H783" s="797">
        <v>1.2084999999999999</v>
      </c>
      <c r="I783" s="798" t="s">
        <v>2168</v>
      </c>
      <c r="J783" s="799">
        <v>2.3358500000000001E-2</v>
      </c>
      <c r="K783" s="799">
        <v>5.9193999999999996E-6</v>
      </c>
      <c r="L783" s="800" t="s">
        <v>2367</v>
      </c>
      <c r="M783" s="801">
        <v>175.3</v>
      </c>
      <c r="N783" s="801" t="s">
        <v>414</v>
      </c>
      <c r="O783" s="802">
        <v>71</v>
      </c>
      <c r="P783" s="803" t="s">
        <v>1801</v>
      </c>
      <c r="Q783" s="804">
        <v>1.61E-2</v>
      </c>
      <c r="R783" s="805" t="s">
        <v>414</v>
      </c>
      <c r="S783" s="527">
        <v>0.05</v>
      </c>
      <c r="T783" s="528" t="s">
        <v>414</v>
      </c>
    </row>
    <row r="784" spans="1:20" ht="15" customHeight="1" thickBot="1">
      <c r="A784" s="806" t="s">
        <v>1578</v>
      </c>
      <c r="B784" s="807" t="s">
        <v>1579</v>
      </c>
      <c r="C784" s="808">
        <v>147.43</v>
      </c>
      <c r="D784" s="809" t="s">
        <v>1801</v>
      </c>
      <c r="E784" s="810">
        <v>1.29599E-2</v>
      </c>
      <c r="F784" s="810">
        <v>3.1700000000000001E-4</v>
      </c>
      <c r="G784" s="811" t="s">
        <v>414</v>
      </c>
      <c r="H784" s="812">
        <v>1.3720000000000001</v>
      </c>
      <c r="I784" s="813" t="s">
        <v>1796</v>
      </c>
      <c r="J784" s="814">
        <v>5.7157699999999999E-2</v>
      </c>
      <c r="K784" s="814">
        <v>9.1734999999999995E-6</v>
      </c>
      <c r="L784" s="815" t="s">
        <v>2367</v>
      </c>
      <c r="M784" s="816">
        <v>94.94</v>
      </c>
      <c r="N784" s="816" t="s">
        <v>414</v>
      </c>
      <c r="O784" s="817">
        <v>1900</v>
      </c>
      <c r="P784" s="818" t="s">
        <v>1801</v>
      </c>
      <c r="Q784" s="819">
        <v>9.5999999999999992E-3</v>
      </c>
      <c r="R784" s="820" t="s">
        <v>414</v>
      </c>
      <c r="S784" s="521">
        <v>5.9999999999999995E-4</v>
      </c>
      <c r="T784" s="522" t="s">
        <v>1797</v>
      </c>
    </row>
    <row r="785" spans="1:20" ht="15" customHeight="1">
      <c r="A785" s="791" t="s">
        <v>157</v>
      </c>
      <c r="B785" s="792" t="s">
        <v>1580</v>
      </c>
      <c r="C785" s="793">
        <v>147.43</v>
      </c>
      <c r="D785" s="794" t="s">
        <v>1801</v>
      </c>
      <c r="E785" s="795">
        <v>1.40229E-2</v>
      </c>
      <c r="F785" s="795">
        <v>3.4299999999999999E-4</v>
      </c>
      <c r="G785" s="796" t="s">
        <v>1801</v>
      </c>
      <c r="H785" s="797">
        <v>1.3889</v>
      </c>
      <c r="I785" s="798" t="s">
        <v>1796</v>
      </c>
      <c r="J785" s="799">
        <v>5.7466099999999999E-2</v>
      </c>
      <c r="K785" s="799">
        <v>9.2411000000000003E-6</v>
      </c>
      <c r="L785" s="800" t="s">
        <v>2367</v>
      </c>
      <c r="M785" s="801">
        <v>115.8</v>
      </c>
      <c r="N785" s="801" t="s">
        <v>414</v>
      </c>
      <c r="O785" s="802">
        <v>1750</v>
      </c>
      <c r="P785" s="803" t="s">
        <v>1801</v>
      </c>
      <c r="Q785" s="804">
        <v>7.5199999999999998E-3</v>
      </c>
      <c r="R785" s="805" t="s">
        <v>414</v>
      </c>
      <c r="S785" s="527">
        <v>5.9999999999999995E-4</v>
      </c>
      <c r="T785" s="528" t="s">
        <v>1797</v>
      </c>
    </row>
    <row r="786" spans="1:20" ht="15" customHeight="1">
      <c r="A786" s="791" t="s">
        <v>1581</v>
      </c>
      <c r="B786" s="792" t="s">
        <v>1582</v>
      </c>
      <c r="C786" s="793">
        <v>145.41999999999999</v>
      </c>
      <c r="D786" s="794" t="s">
        <v>1801</v>
      </c>
      <c r="E786" s="795">
        <v>0.71954209999999996</v>
      </c>
      <c r="F786" s="795">
        <v>1.7600000000000001E-2</v>
      </c>
      <c r="G786" s="796" t="s">
        <v>1801</v>
      </c>
      <c r="H786" s="797">
        <v>1.4119999999999999</v>
      </c>
      <c r="I786" s="798" t="s">
        <v>1796</v>
      </c>
      <c r="J786" s="799">
        <v>5.9063200000000003E-2</v>
      </c>
      <c r="K786" s="799">
        <v>9.4102000000000001E-6</v>
      </c>
      <c r="L786" s="800" t="s">
        <v>2367</v>
      </c>
      <c r="M786" s="801">
        <v>115.8</v>
      </c>
      <c r="N786" s="801" t="s">
        <v>414</v>
      </c>
      <c r="O786" s="802">
        <v>334.2</v>
      </c>
      <c r="P786" s="803" t="s">
        <v>1801</v>
      </c>
      <c r="Q786" s="804">
        <v>1.6899999999999998E-2</v>
      </c>
      <c r="R786" s="805" t="s">
        <v>414</v>
      </c>
      <c r="S786" s="527">
        <v>3.2499999999999999E-4</v>
      </c>
      <c r="T786" s="528" t="s">
        <v>414</v>
      </c>
    </row>
    <row r="787" spans="1:20" ht="15" customHeight="1" thickBot="1">
      <c r="A787" s="806" t="s">
        <v>2056</v>
      </c>
      <c r="B787" s="807" t="s">
        <v>2057</v>
      </c>
      <c r="C787" s="808">
        <v>368.37</v>
      </c>
      <c r="D787" s="809" t="s">
        <v>1801</v>
      </c>
      <c r="E787" s="810">
        <v>3.3000000000000003E-5</v>
      </c>
      <c r="F787" s="810">
        <v>8.0800000000000004E-7</v>
      </c>
      <c r="G787" s="811" t="s">
        <v>414</v>
      </c>
      <c r="H787" s="812">
        <v>1.1519999999999999</v>
      </c>
      <c r="I787" s="813" t="s">
        <v>2059</v>
      </c>
      <c r="J787" s="814">
        <v>1.9369000000000001E-2</v>
      </c>
      <c r="K787" s="814">
        <v>4.7683999999999999E-6</v>
      </c>
      <c r="L787" s="815" t="s">
        <v>2367</v>
      </c>
      <c r="M787" s="816">
        <v>47110</v>
      </c>
      <c r="N787" s="816" t="s">
        <v>414</v>
      </c>
      <c r="O787" s="817">
        <v>0.36</v>
      </c>
      <c r="P787" s="818" t="s">
        <v>1801</v>
      </c>
      <c r="Q787" s="819">
        <v>3.3399999999999999E-2</v>
      </c>
      <c r="R787" s="820" t="s">
        <v>414</v>
      </c>
      <c r="S787" s="521">
        <v>1E-3</v>
      </c>
      <c r="T787" s="522" t="s">
        <v>1797</v>
      </c>
    </row>
    <row r="788" spans="1:20" ht="15" customHeight="1">
      <c r="A788" s="791" t="s">
        <v>1583</v>
      </c>
      <c r="B788" s="792" t="s">
        <v>1584</v>
      </c>
      <c r="C788" s="793">
        <v>320.43</v>
      </c>
      <c r="D788" s="794" t="s">
        <v>1801</v>
      </c>
      <c r="E788" s="795">
        <v>1.6799999999999998E-5</v>
      </c>
      <c r="F788" s="795">
        <v>4.0999999999999999E-7</v>
      </c>
      <c r="G788" s="796" t="s">
        <v>1801</v>
      </c>
      <c r="H788" s="821" t="s">
        <v>1750</v>
      </c>
      <c r="I788" s="822" t="s">
        <v>43</v>
      </c>
      <c r="J788" s="799">
        <v>4.0575600000000003E-2</v>
      </c>
      <c r="K788" s="799">
        <v>4.7408999999999998E-6</v>
      </c>
      <c r="L788" s="800" t="s">
        <v>2367</v>
      </c>
      <c r="M788" s="801">
        <v>3447</v>
      </c>
      <c r="N788" s="801" t="s">
        <v>414</v>
      </c>
      <c r="O788" s="802">
        <v>1.1419999999999999</v>
      </c>
      <c r="P788" s="803" t="s">
        <v>1801</v>
      </c>
      <c r="Q788" s="804">
        <v>6.8900000000000003E-2</v>
      </c>
      <c r="R788" s="805" t="s">
        <v>414</v>
      </c>
    </row>
    <row r="789" spans="1:20" ht="15" customHeight="1">
      <c r="A789" s="791" t="s">
        <v>1585</v>
      </c>
      <c r="B789" s="792" t="s">
        <v>1586</v>
      </c>
      <c r="C789" s="793">
        <v>101.19</v>
      </c>
      <c r="D789" s="794" t="s">
        <v>1801</v>
      </c>
      <c r="E789" s="795">
        <v>6.0916E-3</v>
      </c>
      <c r="F789" s="795">
        <v>1.4899999999999999E-4</v>
      </c>
      <c r="G789" s="796" t="s">
        <v>1801</v>
      </c>
      <c r="H789" s="797">
        <v>0.72750000000000004</v>
      </c>
      <c r="I789" s="798" t="s">
        <v>1796</v>
      </c>
      <c r="J789" s="799">
        <v>6.6363099999999994E-2</v>
      </c>
      <c r="K789" s="799">
        <v>7.8576000000000008E-6</v>
      </c>
      <c r="L789" s="800" t="s">
        <v>2367</v>
      </c>
      <c r="M789" s="801">
        <v>50.81</v>
      </c>
      <c r="N789" s="801" t="s">
        <v>414</v>
      </c>
      <c r="O789" s="802">
        <v>68600</v>
      </c>
      <c r="P789" s="803" t="s">
        <v>1801</v>
      </c>
      <c r="Q789" s="804">
        <v>3.8999999999999998E-3</v>
      </c>
      <c r="R789" s="805" t="s">
        <v>414</v>
      </c>
    </row>
    <row r="790" spans="1:20" ht="15" customHeight="1" thickBot="1">
      <c r="A790" s="806" t="s">
        <v>2262</v>
      </c>
      <c r="B790" s="807" t="s">
        <v>2263</v>
      </c>
      <c r="C790" s="808">
        <v>150.18</v>
      </c>
      <c r="D790" s="809" t="s">
        <v>1801</v>
      </c>
      <c r="E790" s="810">
        <v>1.2919000000000001E-9</v>
      </c>
      <c r="F790" s="810">
        <v>3.1599999999999999E-11</v>
      </c>
      <c r="G790" s="811" t="s">
        <v>1801</v>
      </c>
      <c r="H790" s="812">
        <v>1.1274</v>
      </c>
      <c r="I790" s="813" t="s">
        <v>1796</v>
      </c>
      <c r="J790" s="814">
        <v>5.0921899999999999E-2</v>
      </c>
      <c r="K790" s="814">
        <v>8.0639999999999994E-6</v>
      </c>
      <c r="L790" s="815" t="s">
        <v>2367</v>
      </c>
      <c r="M790" s="816">
        <v>10</v>
      </c>
      <c r="N790" s="816" t="s">
        <v>414</v>
      </c>
      <c r="O790" s="817">
        <v>1000000</v>
      </c>
      <c r="P790" s="818" t="s">
        <v>1801</v>
      </c>
      <c r="Q790" s="819">
        <v>1.5500000000000001E-5</v>
      </c>
      <c r="R790" s="820" t="s">
        <v>414</v>
      </c>
    </row>
    <row r="791" spans="1:20" ht="15" customHeight="1">
      <c r="A791" s="791" t="s">
        <v>2195</v>
      </c>
      <c r="B791" s="792" t="s">
        <v>2200</v>
      </c>
      <c r="C791" s="793">
        <v>84.040999999999997</v>
      </c>
      <c r="D791" s="794" t="s">
        <v>1801</v>
      </c>
      <c r="E791" s="795">
        <v>31.479966999999998</v>
      </c>
      <c r="F791" s="795">
        <v>0.77</v>
      </c>
      <c r="G791" s="796" t="s">
        <v>1801</v>
      </c>
      <c r="H791" s="821" t="s">
        <v>1750</v>
      </c>
      <c r="I791" s="822" t="s">
        <v>43</v>
      </c>
      <c r="J791" s="799">
        <v>9.90283E-2</v>
      </c>
      <c r="K791" s="799">
        <v>1.1600000000000001E-5</v>
      </c>
      <c r="L791" s="800" t="s">
        <v>2367</v>
      </c>
      <c r="M791" s="801">
        <v>43.89</v>
      </c>
      <c r="N791" s="801" t="s">
        <v>414</v>
      </c>
      <c r="O791" s="802">
        <v>760.9</v>
      </c>
      <c r="P791" s="803" t="s">
        <v>1801</v>
      </c>
      <c r="Q791" s="804">
        <v>7.5700000000000003E-3</v>
      </c>
      <c r="R791" s="805" t="s">
        <v>414</v>
      </c>
    </row>
    <row r="792" spans="1:20" ht="15" customHeight="1">
      <c r="A792" s="791" t="s">
        <v>1587</v>
      </c>
      <c r="B792" s="792" t="s">
        <v>1588</v>
      </c>
      <c r="C792" s="793">
        <v>335.29</v>
      </c>
      <c r="D792" s="794" t="s">
        <v>1801</v>
      </c>
      <c r="E792" s="795">
        <v>4.2110000000000003E-3</v>
      </c>
      <c r="F792" s="795">
        <v>1.03E-4</v>
      </c>
      <c r="G792" s="796" t="s">
        <v>1801</v>
      </c>
      <c r="H792" s="797">
        <v>1.36</v>
      </c>
      <c r="I792" s="798" t="s">
        <v>2168</v>
      </c>
      <c r="J792" s="799">
        <v>2.2051899999999999E-2</v>
      </c>
      <c r="K792" s="799">
        <v>5.5736999999999997E-6</v>
      </c>
      <c r="L792" s="800" t="s">
        <v>2367</v>
      </c>
      <c r="M792" s="801">
        <v>16390</v>
      </c>
      <c r="N792" s="801" t="s">
        <v>414</v>
      </c>
      <c r="O792" s="802">
        <v>0.184</v>
      </c>
      <c r="P792" s="803" t="s">
        <v>1801</v>
      </c>
      <c r="Q792" s="804">
        <v>7.2800000000000004E-2</v>
      </c>
      <c r="R792" s="805" t="s">
        <v>414</v>
      </c>
    </row>
    <row r="793" spans="1:20" ht="15" customHeight="1" thickBot="1">
      <c r="A793" s="806" t="s">
        <v>1589</v>
      </c>
      <c r="B793" s="807" t="s">
        <v>1590</v>
      </c>
      <c r="C793" s="808">
        <v>140.08000000000001</v>
      </c>
      <c r="D793" s="809" t="s">
        <v>1801</v>
      </c>
      <c r="E793" s="810">
        <v>2.9436E-7</v>
      </c>
      <c r="F793" s="810">
        <v>7.2E-9</v>
      </c>
      <c r="G793" s="811" t="s">
        <v>1801</v>
      </c>
      <c r="H793" s="812">
        <v>1.2143999999999999</v>
      </c>
      <c r="I793" s="813" t="s">
        <v>1796</v>
      </c>
      <c r="J793" s="814">
        <v>5.82547E-2</v>
      </c>
      <c r="K793" s="814">
        <v>8.7915000000000004E-6</v>
      </c>
      <c r="L793" s="815" t="s">
        <v>2367</v>
      </c>
      <c r="M793" s="816">
        <v>10.6</v>
      </c>
      <c r="N793" s="816" t="s">
        <v>414</v>
      </c>
      <c r="O793" s="817">
        <v>500000</v>
      </c>
      <c r="P793" s="818" t="s">
        <v>1801</v>
      </c>
      <c r="Q793" s="819">
        <v>9.48E-5</v>
      </c>
      <c r="R793" s="820" t="s">
        <v>414</v>
      </c>
    </row>
    <row r="794" spans="1:20" ht="15" customHeight="1">
      <c r="A794" s="791" t="s">
        <v>1924</v>
      </c>
      <c r="B794" s="792" t="s">
        <v>1925</v>
      </c>
      <c r="C794" s="793">
        <v>120.2</v>
      </c>
      <c r="D794" s="794" t="s">
        <v>1801</v>
      </c>
      <c r="E794" s="795">
        <v>0.1782502</v>
      </c>
      <c r="F794" s="795">
        <v>4.3600000000000002E-3</v>
      </c>
      <c r="G794" s="796" t="s">
        <v>1801</v>
      </c>
      <c r="H794" s="797">
        <v>0.89439999999999997</v>
      </c>
      <c r="I794" s="798" t="s">
        <v>1796</v>
      </c>
      <c r="J794" s="799">
        <v>6.1253500000000002E-2</v>
      </c>
      <c r="K794" s="799">
        <v>8.0214000000000008E-6</v>
      </c>
      <c r="L794" s="800" t="s">
        <v>2367</v>
      </c>
      <c r="M794" s="801">
        <v>626.9</v>
      </c>
      <c r="N794" s="801" t="s">
        <v>414</v>
      </c>
      <c r="O794" s="802">
        <v>75.2</v>
      </c>
      <c r="P794" s="803" t="s">
        <v>1801</v>
      </c>
      <c r="Q794" s="804">
        <v>8.9700000000000002E-2</v>
      </c>
      <c r="R794" s="805" t="s">
        <v>414</v>
      </c>
    </row>
    <row r="795" spans="1:20" ht="15" customHeight="1">
      <c r="A795" s="791" t="s">
        <v>159</v>
      </c>
      <c r="B795" s="792" t="s">
        <v>1591</v>
      </c>
      <c r="C795" s="793">
        <v>120.2</v>
      </c>
      <c r="D795" s="794" t="s">
        <v>1801</v>
      </c>
      <c r="E795" s="795">
        <v>0.2518397</v>
      </c>
      <c r="F795" s="795">
        <v>6.1599999999999997E-3</v>
      </c>
      <c r="G795" s="796" t="s">
        <v>1801</v>
      </c>
      <c r="H795" s="797">
        <v>0.87580000000000002</v>
      </c>
      <c r="I795" s="798" t="s">
        <v>1796</v>
      </c>
      <c r="J795" s="799">
        <v>6.0675399999999997E-2</v>
      </c>
      <c r="K795" s="799">
        <v>7.9209000000000007E-6</v>
      </c>
      <c r="L795" s="800" t="s">
        <v>2367</v>
      </c>
      <c r="M795" s="801">
        <v>614.29999999999995</v>
      </c>
      <c r="N795" s="801" t="s">
        <v>414</v>
      </c>
      <c r="O795" s="802">
        <v>57</v>
      </c>
      <c r="P795" s="803" t="s">
        <v>1801</v>
      </c>
      <c r="Q795" s="804">
        <v>8.5699999999999998E-2</v>
      </c>
      <c r="R795" s="805" t="s">
        <v>414</v>
      </c>
    </row>
    <row r="796" spans="1:20" ht="15" customHeight="1" thickBot="1">
      <c r="A796" s="806" t="s">
        <v>163</v>
      </c>
      <c r="B796" s="807" t="s">
        <v>1592</v>
      </c>
      <c r="C796" s="808">
        <v>120.2</v>
      </c>
      <c r="D796" s="809" t="s">
        <v>1801</v>
      </c>
      <c r="E796" s="810">
        <v>0.35854459999999999</v>
      </c>
      <c r="F796" s="810">
        <v>8.77E-3</v>
      </c>
      <c r="G796" s="811" t="s">
        <v>1801</v>
      </c>
      <c r="H796" s="812">
        <v>0.86150000000000004</v>
      </c>
      <c r="I796" s="813" t="s">
        <v>1796</v>
      </c>
      <c r="J796" s="814">
        <v>6.0225399999999998E-2</v>
      </c>
      <c r="K796" s="814">
        <v>7.8429999999999993E-6</v>
      </c>
      <c r="L796" s="815" t="s">
        <v>2367</v>
      </c>
      <c r="M796" s="816">
        <v>602.1</v>
      </c>
      <c r="N796" s="816" t="s">
        <v>414</v>
      </c>
      <c r="O796" s="817">
        <v>48.2</v>
      </c>
      <c r="P796" s="818" t="s">
        <v>1801</v>
      </c>
      <c r="Q796" s="819">
        <v>6.2100000000000002E-2</v>
      </c>
      <c r="R796" s="820" t="s">
        <v>414</v>
      </c>
    </row>
    <row r="797" spans="1:20" ht="15" customHeight="1">
      <c r="A797" s="791" t="s">
        <v>2196</v>
      </c>
      <c r="B797" s="792" t="s">
        <v>2201</v>
      </c>
      <c r="C797" s="793">
        <v>112.22</v>
      </c>
      <c r="D797" s="794" t="s">
        <v>1801</v>
      </c>
      <c r="E797" s="795">
        <v>30.498774000000001</v>
      </c>
      <c r="F797" s="795">
        <v>0.746</v>
      </c>
      <c r="G797" s="796" t="s">
        <v>1801</v>
      </c>
      <c r="H797" s="797">
        <v>0.71499999999999997</v>
      </c>
      <c r="I797" s="798" t="s">
        <v>2168</v>
      </c>
      <c r="J797" s="799">
        <v>5.9521699999999997E-2</v>
      </c>
      <c r="K797" s="799">
        <v>7.3081999999999998E-6</v>
      </c>
      <c r="L797" s="800" t="s">
        <v>2367</v>
      </c>
      <c r="M797" s="801">
        <v>240.3</v>
      </c>
      <c r="N797" s="801" t="s">
        <v>414</v>
      </c>
      <c r="O797" s="802">
        <v>4.04</v>
      </c>
      <c r="P797" s="803" t="s">
        <v>1801</v>
      </c>
      <c r="Q797" s="804">
        <v>0.18910099999999999</v>
      </c>
      <c r="R797" s="805" t="s">
        <v>1797</v>
      </c>
    </row>
    <row r="798" spans="1:20" ht="15" customHeight="1">
      <c r="A798" s="791" t="s">
        <v>1593</v>
      </c>
      <c r="B798" s="792" t="s">
        <v>1594</v>
      </c>
      <c r="C798" s="793">
        <v>213.11</v>
      </c>
      <c r="D798" s="794" t="s">
        <v>1801</v>
      </c>
      <c r="E798" s="795">
        <v>2.6574E-7</v>
      </c>
      <c r="F798" s="795">
        <v>6.5000000000000003E-9</v>
      </c>
      <c r="G798" s="796" t="s">
        <v>414</v>
      </c>
      <c r="H798" s="797">
        <v>1.4775</v>
      </c>
      <c r="I798" s="798" t="s">
        <v>1796</v>
      </c>
      <c r="J798" s="799">
        <v>2.8968500000000001E-2</v>
      </c>
      <c r="K798" s="799">
        <v>7.6882000000000004E-6</v>
      </c>
      <c r="L798" s="800" t="s">
        <v>2367</v>
      </c>
      <c r="M798" s="801">
        <v>1683</v>
      </c>
      <c r="N798" s="801" t="s">
        <v>414</v>
      </c>
      <c r="O798" s="802">
        <v>278</v>
      </c>
      <c r="P798" s="803" t="s">
        <v>1801</v>
      </c>
      <c r="Q798" s="804">
        <v>6.0700000000000001E-4</v>
      </c>
      <c r="R798" s="805" t="s">
        <v>414</v>
      </c>
    </row>
    <row r="799" spans="1:20" ht="15" customHeight="1" thickBot="1">
      <c r="A799" s="806" t="s">
        <v>1595</v>
      </c>
      <c r="B799" s="807" t="s">
        <v>1596</v>
      </c>
      <c r="C799" s="808">
        <v>227.13</v>
      </c>
      <c r="D799" s="809" t="s">
        <v>1801</v>
      </c>
      <c r="E799" s="810">
        <v>8.5036999999999996E-7</v>
      </c>
      <c r="F799" s="810">
        <v>2.0800000000000001E-8</v>
      </c>
      <c r="G799" s="811" t="s">
        <v>414</v>
      </c>
      <c r="H799" s="812">
        <v>1.6539999999999999</v>
      </c>
      <c r="I799" s="813" t="s">
        <v>1796</v>
      </c>
      <c r="J799" s="814">
        <v>2.9509299999999999E-2</v>
      </c>
      <c r="K799" s="814">
        <v>7.9181999999999998E-6</v>
      </c>
      <c r="L799" s="815" t="s">
        <v>2367</v>
      </c>
      <c r="M799" s="816">
        <v>2812</v>
      </c>
      <c r="N799" s="816" t="s">
        <v>414</v>
      </c>
      <c r="O799" s="817">
        <v>115</v>
      </c>
      <c r="P799" s="818" t="s">
        <v>1801</v>
      </c>
      <c r="Q799" s="819">
        <v>9.6299999999999999E-4</v>
      </c>
      <c r="R799" s="820" t="s">
        <v>414</v>
      </c>
    </row>
    <row r="800" spans="1:20" ht="15" customHeight="1">
      <c r="A800" s="791" t="s">
        <v>1597</v>
      </c>
      <c r="B800" s="792" t="s">
        <v>1598</v>
      </c>
      <c r="C800" s="793">
        <v>278.29000000000002</v>
      </c>
      <c r="D800" s="794" t="s">
        <v>1801</v>
      </c>
      <c r="E800" s="795">
        <v>2.1503999999999999E-8</v>
      </c>
      <c r="F800" s="795">
        <v>5.2600000000000004E-10</v>
      </c>
      <c r="G800" s="796" t="s">
        <v>1801</v>
      </c>
      <c r="H800" s="797">
        <v>1.2123999999999999</v>
      </c>
      <c r="I800" s="798" t="s">
        <v>1796</v>
      </c>
      <c r="J800" s="799">
        <v>2.3004899999999998E-2</v>
      </c>
      <c r="K800" s="799">
        <v>5.8177999999999996E-6</v>
      </c>
      <c r="L800" s="800" t="s">
        <v>2367</v>
      </c>
      <c r="M800" s="801">
        <v>1954</v>
      </c>
      <c r="N800" s="801" t="s">
        <v>414</v>
      </c>
      <c r="O800" s="802">
        <v>62.76</v>
      </c>
      <c r="P800" s="803" t="s">
        <v>1801</v>
      </c>
      <c r="Q800" s="804">
        <v>3.2699999999999999E-3</v>
      </c>
      <c r="R800" s="805" t="s">
        <v>414</v>
      </c>
    </row>
    <row r="801" spans="1:18" ht="15" customHeight="1">
      <c r="A801" s="791" t="s">
        <v>1599</v>
      </c>
      <c r="B801" s="792" t="s">
        <v>1600</v>
      </c>
      <c r="C801" s="793">
        <v>430.91</v>
      </c>
      <c r="D801" s="794" t="s">
        <v>1801</v>
      </c>
      <c r="E801" s="795">
        <v>1.067E-7</v>
      </c>
      <c r="F801" s="795">
        <v>2.6099999999999999E-9</v>
      </c>
      <c r="G801" s="796" t="s">
        <v>1801</v>
      </c>
      <c r="H801" s="821" t="s">
        <v>1750</v>
      </c>
      <c r="I801" s="822" t="s">
        <v>43</v>
      </c>
      <c r="J801" s="799">
        <v>3.3304E-2</v>
      </c>
      <c r="K801" s="799">
        <v>3.8913000000000003E-6</v>
      </c>
      <c r="L801" s="800" t="s">
        <v>2367</v>
      </c>
      <c r="M801" s="801">
        <v>11130</v>
      </c>
      <c r="N801" s="801" t="s">
        <v>414</v>
      </c>
      <c r="O801" s="802">
        <v>7</v>
      </c>
      <c r="P801" s="803" t="s">
        <v>1801</v>
      </c>
      <c r="Q801" s="804">
        <v>1.5900000000000001E-3</v>
      </c>
      <c r="R801" s="805" t="s">
        <v>414</v>
      </c>
    </row>
    <row r="802" spans="1:18" ht="15" customHeight="1" thickBot="1">
      <c r="A802" s="806" t="s">
        <v>1926</v>
      </c>
      <c r="B802" s="807" t="s">
        <v>1927</v>
      </c>
      <c r="C802" s="808">
        <v>327.57</v>
      </c>
      <c r="D802" s="809" t="s">
        <v>1801</v>
      </c>
      <c r="E802" s="810">
        <v>2.4366000000000001E-6</v>
      </c>
      <c r="F802" s="810">
        <v>5.9599999999999998E-8</v>
      </c>
      <c r="G802" s="811" t="s">
        <v>1801</v>
      </c>
      <c r="H802" s="839" t="s">
        <v>1750</v>
      </c>
      <c r="I802" s="840" t="s">
        <v>43</v>
      </c>
      <c r="J802" s="814">
        <v>3.99838E-2</v>
      </c>
      <c r="K802" s="814">
        <v>4.6717999999999999E-6</v>
      </c>
      <c r="L802" s="815" t="s">
        <v>2367</v>
      </c>
      <c r="M802" s="816">
        <v>1604</v>
      </c>
      <c r="N802" s="816" t="s">
        <v>414</v>
      </c>
      <c r="O802" s="817">
        <v>1200</v>
      </c>
      <c r="P802" s="818" t="s">
        <v>1801</v>
      </c>
      <c r="Q802" s="819">
        <v>1.1999999999999999E-3</v>
      </c>
      <c r="R802" s="820" t="s">
        <v>414</v>
      </c>
    </row>
    <row r="803" spans="1:18" ht="15" customHeight="1">
      <c r="A803" s="791" t="s">
        <v>2197</v>
      </c>
      <c r="B803" s="792" t="s">
        <v>2202</v>
      </c>
      <c r="C803" s="793">
        <v>697.62</v>
      </c>
      <c r="D803" s="794" t="s">
        <v>1801</v>
      </c>
      <c r="E803" s="795">
        <v>8.9130000000000003E-4</v>
      </c>
      <c r="F803" s="795">
        <v>2.1800000000000001E-5</v>
      </c>
      <c r="G803" s="796" t="s">
        <v>414</v>
      </c>
      <c r="H803" s="797">
        <v>2.27</v>
      </c>
      <c r="I803" s="798" t="s">
        <v>2168</v>
      </c>
      <c r="J803" s="799">
        <v>1.9401499999999999E-2</v>
      </c>
      <c r="K803" s="799">
        <v>4.8833000000000003E-6</v>
      </c>
      <c r="L803" s="800" t="s">
        <v>2367</v>
      </c>
      <c r="M803" s="801">
        <v>9706</v>
      </c>
      <c r="N803" s="801" t="s">
        <v>414</v>
      </c>
      <c r="O803" s="802">
        <v>8</v>
      </c>
      <c r="P803" s="803" t="s">
        <v>1801</v>
      </c>
      <c r="Q803" s="804">
        <v>1.35E-4</v>
      </c>
      <c r="R803" s="805" t="s">
        <v>414</v>
      </c>
    </row>
    <row r="804" spans="1:18" ht="15" customHeight="1">
      <c r="A804" s="791" t="s">
        <v>1601</v>
      </c>
      <c r="B804" s="792" t="s">
        <v>1602</v>
      </c>
      <c r="C804" s="793">
        <v>285.49</v>
      </c>
      <c r="D804" s="794" t="s">
        <v>1801</v>
      </c>
      <c r="E804" s="795">
        <v>1.3449999999999999E-4</v>
      </c>
      <c r="F804" s="795">
        <v>3.2899999999999998E-6</v>
      </c>
      <c r="G804" s="796" t="s">
        <v>414</v>
      </c>
      <c r="H804" s="797">
        <v>1.39</v>
      </c>
      <c r="I804" s="798" t="s">
        <v>1796</v>
      </c>
      <c r="J804" s="799">
        <v>2.4218400000000001E-2</v>
      </c>
      <c r="K804" s="799">
        <v>6.2191000000000003E-6</v>
      </c>
      <c r="L804" s="800" t="s">
        <v>2367</v>
      </c>
      <c r="M804" s="801">
        <v>388.3</v>
      </c>
      <c r="N804" s="801" t="s">
        <v>414</v>
      </c>
      <c r="O804" s="802">
        <v>7000</v>
      </c>
      <c r="P804" s="803" t="s">
        <v>1801</v>
      </c>
      <c r="Q804" s="804">
        <v>3.5500000000000001E-4</v>
      </c>
      <c r="R804" s="805" t="s">
        <v>414</v>
      </c>
    </row>
    <row r="805" spans="1:18" ht="15" customHeight="1" thickBot="1">
      <c r="A805" s="806" t="s">
        <v>1603</v>
      </c>
      <c r="B805" s="807" t="s">
        <v>1604</v>
      </c>
      <c r="C805" s="808">
        <v>434.65</v>
      </c>
      <c r="D805" s="809" t="s">
        <v>1801</v>
      </c>
      <c r="E805" s="810">
        <v>3.2134E-6</v>
      </c>
      <c r="F805" s="810">
        <v>7.8600000000000002E-8</v>
      </c>
      <c r="G805" s="811" t="s">
        <v>414</v>
      </c>
      <c r="H805" s="812">
        <v>0.99</v>
      </c>
      <c r="I805" s="813" t="s">
        <v>1796</v>
      </c>
      <c r="J805" s="814">
        <v>1.64511E-2</v>
      </c>
      <c r="K805" s="814">
        <v>3.9424999999999999E-6</v>
      </c>
      <c r="L805" s="815" t="s">
        <v>2367</v>
      </c>
      <c r="M805" s="816">
        <v>2468000</v>
      </c>
      <c r="N805" s="816" t="s">
        <v>414</v>
      </c>
      <c r="O805" s="817">
        <v>0.6</v>
      </c>
      <c r="P805" s="818" t="s">
        <v>1801</v>
      </c>
      <c r="Q805" s="819">
        <v>11.6</v>
      </c>
      <c r="R805" s="820" t="s">
        <v>414</v>
      </c>
    </row>
    <row r="806" spans="1:18" ht="15" customHeight="1">
      <c r="A806" s="791" t="s">
        <v>2264</v>
      </c>
      <c r="B806" s="792" t="s">
        <v>2265</v>
      </c>
      <c r="C806" s="793">
        <v>183.85</v>
      </c>
      <c r="D806" s="794" t="s">
        <v>1801</v>
      </c>
      <c r="E806" s="831" t="s">
        <v>1750</v>
      </c>
      <c r="F806" s="831" t="s">
        <v>1750</v>
      </c>
      <c r="G806" s="832" t="s">
        <v>43</v>
      </c>
      <c r="H806" s="797">
        <v>19.3</v>
      </c>
      <c r="I806" s="798" t="s">
        <v>1796</v>
      </c>
      <c r="J806" s="833" t="s">
        <v>1750</v>
      </c>
      <c r="K806" s="833" t="s">
        <v>1750</v>
      </c>
      <c r="L806" s="834" t="s">
        <v>43</v>
      </c>
      <c r="M806" s="835" t="s">
        <v>1750</v>
      </c>
      <c r="N806" s="836" t="s">
        <v>43</v>
      </c>
      <c r="O806" s="837" t="s">
        <v>1750</v>
      </c>
      <c r="P806" s="838" t="s">
        <v>43</v>
      </c>
      <c r="Q806" s="804">
        <v>1E-3</v>
      </c>
      <c r="R806" s="805" t="s">
        <v>1797</v>
      </c>
    </row>
    <row r="807" spans="1:18" ht="15" customHeight="1">
      <c r="A807" s="791" t="s">
        <v>1605</v>
      </c>
      <c r="B807" s="792" t="s">
        <v>2454</v>
      </c>
      <c r="C807" s="793">
        <v>238.03</v>
      </c>
      <c r="D807" s="794" t="s">
        <v>1796</v>
      </c>
      <c r="E807" s="831" t="s">
        <v>1750</v>
      </c>
      <c r="F807" s="831" t="s">
        <v>1750</v>
      </c>
      <c r="G807" s="832" t="s">
        <v>43</v>
      </c>
      <c r="H807" s="797">
        <v>19.100000000000001</v>
      </c>
      <c r="I807" s="798" t="s">
        <v>1796</v>
      </c>
      <c r="J807" s="833" t="s">
        <v>1750</v>
      </c>
      <c r="K807" s="833" t="s">
        <v>1750</v>
      </c>
      <c r="L807" s="834" t="s">
        <v>43</v>
      </c>
      <c r="M807" s="835" t="s">
        <v>1750</v>
      </c>
      <c r="N807" s="836" t="s">
        <v>43</v>
      </c>
      <c r="O807" s="837" t="s">
        <v>1750</v>
      </c>
      <c r="P807" s="838" t="s">
        <v>43</v>
      </c>
      <c r="Q807" s="804">
        <v>1E-3</v>
      </c>
      <c r="R807" s="805" t="s">
        <v>1797</v>
      </c>
    </row>
    <row r="808" spans="1:18" ht="15" customHeight="1" thickBot="1">
      <c r="A808" s="806" t="s">
        <v>1606</v>
      </c>
      <c r="B808" s="807" t="s">
        <v>1607</v>
      </c>
      <c r="C808" s="808">
        <v>89.094999999999999</v>
      </c>
      <c r="D808" s="809" t="s">
        <v>1801</v>
      </c>
      <c r="E808" s="810">
        <v>2.6288000000000001E-6</v>
      </c>
      <c r="F808" s="810">
        <v>6.43E-8</v>
      </c>
      <c r="G808" s="811" t="s">
        <v>414</v>
      </c>
      <c r="H808" s="812">
        <v>0.98619999999999997</v>
      </c>
      <c r="I808" s="813" t="s">
        <v>1796</v>
      </c>
      <c r="J808" s="814">
        <v>8.4845599999999993E-2</v>
      </c>
      <c r="K808" s="814">
        <v>1.0200000000000001E-5</v>
      </c>
      <c r="L808" s="815" t="s">
        <v>2367</v>
      </c>
      <c r="M808" s="816">
        <v>12.13</v>
      </c>
      <c r="N808" s="816" t="s">
        <v>414</v>
      </c>
      <c r="O808" s="817">
        <v>480000</v>
      </c>
      <c r="P808" s="818" t="s">
        <v>1801</v>
      </c>
      <c r="Q808" s="819">
        <v>3.9399999999999998E-4</v>
      </c>
      <c r="R808" s="820" t="s">
        <v>414</v>
      </c>
    </row>
    <row r="809" spans="1:18" ht="15" customHeight="1">
      <c r="A809" s="791" t="s">
        <v>1608</v>
      </c>
      <c r="B809" s="792" t="s">
        <v>1609</v>
      </c>
      <c r="C809" s="793">
        <v>181.88</v>
      </c>
      <c r="D809" s="794" t="s">
        <v>414</v>
      </c>
      <c r="E809" s="831" t="s">
        <v>1750</v>
      </c>
      <c r="F809" s="831" t="s">
        <v>1750</v>
      </c>
      <c r="G809" s="832" t="s">
        <v>43</v>
      </c>
      <c r="H809" s="797">
        <v>3.35</v>
      </c>
      <c r="I809" s="798" t="s">
        <v>1796</v>
      </c>
      <c r="J809" s="833" t="s">
        <v>1750</v>
      </c>
      <c r="K809" s="833" t="s">
        <v>1750</v>
      </c>
      <c r="L809" s="834" t="s">
        <v>43</v>
      </c>
      <c r="M809" s="835" t="s">
        <v>1750</v>
      </c>
      <c r="N809" s="836" t="s">
        <v>43</v>
      </c>
      <c r="O809" s="802">
        <v>700</v>
      </c>
      <c r="P809" s="803" t="s">
        <v>1796</v>
      </c>
      <c r="Q809" s="804">
        <v>1E-3</v>
      </c>
      <c r="R809" s="805" t="s">
        <v>1797</v>
      </c>
    </row>
    <row r="810" spans="1:18" ht="15" customHeight="1">
      <c r="A810" s="791" t="s">
        <v>1610</v>
      </c>
      <c r="B810" s="792" t="s">
        <v>1611</v>
      </c>
      <c r="C810" s="793">
        <v>50.94</v>
      </c>
      <c r="D810" s="794" t="s">
        <v>414</v>
      </c>
      <c r="E810" s="831" t="s">
        <v>1750</v>
      </c>
      <c r="F810" s="831" t="s">
        <v>1750</v>
      </c>
      <c r="G810" s="832" t="s">
        <v>43</v>
      </c>
      <c r="H810" s="797">
        <v>6</v>
      </c>
      <c r="I810" s="798" t="s">
        <v>1796</v>
      </c>
      <c r="J810" s="833" t="s">
        <v>1750</v>
      </c>
      <c r="K810" s="833" t="s">
        <v>1750</v>
      </c>
      <c r="L810" s="834" t="s">
        <v>43</v>
      </c>
      <c r="M810" s="835" t="s">
        <v>1750</v>
      </c>
      <c r="N810" s="836" t="s">
        <v>43</v>
      </c>
      <c r="O810" s="837" t="s">
        <v>1750</v>
      </c>
      <c r="P810" s="838" t="s">
        <v>43</v>
      </c>
      <c r="Q810" s="804">
        <v>1E-3</v>
      </c>
      <c r="R810" s="805" t="s">
        <v>1797</v>
      </c>
    </row>
    <row r="811" spans="1:18" ht="15" customHeight="1" thickBot="1">
      <c r="A811" s="806" t="s">
        <v>1612</v>
      </c>
      <c r="B811" s="807" t="s">
        <v>1613</v>
      </c>
      <c r="C811" s="808">
        <v>203.35</v>
      </c>
      <c r="D811" s="809" t="s">
        <v>1801</v>
      </c>
      <c r="E811" s="810">
        <v>1.2633E-3</v>
      </c>
      <c r="F811" s="810">
        <v>3.0899999999999999E-5</v>
      </c>
      <c r="G811" s="811" t="s">
        <v>414</v>
      </c>
      <c r="H811" s="812">
        <v>0.95199999999999996</v>
      </c>
      <c r="I811" s="813" t="s">
        <v>1796</v>
      </c>
      <c r="J811" s="814">
        <v>2.4218900000000002E-2</v>
      </c>
      <c r="K811" s="814">
        <v>6.0745E-6</v>
      </c>
      <c r="L811" s="815" t="s">
        <v>2367</v>
      </c>
      <c r="M811" s="816">
        <v>299.10000000000002</v>
      </c>
      <c r="N811" s="816" t="s">
        <v>414</v>
      </c>
      <c r="O811" s="817">
        <v>90</v>
      </c>
      <c r="P811" s="818" t="s">
        <v>1801</v>
      </c>
      <c r="Q811" s="819">
        <v>4.0300000000000002E-2</v>
      </c>
      <c r="R811" s="820" t="s">
        <v>414</v>
      </c>
    </row>
    <row r="812" spans="1:18" ht="15" customHeight="1">
      <c r="A812" s="791" t="s">
        <v>1614</v>
      </c>
      <c r="B812" s="792" t="s">
        <v>1615</v>
      </c>
      <c r="C812" s="793">
        <v>286.12</v>
      </c>
      <c r="D812" s="794" t="s">
        <v>1801</v>
      </c>
      <c r="E812" s="795">
        <v>7.1137E-7</v>
      </c>
      <c r="F812" s="795">
        <v>1.74E-8</v>
      </c>
      <c r="G812" s="796" t="s">
        <v>414</v>
      </c>
      <c r="H812" s="797">
        <v>1.51</v>
      </c>
      <c r="I812" s="798" t="s">
        <v>1796</v>
      </c>
      <c r="J812" s="799">
        <v>2.51487E-2</v>
      </c>
      <c r="K812" s="799">
        <v>6.5271999999999999E-6</v>
      </c>
      <c r="L812" s="800" t="s">
        <v>2367</v>
      </c>
      <c r="M812" s="801">
        <v>283.60000000000002</v>
      </c>
      <c r="N812" s="801" t="s">
        <v>414</v>
      </c>
      <c r="O812" s="802">
        <v>2.6</v>
      </c>
      <c r="P812" s="803" t="s">
        <v>1801</v>
      </c>
      <c r="Q812" s="804">
        <v>4.4600000000000004E-3</v>
      </c>
      <c r="R812" s="805" t="s">
        <v>414</v>
      </c>
    </row>
    <row r="813" spans="1:18" ht="15" customHeight="1">
      <c r="A813" s="791" t="s">
        <v>1616</v>
      </c>
      <c r="B813" s="792" t="s">
        <v>1617</v>
      </c>
      <c r="C813" s="793">
        <v>86.090999999999994</v>
      </c>
      <c r="D813" s="794" t="s">
        <v>1801</v>
      </c>
      <c r="E813" s="795">
        <v>2.0891300000000002E-2</v>
      </c>
      <c r="F813" s="795">
        <v>5.1099999999999995E-4</v>
      </c>
      <c r="G813" s="796" t="s">
        <v>414</v>
      </c>
      <c r="H813" s="797">
        <v>0.92559999999999998</v>
      </c>
      <c r="I813" s="798" t="s">
        <v>1796</v>
      </c>
      <c r="J813" s="799">
        <v>8.4901599999999994E-2</v>
      </c>
      <c r="K813" s="799">
        <v>1.0000000000000001E-5</v>
      </c>
      <c r="L813" s="800" t="s">
        <v>2367</v>
      </c>
      <c r="M813" s="801">
        <v>5.5830000000000002</v>
      </c>
      <c r="N813" s="801" t="s">
        <v>414</v>
      </c>
      <c r="O813" s="802">
        <v>20000</v>
      </c>
      <c r="P813" s="803" t="s">
        <v>1801</v>
      </c>
      <c r="Q813" s="804">
        <v>1.57E-3</v>
      </c>
      <c r="R813" s="805" t="s">
        <v>414</v>
      </c>
    </row>
    <row r="814" spans="1:18" ht="15" customHeight="1" thickBot="1">
      <c r="A814" s="806" t="s">
        <v>1618</v>
      </c>
      <c r="B814" s="807" t="s">
        <v>1619</v>
      </c>
      <c r="C814" s="808">
        <v>106.95</v>
      </c>
      <c r="D814" s="809" t="s">
        <v>1801</v>
      </c>
      <c r="E814" s="810">
        <v>0.50286180000000003</v>
      </c>
      <c r="F814" s="810">
        <v>1.23E-2</v>
      </c>
      <c r="G814" s="811" t="s">
        <v>1801</v>
      </c>
      <c r="H814" s="812">
        <v>1.4933000000000001</v>
      </c>
      <c r="I814" s="813" t="s">
        <v>1796</v>
      </c>
      <c r="J814" s="814">
        <v>8.6223800000000003E-2</v>
      </c>
      <c r="K814" s="814">
        <v>1.17E-5</v>
      </c>
      <c r="L814" s="815" t="s">
        <v>2367</v>
      </c>
      <c r="M814" s="816">
        <v>21.73</v>
      </c>
      <c r="N814" s="816" t="s">
        <v>414</v>
      </c>
      <c r="O814" s="817">
        <v>7600</v>
      </c>
      <c r="P814" s="818" t="s">
        <v>1801</v>
      </c>
      <c r="Q814" s="819">
        <v>4.3499999999999997E-3</v>
      </c>
      <c r="R814" s="820" t="s">
        <v>414</v>
      </c>
    </row>
    <row r="815" spans="1:18" ht="15" customHeight="1">
      <c r="A815" s="791" t="s">
        <v>1620</v>
      </c>
      <c r="B815" s="792" t="s">
        <v>1621</v>
      </c>
      <c r="C815" s="793">
        <v>62.499000000000002</v>
      </c>
      <c r="D815" s="794" t="s">
        <v>1801</v>
      </c>
      <c r="E815" s="795">
        <v>1.1365495000000001</v>
      </c>
      <c r="F815" s="795">
        <v>2.7799999999999998E-2</v>
      </c>
      <c r="G815" s="796" t="s">
        <v>1801</v>
      </c>
      <c r="H815" s="797">
        <v>0.91059999999999997</v>
      </c>
      <c r="I815" s="798" t="s">
        <v>1796</v>
      </c>
      <c r="J815" s="799">
        <v>0.1071202</v>
      </c>
      <c r="K815" s="799">
        <v>1.2E-5</v>
      </c>
      <c r="L815" s="800" t="s">
        <v>2367</v>
      </c>
      <c r="M815" s="801">
        <v>21.73</v>
      </c>
      <c r="N815" s="801" t="s">
        <v>414</v>
      </c>
      <c r="O815" s="802">
        <v>8800</v>
      </c>
      <c r="P815" s="803" t="s">
        <v>1801</v>
      </c>
      <c r="Q815" s="804">
        <v>8.3800000000000003E-3</v>
      </c>
      <c r="R815" s="805" t="s">
        <v>414</v>
      </c>
    </row>
    <row r="816" spans="1:18" ht="15" customHeight="1">
      <c r="A816" s="791" t="s">
        <v>1622</v>
      </c>
      <c r="B816" s="792" t="s">
        <v>1623</v>
      </c>
      <c r="C816" s="793">
        <v>308.33999999999997</v>
      </c>
      <c r="D816" s="794" t="s">
        <v>1801</v>
      </c>
      <c r="E816" s="795">
        <v>1.1325E-7</v>
      </c>
      <c r="F816" s="795">
        <v>2.7700000000000002E-9</v>
      </c>
      <c r="G816" s="796" t="s">
        <v>414</v>
      </c>
      <c r="H816" s="821" t="s">
        <v>1750</v>
      </c>
      <c r="I816" s="822" t="s">
        <v>43</v>
      </c>
      <c r="J816" s="799">
        <v>4.1629399999999997E-2</v>
      </c>
      <c r="K816" s="799">
        <v>4.8640999999999997E-6</v>
      </c>
      <c r="L816" s="800" t="s">
        <v>2367</v>
      </c>
      <c r="M816" s="801">
        <v>426.1</v>
      </c>
      <c r="N816" s="801" t="s">
        <v>414</v>
      </c>
      <c r="O816" s="802">
        <v>17</v>
      </c>
      <c r="P816" s="803" t="s">
        <v>1801</v>
      </c>
      <c r="Q816" s="804">
        <v>1.82E-3</v>
      </c>
      <c r="R816" s="805" t="s">
        <v>414</v>
      </c>
    </row>
    <row r="817" spans="1:18" ht="15" customHeight="1" thickBot="1">
      <c r="A817" s="806" t="s">
        <v>1625</v>
      </c>
      <c r="B817" s="807" t="s">
        <v>1626</v>
      </c>
      <c r="C817" s="808">
        <v>106.17</v>
      </c>
      <c r="D817" s="809" t="s">
        <v>1801</v>
      </c>
      <c r="E817" s="810">
        <v>0.28209319999999999</v>
      </c>
      <c r="F817" s="810">
        <v>6.8999999999999999E-3</v>
      </c>
      <c r="G817" s="811" t="s">
        <v>1801</v>
      </c>
      <c r="H817" s="812">
        <v>0.85650000000000004</v>
      </c>
      <c r="I817" s="813" t="s">
        <v>1796</v>
      </c>
      <c r="J817" s="814">
        <v>6.8248500000000004E-2</v>
      </c>
      <c r="K817" s="814">
        <v>8.4199000000000005E-6</v>
      </c>
      <c r="L817" s="815" t="s">
        <v>2367</v>
      </c>
      <c r="M817" s="816">
        <v>375.3</v>
      </c>
      <c r="N817" s="816" t="s">
        <v>414</v>
      </c>
      <c r="O817" s="817">
        <v>162</v>
      </c>
      <c r="P817" s="818" t="s">
        <v>1801</v>
      </c>
      <c r="Q817" s="819">
        <v>4.9299999999999997E-2</v>
      </c>
      <c r="R817" s="820" t="s">
        <v>414</v>
      </c>
    </row>
    <row r="818" spans="1:18" ht="15" customHeight="1">
      <c r="A818" s="791" t="s">
        <v>171</v>
      </c>
      <c r="B818" s="792" t="s">
        <v>1627</v>
      </c>
      <c r="C818" s="793">
        <v>106.17</v>
      </c>
      <c r="D818" s="794" t="s">
        <v>1801</v>
      </c>
      <c r="E818" s="795">
        <v>0.29354049999999998</v>
      </c>
      <c r="F818" s="795">
        <v>7.1799999999999998E-3</v>
      </c>
      <c r="G818" s="796" t="s">
        <v>1801</v>
      </c>
      <c r="H818" s="797">
        <v>0.85980000000000001</v>
      </c>
      <c r="I818" s="798" t="s">
        <v>1796</v>
      </c>
      <c r="J818" s="799">
        <v>6.8365899999999993E-2</v>
      </c>
      <c r="K818" s="799">
        <v>8.4393999999999992E-6</v>
      </c>
      <c r="L818" s="800" t="s">
        <v>2367</v>
      </c>
      <c r="M818" s="801">
        <v>375.3</v>
      </c>
      <c r="N818" s="801" t="s">
        <v>414</v>
      </c>
      <c r="O818" s="802">
        <v>161</v>
      </c>
      <c r="P818" s="803" t="s">
        <v>1801</v>
      </c>
      <c r="Q818" s="804">
        <v>5.3199999999999997E-2</v>
      </c>
      <c r="R818" s="805" t="s">
        <v>414</v>
      </c>
    </row>
    <row r="819" spans="1:18" ht="15" customHeight="1">
      <c r="A819" s="791" t="s">
        <v>175</v>
      </c>
      <c r="B819" s="792" t="s">
        <v>1628</v>
      </c>
      <c r="C819" s="793">
        <v>106.17</v>
      </c>
      <c r="D819" s="794" t="s">
        <v>1801</v>
      </c>
      <c r="E819" s="795">
        <v>0.2117743</v>
      </c>
      <c r="F819" s="795">
        <v>5.1799999999999997E-3</v>
      </c>
      <c r="G819" s="796" t="s">
        <v>1801</v>
      </c>
      <c r="H819" s="797">
        <v>0.87549999999999994</v>
      </c>
      <c r="I819" s="798" t="s">
        <v>1796</v>
      </c>
      <c r="J819" s="799">
        <v>6.8920099999999998E-2</v>
      </c>
      <c r="K819" s="799">
        <v>8.5314999999999995E-6</v>
      </c>
      <c r="L819" s="800" t="s">
        <v>2367</v>
      </c>
      <c r="M819" s="801">
        <v>382.9</v>
      </c>
      <c r="N819" s="801" t="s">
        <v>414</v>
      </c>
      <c r="O819" s="802">
        <v>178</v>
      </c>
      <c r="P819" s="803" t="s">
        <v>1801</v>
      </c>
      <c r="Q819" s="804">
        <v>4.7100000000000003E-2</v>
      </c>
      <c r="R819" s="805" t="s">
        <v>414</v>
      </c>
    </row>
    <row r="820" spans="1:18" ht="15" customHeight="1" thickBot="1">
      <c r="A820" s="806" t="s">
        <v>1928</v>
      </c>
      <c r="B820" s="807" t="s">
        <v>1624</v>
      </c>
      <c r="C820" s="808">
        <v>106.17</v>
      </c>
      <c r="D820" s="809" t="s">
        <v>1801</v>
      </c>
      <c r="E820" s="810">
        <v>0.27105479999999998</v>
      </c>
      <c r="F820" s="810">
        <v>6.6299999999999996E-3</v>
      </c>
      <c r="G820" s="811" t="s">
        <v>1801</v>
      </c>
      <c r="H820" s="812">
        <v>0.86399999999999999</v>
      </c>
      <c r="I820" s="813" t="s">
        <v>2171</v>
      </c>
      <c r="J820" s="814">
        <v>6.8514800000000001E-2</v>
      </c>
      <c r="K820" s="814">
        <v>8.4641000000000008E-6</v>
      </c>
      <c r="L820" s="815" t="s">
        <v>2367</v>
      </c>
      <c r="M820" s="816">
        <v>382.9</v>
      </c>
      <c r="N820" s="816" t="s">
        <v>414</v>
      </c>
      <c r="O820" s="817">
        <v>106</v>
      </c>
      <c r="P820" s="818" t="s">
        <v>1801</v>
      </c>
      <c r="Q820" s="819">
        <v>0.05</v>
      </c>
      <c r="R820" s="820" t="s">
        <v>414</v>
      </c>
    </row>
    <row r="821" spans="1:18" ht="15" customHeight="1" thickBot="1">
      <c r="A821" s="806" t="s">
        <v>2519</v>
      </c>
      <c r="B821" s="807" t="s">
        <v>2522</v>
      </c>
      <c r="C821" s="808">
        <v>106.17</v>
      </c>
      <c r="D821" s="809" t="s">
        <v>1801</v>
      </c>
      <c r="E821" s="810">
        <v>0.27105479999999998</v>
      </c>
      <c r="F821" s="810">
        <v>6.6299999999999996E-3</v>
      </c>
      <c r="G821" s="811" t="s">
        <v>1801</v>
      </c>
      <c r="H821" s="812">
        <v>0.86399999999999999</v>
      </c>
      <c r="I821" s="813" t="s">
        <v>2171</v>
      </c>
      <c r="J821" s="814">
        <v>6.8514800000000001E-2</v>
      </c>
      <c r="K821" s="814">
        <v>8.4641000000000008E-6</v>
      </c>
      <c r="L821" s="815" t="s">
        <v>2367</v>
      </c>
      <c r="M821" s="816">
        <v>382.9</v>
      </c>
      <c r="N821" s="816" t="s">
        <v>414</v>
      </c>
      <c r="O821" s="817">
        <v>106</v>
      </c>
      <c r="P821" s="818" t="s">
        <v>1801</v>
      </c>
      <c r="Q821" s="819">
        <v>0.05</v>
      </c>
      <c r="R821" s="820" t="s">
        <v>414</v>
      </c>
    </row>
    <row r="822" spans="1:18" ht="15" customHeight="1" thickBot="1">
      <c r="A822" s="806" t="s">
        <v>2518</v>
      </c>
      <c r="B822" s="807" t="s">
        <v>2523</v>
      </c>
      <c r="C822" s="808">
        <v>106.17</v>
      </c>
      <c r="D822" s="809" t="s">
        <v>1801</v>
      </c>
      <c r="E822" s="810">
        <v>0.27105479999999998</v>
      </c>
      <c r="F822" s="810">
        <v>6.6299999999999996E-3</v>
      </c>
      <c r="G822" s="811" t="s">
        <v>1801</v>
      </c>
      <c r="H822" s="812">
        <v>0.86399999999999999</v>
      </c>
      <c r="I822" s="813" t="s">
        <v>2171</v>
      </c>
      <c r="J822" s="814">
        <v>6.8514800000000001E-2</v>
      </c>
      <c r="K822" s="814">
        <v>8.4641000000000008E-6</v>
      </c>
      <c r="L822" s="815" t="s">
        <v>2367</v>
      </c>
      <c r="M822" s="816">
        <v>382.9</v>
      </c>
      <c r="N822" s="816" t="s">
        <v>414</v>
      </c>
      <c r="O822" s="817">
        <v>106</v>
      </c>
      <c r="P822" s="818" t="s">
        <v>1801</v>
      </c>
      <c r="Q822" s="819">
        <v>0.05</v>
      </c>
      <c r="R822" s="820" t="s">
        <v>414</v>
      </c>
    </row>
    <row r="823" spans="1:18" ht="15" customHeight="1">
      <c r="A823" s="791" t="s">
        <v>1630</v>
      </c>
      <c r="B823" s="792" t="s">
        <v>1631</v>
      </c>
      <c r="C823" s="793">
        <v>258.17500000000001</v>
      </c>
      <c r="D823" s="794" t="s">
        <v>1796</v>
      </c>
      <c r="E823" s="831" t="s">
        <v>1750</v>
      </c>
      <c r="F823" s="831" t="s">
        <v>1750</v>
      </c>
      <c r="G823" s="832" t="s">
        <v>43</v>
      </c>
      <c r="H823" s="797">
        <v>4.55</v>
      </c>
      <c r="I823" s="798" t="s">
        <v>1796</v>
      </c>
      <c r="J823" s="833" t="s">
        <v>1750</v>
      </c>
      <c r="K823" s="833" t="s">
        <v>1750</v>
      </c>
      <c r="L823" s="834" t="s">
        <v>43</v>
      </c>
      <c r="M823" s="835" t="s">
        <v>1750</v>
      </c>
      <c r="N823" s="836" t="s">
        <v>43</v>
      </c>
      <c r="O823" s="837" t="s">
        <v>1750</v>
      </c>
      <c r="P823" s="838" t="s">
        <v>43</v>
      </c>
      <c r="Q823" s="804">
        <v>5.9999999999999995E-4</v>
      </c>
      <c r="R823" s="805" t="s">
        <v>1797</v>
      </c>
    </row>
    <row r="824" spans="1:18" ht="15" customHeight="1">
      <c r="A824" s="791" t="s">
        <v>1929</v>
      </c>
      <c r="B824" s="792" t="s">
        <v>1629</v>
      </c>
      <c r="C824" s="793">
        <v>65.37</v>
      </c>
      <c r="D824" s="794" t="s">
        <v>1801</v>
      </c>
      <c r="E824" s="831" t="s">
        <v>1750</v>
      </c>
      <c r="F824" s="831" t="s">
        <v>1750</v>
      </c>
      <c r="G824" s="832" t="s">
        <v>43</v>
      </c>
      <c r="H824" s="797">
        <v>7.1340000000000003</v>
      </c>
      <c r="I824" s="798" t="s">
        <v>1796</v>
      </c>
      <c r="J824" s="833" t="s">
        <v>1750</v>
      </c>
      <c r="K824" s="833" t="s">
        <v>1750</v>
      </c>
      <c r="L824" s="834" t="s">
        <v>43</v>
      </c>
      <c r="M824" s="835" t="s">
        <v>1750</v>
      </c>
      <c r="N824" s="836" t="s">
        <v>43</v>
      </c>
      <c r="O824" s="837" t="s">
        <v>1750</v>
      </c>
      <c r="P824" s="838" t="s">
        <v>43</v>
      </c>
      <c r="Q824" s="804">
        <v>5.9999999999999995E-4</v>
      </c>
      <c r="R824" s="805" t="s">
        <v>1797</v>
      </c>
    </row>
    <row r="825" spans="1:18" ht="15" customHeight="1" thickBot="1">
      <c r="A825" s="806" t="s">
        <v>1632</v>
      </c>
      <c r="B825" s="807" t="s">
        <v>1633</v>
      </c>
      <c r="C825" s="808">
        <v>275.73</v>
      </c>
      <c r="D825" s="809" t="s">
        <v>1801</v>
      </c>
      <c r="E825" s="810">
        <v>1.112E-7</v>
      </c>
      <c r="F825" s="810">
        <v>2.7200000000000001E-9</v>
      </c>
      <c r="G825" s="811" t="s">
        <v>1801</v>
      </c>
      <c r="H825" s="839" t="s">
        <v>1750</v>
      </c>
      <c r="I825" s="840" t="s">
        <v>43</v>
      </c>
      <c r="J825" s="814">
        <v>4.48502E-2</v>
      </c>
      <c r="K825" s="814">
        <v>5.2403999999999998E-6</v>
      </c>
      <c r="L825" s="815" t="s">
        <v>2367</v>
      </c>
      <c r="M825" s="816">
        <v>1345</v>
      </c>
      <c r="N825" s="816" t="s">
        <v>414</v>
      </c>
      <c r="O825" s="817">
        <v>10</v>
      </c>
      <c r="P825" s="818" t="s">
        <v>1801</v>
      </c>
      <c r="Q825" s="819">
        <v>3.2499999999999999E-4</v>
      </c>
      <c r="R825" s="820" t="s">
        <v>414</v>
      </c>
    </row>
    <row r="826" spans="1:18" ht="15" customHeight="1" thickBot="1">
      <c r="A826" s="806" t="s">
        <v>1930</v>
      </c>
      <c r="B826" s="807" t="s">
        <v>1931</v>
      </c>
      <c r="C826" s="808">
        <v>91.22</v>
      </c>
      <c r="D826" s="809" t="s">
        <v>414</v>
      </c>
      <c r="E826" s="823" t="s">
        <v>1750</v>
      </c>
      <c r="F826" s="823" t="s">
        <v>1750</v>
      </c>
      <c r="G826" s="824" t="s">
        <v>43</v>
      </c>
      <c r="H826" s="812">
        <v>6.52</v>
      </c>
      <c r="I826" s="813" t="s">
        <v>1796</v>
      </c>
      <c r="J826" s="825" t="s">
        <v>1750</v>
      </c>
      <c r="K826" s="825" t="s">
        <v>1750</v>
      </c>
      <c r="L826" s="826" t="s">
        <v>43</v>
      </c>
      <c r="M826" s="827" t="s">
        <v>1750</v>
      </c>
      <c r="N826" s="828" t="s">
        <v>43</v>
      </c>
      <c r="O826" s="829" t="s">
        <v>1750</v>
      </c>
      <c r="P826" s="830" t="s">
        <v>43</v>
      </c>
      <c r="Q826" s="819">
        <v>1E-3</v>
      </c>
      <c r="R826" s="820" t="s">
        <v>1797</v>
      </c>
    </row>
  </sheetData>
  <sheetProtection selectLockedCells="1"/>
  <mergeCells count="9">
    <mergeCell ref="O1:P1"/>
    <mergeCell ref="Q1:R1"/>
    <mergeCell ref="S1:T1"/>
    <mergeCell ref="A1:B1"/>
    <mergeCell ref="C1:D1"/>
    <mergeCell ref="E1:G1"/>
    <mergeCell ref="H1:I1"/>
    <mergeCell ref="J1:K1"/>
    <mergeCell ref="L1:N1"/>
  </mergeCells>
  <pageMargins left="0.7" right="0.7" top="0.75" bottom="0.75" header="0.3" footer="0.3"/>
  <pageSetup orientation="portrait" horizontalDpi="200" verticalDpi="20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1"/>
  <dimension ref="A1:AC830"/>
  <sheetViews>
    <sheetView workbookViewId="0">
      <pane ySplit="1" topLeftCell="A819" activePane="bottomLeft" state="frozen"/>
      <selection pane="bottomLeft" activeCell="L832" sqref="L832"/>
    </sheetView>
  </sheetViews>
  <sheetFormatPr defaultColWidth="9.140625" defaultRowHeight="15"/>
  <cols>
    <col min="1" max="1" width="20.28515625" style="463" customWidth="1"/>
    <col min="2" max="2" width="11.7109375" style="534" customWidth="1"/>
    <col min="3" max="3" width="7.85546875" style="534" bestFit="1" customWidth="1"/>
    <col min="4" max="4" width="2.28515625" style="534" bestFit="1" customWidth="1"/>
    <col min="5" max="5" width="13.5703125" style="534" customWidth="1"/>
    <col min="6" max="6" width="21.140625" style="534" customWidth="1"/>
    <col min="7" max="7" width="16" style="534" customWidth="1"/>
    <col min="8" max="8" width="2.28515625" style="534" bestFit="1" customWidth="1"/>
    <col min="9" max="9" width="11.42578125" style="534" bestFit="1" customWidth="1"/>
    <col min="10" max="10" width="3.85546875" style="534" bestFit="1" customWidth="1"/>
    <col min="11" max="11" width="4.5703125" style="534" customWidth="1"/>
    <col min="12" max="12" width="9.140625" style="464"/>
    <col min="13" max="16384" width="9.140625" style="463"/>
  </cols>
  <sheetData>
    <row r="1" spans="1:29" ht="15.75" customHeight="1">
      <c r="B1" s="973" t="s">
        <v>2288</v>
      </c>
      <c r="C1" s="974"/>
      <c r="D1" s="974"/>
      <c r="E1" s="974"/>
      <c r="F1" s="974"/>
      <c r="G1" s="974"/>
      <c r="H1" s="974"/>
      <c r="I1" s="974"/>
      <c r="J1" s="974"/>
      <c r="K1" s="974"/>
      <c r="L1" s="974"/>
      <c r="M1" s="974"/>
      <c r="N1" s="974"/>
      <c r="O1" s="974"/>
      <c r="P1" s="974"/>
      <c r="Q1" s="974"/>
      <c r="R1" s="974"/>
      <c r="S1" s="974"/>
      <c r="T1" s="974"/>
      <c r="U1" s="974"/>
      <c r="V1" s="974"/>
    </row>
    <row r="2" spans="1:29" ht="25.9" customHeight="1" thickBot="1">
      <c r="B2" s="975"/>
      <c r="C2" s="976"/>
      <c r="D2" s="976"/>
      <c r="E2" s="976"/>
      <c r="F2" s="976"/>
      <c r="G2" s="976"/>
      <c r="H2" s="976"/>
      <c r="I2" s="976"/>
      <c r="J2" s="976"/>
      <c r="K2" s="976"/>
      <c r="L2" s="976"/>
      <c r="M2" s="976"/>
      <c r="N2" s="976"/>
      <c r="O2" s="976"/>
      <c r="P2" s="976"/>
      <c r="Q2" s="976"/>
      <c r="R2" s="976"/>
      <c r="S2" s="976"/>
      <c r="T2" s="976"/>
      <c r="U2" s="976"/>
      <c r="V2" s="976"/>
    </row>
    <row r="3" spans="1:29" ht="15.75" thickBot="1">
      <c r="A3" s="969" t="s">
        <v>339</v>
      </c>
      <c r="B3" s="970"/>
      <c r="C3" s="969" t="s">
        <v>2266</v>
      </c>
      <c r="D3" s="971"/>
      <c r="E3" s="971"/>
      <c r="F3" s="971"/>
      <c r="G3" s="971"/>
      <c r="H3" s="971"/>
      <c r="I3" s="971"/>
      <c r="J3" s="971"/>
      <c r="K3" s="971"/>
      <c r="L3" s="971"/>
      <c r="M3" s="971"/>
      <c r="N3" s="971"/>
      <c r="O3" s="970"/>
      <c r="P3" s="969" t="s">
        <v>2270</v>
      </c>
      <c r="Q3" s="971"/>
      <c r="R3" s="971"/>
      <c r="S3" s="971"/>
      <c r="T3" s="971"/>
      <c r="U3" s="971"/>
      <c r="V3" s="971"/>
      <c r="W3" s="971"/>
      <c r="X3" s="971"/>
      <c r="Y3" s="971"/>
      <c r="Z3" s="970"/>
      <c r="AA3" s="969" t="s">
        <v>2271</v>
      </c>
      <c r="AB3" s="971"/>
      <c r="AC3" s="970"/>
    </row>
    <row r="4" spans="1:29" ht="68.25" thickBot="1">
      <c r="A4" s="849" t="s">
        <v>347</v>
      </c>
      <c r="B4" s="849" t="s">
        <v>1</v>
      </c>
      <c r="C4" s="850" t="s">
        <v>2455</v>
      </c>
      <c r="D4" s="851" t="s">
        <v>1932</v>
      </c>
      <c r="E4" s="850" t="s">
        <v>2456</v>
      </c>
      <c r="F4" s="851" t="s">
        <v>1932</v>
      </c>
      <c r="G4" s="850" t="s">
        <v>2457</v>
      </c>
      <c r="H4" s="851" t="s">
        <v>1932</v>
      </c>
      <c r="I4" s="850" t="s">
        <v>2458</v>
      </c>
      <c r="J4" s="851" t="s">
        <v>1932</v>
      </c>
      <c r="K4" s="851" t="s">
        <v>2459</v>
      </c>
      <c r="L4" s="851" t="s">
        <v>1933</v>
      </c>
      <c r="M4" s="851" t="s">
        <v>2267</v>
      </c>
      <c r="N4" s="851" t="s">
        <v>2268</v>
      </c>
      <c r="O4" s="850" t="s">
        <v>2460</v>
      </c>
      <c r="P4" s="852" t="s">
        <v>2272</v>
      </c>
      <c r="Q4" s="853" t="s">
        <v>2269</v>
      </c>
      <c r="R4" s="852" t="s">
        <v>2273</v>
      </c>
      <c r="S4" s="853" t="s">
        <v>2269</v>
      </c>
      <c r="T4" s="852" t="s">
        <v>2461</v>
      </c>
      <c r="U4" s="853" t="s">
        <v>2269</v>
      </c>
      <c r="V4" s="852" t="s">
        <v>2462</v>
      </c>
      <c r="W4" s="853" t="s">
        <v>2269</v>
      </c>
      <c r="X4" s="852" t="s">
        <v>2274</v>
      </c>
      <c r="Y4" s="853" t="s">
        <v>2269</v>
      </c>
      <c r="Z4" s="852" t="s">
        <v>2275</v>
      </c>
      <c r="AA4" s="854" t="s">
        <v>2276</v>
      </c>
      <c r="AB4" s="855" t="s">
        <v>2269</v>
      </c>
      <c r="AC4" s="854" t="s">
        <v>2277</v>
      </c>
    </row>
    <row r="5" spans="1:29" ht="30.75">
      <c r="A5" s="856" t="s">
        <v>356</v>
      </c>
      <c r="B5" s="792" t="s">
        <v>357</v>
      </c>
      <c r="C5" s="857" t="s">
        <v>1750</v>
      </c>
      <c r="D5" s="858"/>
      <c r="E5" s="843" t="s">
        <v>1750</v>
      </c>
      <c r="F5" s="858" t="s">
        <v>43</v>
      </c>
      <c r="G5" s="804">
        <v>1.1999999999999999E-3</v>
      </c>
      <c r="H5" s="859" t="s">
        <v>2463</v>
      </c>
      <c r="I5" s="843" t="s">
        <v>1750</v>
      </c>
      <c r="J5" s="858" t="s">
        <v>43</v>
      </c>
      <c r="K5" s="858" t="s">
        <v>43</v>
      </c>
      <c r="L5" s="858" t="s">
        <v>43</v>
      </c>
      <c r="M5" s="859">
        <v>1</v>
      </c>
      <c r="N5" s="859">
        <v>0.1</v>
      </c>
      <c r="O5" s="860" t="s">
        <v>1750</v>
      </c>
      <c r="P5" s="861">
        <v>76</v>
      </c>
      <c r="Q5" s="862" t="s">
        <v>179</v>
      </c>
      <c r="R5" s="861">
        <v>980</v>
      </c>
      <c r="S5" s="862" t="s">
        <v>179</v>
      </c>
      <c r="T5" s="863" t="s">
        <v>1750</v>
      </c>
      <c r="U5" s="864" t="s">
        <v>43</v>
      </c>
      <c r="V5" s="863" t="s">
        <v>1750</v>
      </c>
      <c r="W5" s="864" t="s">
        <v>43</v>
      </c>
      <c r="X5" s="861">
        <v>24</v>
      </c>
      <c r="Y5" s="865" t="s">
        <v>179</v>
      </c>
      <c r="Z5" s="866" t="s">
        <v>43</v>
      </c>
      <c r="AA5" s="867">
        <v>5.3E-3</v>
      </c>
      <c r="AB5" s="868" t="s">
        <v>179</v>
      </c>
      <c r="AC5" s="869" t="s">
        <v>1750</v>
      </c>
    </row>
    <row r="6" spans="1:29" ht="15.75">
      <c r="A6" s="856" t="s">
        <v>55</v>
      </c>
      <c r="B6" s="792" t="s">
        <v>358</v>
      </c>
      <c r="C6" s="857" t="s">
        <v>1750</v>
      </c>
      <c r="D6" s="858" t="s">
        <v>43</v>
      </c>
      <c r="E6" s="804">
        <v>2.2000000000000001E-6</v>
      </c>
      <c r="F6" s="859" t="s">
        <v>280</v>
      </c>
      <c r="G6" s="843" t="s">
        <v>1750</v>
      </c>
      <c r="H6" s="858" t="s">
        <v>43</v>
      </c>
      <c r="I6" s="804">
        <v>8.9999999999999993E-3</v>
      </c>
      <c r="J6" s="859" t="s">
        <v>280</v>
      </c>
      <c r="K6" s="859" t="s">
        <v>1634</v>
      </c>
      <c r="L6" s="858" t="s">
        <v>43</v>
      </c>
      <c r="M6" s="859">
        <v>1</v>
      </c>
      <c r="N6" s="870" t="s">
        <v>1750</v>
      </c>
      <c r="O6" s="805">
        <v>107000</v>
      </c>
      <c r="P6" s="861">
        <v>11</v>
      </c>
      <c r="Q6" s="862" t="s">
        <v>2278</v>
      </c>
      <c r="R6" s="861">
        <v>49</v>
      </c>
      <c r="S6" s="862" t="s">
        <v>2278</v>
      </c>
      <c r="T6" s="861">
        <v>1.3</v>
      </c>
      <c r="U6" s="862" t="s">
        <v>2278</v>
      </c>
      <c r="V6" s="861">
        <v>5.6</v>
      </c>
      <c r="W6" s="862" t="s">
        <v>2278</v>
      </c>
      <c r="X6" s="861">
        <v>2.6</v>
      </c>
      <c r="Y6" s="865" t="s">
        <v>2278</v>
      </c>
      <c r="Z6" s="866" t="s">
        <v>43</v>
      </c>
      <c r="AA6" s="867">
        <v>5.1999999999999995E-4</v>
      </c>
      <c r="AB6" s="868" t="s">
        <v>2278</v>
      </c>
      <c r="AC6" s="869" t="s">
        <v>1750</v>
      </c>
    </row>
    <row r="7" spans="1:29" ht="31.5" thickBot="1">
      <c r="A7" s="871" t="s">
        <v>359</v>
      </c>
      <c r="B7" s="807" t="s">
        <v>360</v>
      </c>
      <c r="C7" s="872" t="s">
        <v>1750</v>
      </c>
      <c r="D7" s="873" t="s">
        <v>43</v>
      </c>
      <c r="E7" s="847" t="s">
        <v>1750</v>
      </c>
      <c r="F7" s="873" t="s">
        <v>43</v>
      </c>
      <c r="G7" s="819">
        <v>0.02</v>
      </c>
      <c r="H7" s="874" t="s">
        <v>280</v>
      </c>
      <c r="I7" s="847" t="s">
        <v>1750</v>
      </c>
      <c r="J7" s="873" t="s">
        <v>43</v>
      </c>
      <c r="K7" s="873" t="s">
        <v>43</v>
      </c>
      <c r="L7" s="873" t="s">
        <v>43</v>
      </c>
      <c r="M7" s="874">
        <v>1</v>
      </c>
      <c r="N7" s="874">
        <v>0.1</v>
      </c>
      <c r="O7" s="875" t="s">
        <v>1750</v>
      </c>
      <c r="P7" s="876">
        <v>1300</v>
      </c>
      <c r="Q7" s="877" t="s">
        <v>179</v>
      </c>
      <c r="R7" s="876">
        <v>16000</v>
      </c>
      <c r="S7" s="877" t="s">
        <v>179</v>
      </c>
      <c r="T7" s="878" t="s">
        <v>1750</v>
      </c>
      <c r="U7" s="879" t="s">
        <v>43</v>
      </c>
      <c r="V7" s="878" t="s">
        <v>1750</v>
      </c>
      <c r="W7" s="879" t="s">
        <v>43</v>
      </c>
      <c r="X7" s="876">
        <v>350</v>
      </c>
      <c r="Y7" s="880" t="s">
        <v>179</v>
      </c>
      <c r="Z7" s="881" t="s">
        <v>43</v>
      </c>
      <c r="AA7" s="882">
        <v>0.28000000000000003</v>
      </c>
      <c r="AB7" s="883" t="s">
        <v>179</v>
      </c>
      <c r="AC7" s="884" t="s">
        <v>1750</v>
      </c>
    </row>
    <row r="8" spans="1:29" ht="15.75">
      <c r="A8" s="856" t="s">
        <v>46</v>
      </c>
      <c r="B8" s="792" t="s">
        <v>361</v>
      </c>
      <c r="C8" s="857" t="s">
        <v>1750</v>
      </c>
      <c r="D8" s="858" t="s">
        <v>43</v>
      </c>
      <c r="E8" s="843" t="s">
        <v>1750</v>
      </c>
      <c r="F8" s="858" t="s">
        <v>43</v>
      </c>
      <c r="G8" s="804">
        <v>0.9</v>
      </c>
      <c r="H8" s="859" t="s">
        <v>280</v>
      </c>
      <c r="I8" s="804">
        <v>31</v>
      </c>
      <c r="J8" s="859" t="s">
        <v>18</v>
      </c>
      <c r="K8" s="859" t="s">
        <v>1634</v>
      </c>
      <c r="L8" s="858" t="s">
        <v>43</v>
      </c>
      <c r="M8" s="859">
        <v>1</v>
      </c>
      <c r="N8" s="870" t="s">
        <v>1750</v>
      </c>
      <c r="O8" s="805">
        <v>114000</v>
      </c>
      <c r="P8" s="861">
        <v>61000</v>
      </c>
      <c r="Q8" s="862" t="s">
        <v>179</v>
      </c>
      <c r="R8" s="861">
        <v>670000</v>
      </c>
      <c r="S8" s="862" t="s">
        <v>2280</v>
      </c>
      <c r="T8" s="861">
        <v>32000</v>
      </c>
      <c r="U8" s="862" t="s">
        <v>179</v>
      </c>
      <c r="V8" s="861">
        <v>140000</v>
      </c>
      <c r="W8" s="862" t="s">
        <v>179</v>
      </c>
      <c r="X8" s="861">
        <v>14000</v>
      </c>
      <c r="Y8" s="865" t="s">
        <v>179</v>
      </c>
      <c r="Z8" s="866" t="s">
        <v>43</v>
      </c>
      <c r="AA8" s="867">
        <v>2.9</v>
      </c>
      <c r="AB8" s="868" t="s">
        <v>179</v>
      </c>
      <c r="AC8" s="869" t="s">
        <v>1750</v>
      </c>
    </row>
    <row r="9" spans="1:29" ht="30.75">
      <c r="A9" s="856" t="s">
        <v>362</v>
      </c>
      <c r="B9" s="792" t="s">
        <v>363</v>
      </c>
      <c r="C9" s="857" t="s">
        <v>1750</v>
      </c>
      <c r="D9" s="858" t="s">
        <v>43</v>
      </c>
      <c r="E9" s="843" t="s">
        <v>1750</v>
      </c>
      <c r="F9" s="858" t="s">
        <v>43</v>
      </c>
      <c r="G9" s="843" t="s">
        <v>1750</v>
      </c>
      <c r="H9" s="858" t="s">
        <v>43</v>
      </c>
      <c r="I9" s="804">
        <v>2E-3</v>
      </c>
      <c r="J9" s="859" t="s">
        <v>0</v>
      </c>
      <c r="K9" s="858" t="s">
        <v>43</v>
      </c>
      <c r="L9" s="858" t="s">
        <v>43</v>
      </c>
      <c r="M9" s="859">
        <v>1</v>
      </c>
      <c r="N9" s="859">
        <v>0.1</v>
      </c>
      <c r="O9" s="860" t="s">
        <v>1750</v>
      </c>
      <c r="P9" s="861">
        <v>2800000</v>
      </c>
      <c r="Q9" s="862" t="s">
        <v>2281</v>
      </c>
      <c r="R9" s="861">
        <v>12000000</v>
      </c>
      <c r="S9" s="862" t="s">
        <v>2281</v>
      </c>
      <c r="T9" s="861">
        <v>2.1</v>
      </c>
      <c r="U9" s="862" t="s">
        <v>179</v>
      </c>
      <c r="V9" s="861">
        <v>8.8000000000000007</v>
      </c>
      <c r="W9" s="862" t="s">
        <v>179</v>
      </c>
      <c r="X9" s="863" t="s">
        <v>1750</v>
      </c>
      <c r="Y9" s="885" t="s">
        <v>43</v>
      </c>
      <c r="Z9" s="866" t="s">
        <v>43</v>
      </c>
      <c r="AA9" s="886" t="s">
        <v>1750</v>
      </c>
      <c r="AB9" s="887" t="s">
        <v>43</v>
      </c>
      <c r="AC9" s="869" t="s">
        <v>1750</v>
      </c>
    </row>
    <row r="10" spans="1:29" ht="16.5" thickBot="1">
      <c r="A10" s="871" t="s">
        <v>54</v>
      </c>
      <c r="B10" s="807" t="s">
        <v>364</v>
      </c>
      <c r="C10" s="872" t="s">
        <v>1750</v>
      </c>
      <c r="D10" s="873" t="s">
        <v>43</v>
      </c>
      <c r="E10" s="847" t="s">
        <v>1750</v>
      </c>
      <c r="F10" s="873" t="s">
        <v>43</v>
      </c>
      <c r="G10" s="847" t="s">
        <v>1750</v>
      </c>
      <c r="H10" s="873" t="s">
        <v>43</v>
      </c>
      <c r="I10" s="819">
        <v>0.06</v>
      </c>
      <c r="J10" s="874" t="s">
        <v>280</v>
      </c>
      <c r="K10" s="874" t="s">
        <v>1634</v>
      </c>
      <c r="L10" s="873" t="s">
        <v>43</v>
      </c>
      <c r="M10" s="874">
        <v>1</v>
      </c>
      <c r="N10" s="888" t="s">
        <v>1750</v>
      </c>
      <c r="O10" s="820">
        <v>128000</v>
      </c>
      <c r="P10" s="876">
        <v>810</v>
      </c>
      <c r="Q10" s="877" t="s">
        <v>179</v>
      </c>
      <c r="R10" s="876">
        <v>3400</v>
      </c>
      <c r="S10" s="877" t="s">
        <v>179</v>
      </c>
      <c r="T10" s="876">
        <v>63</v>
      </c>
      <c r="U10" s="877" t="s">
        <v>179</v>
      </c>
      <c r="V10" s="876">
        <v>260</v>
      </c>
      <c r="W10" s="877" t="s">
        <v>179</v>
      </c>
      <c r="X10" s="876">
        <v>130</v>
      </c>
      <c r="Y10" s="880" t="s">
        <v>179</v>
      </c>
      <c r="Z10" s="881" t="s">
        <v>43</v>
      </c>
      <c r="AA10" s="882">
        <v>2.5999999999999999E-2</v>
      </c>
      <c r="AB10" s="883" t="s">
        <v>179</v>
      </c>
      <c r="AC10" s="884" t="s">
        <v>1750</v>
      </c>
    </row>
    <row r="11" spans="1:29" ht="15.75">
      <c r="A11" s="856" t="s">
        <v>82</v>
      </c>
      <c r="B11" s="792" t="s">
        <v>365</v>
      </c>
      <c r="C11" s="857" t="s">
        <v>1750</v>
      </c>
      <c r="D11" s="858" t="s">
        <v>43</v>
      </c>
      <c r="E11" s="843" t="s">
        <v>1750</v>
      </c>
      <c r="F11" s="858" t="s">
        <v>43</v>
      </c>
      <c r="G11" s="804">
        <v>0.1</v>
      </c>
      <c r="H11" s="859" t="s">
        <v>280</v>
      </c>
      <c r="I11" s="843" t="s">
        <v>1750</v>
      </c>
      <c r="J11" s="858" t="s">
        <v>43</v>
      </c>
      <c r="K11" s="859" t="s">
        <v>1634</v>
      </c>
      <c r="L11" s="858" t="s">
        <v>43</v>
      </c>
      <c r="M11" s="859">
        <v>1</v>
      </c>
      <c r="N11" s="870" t="s">
        <v>1750</v>
      </c>
      <c r="O11" s="805">
        <v>2520</v>
      </c>
      <c r="P11" s="861">
        <v>7800</v>
      </c>
      <c r="Q11" s="862" t="s">
        <v>2282</v>
      </c>
      <c r="R11" s="861">
        <v>120000</v>
      </c>
      <c r="S11" s="862" t="s">
        <v>2280</v>
      </c>
      <c r="T11" s="863" t="s">
        <v>1750</v>
      </c>
      <c r="U11" s="864" t="s">
        <v>43</v>
      </c>
      <c r="V11" s="863" t="s">
        <v>1750</v>
      </c>
      <c r="W11" s="864" t="s">
        <v>43</v>
      </c>
      <c r="X11" s="861">
        <v>1900</v>
      </c>
      <c r="Y11" s="865" t="s">
        <v>179</v>
      </c>
      <c r="Z11" s="866" t="s">
        <v>43</v>
      </c>
      <c r="AA11" s="867">
        <v>0.57999999999999996</v>
      </c>
      <c r="AB11" s="868" t="s">
        <v>179</v>
      </c>
      <c r="AC11" s="869" t="s">
        <v>1750</v>
      </c>
    </row>
    <row r="12" spans="1:29" ht="30.75">
      <c r="A12" s="856" t="s">
        <v>366</v>
      </c>
      <c r="B12" s="792" t="s">
        <v>367</v>
      </c>
      <c r="C12" s="889">
        <v>3.8</v>
      </c>
      <c r="D12" s="859" t="s">
        <v>3</v>
      </c>
      <c r="E12" s="804">
        <v>1.2999999999999999E-3</v>
      </c>
      <c r="F12" s="859" t="s">
        <v>3</v>
      </c>
      <c r="G12" s="843" t="s">
        <v>1750</v>
      </c>
      <c r="H12" s="858" t="s">
        <v>43</v>
      </c>
      <c r="I12" s="843" t="s">
        <v>1750</v>
      </c>
      <c r="J12" s="858" t="s">
        <v>43</v>
      </c>
      <c r="K12" s="858" t="s">
        <v>43</v>
      </c>
      <c r="L12" s="858" t="s">
        <v>43</v>
      </c>
      <c r="M12" s="859">
        <v>1</v>
      </c>
      <c r="N12" s="859">
        <v>0.1</v>
      </c>
      <c r="O12" s="860" t="s">
        <v>1750</v>
      </c>
      <c r="P12" s="861">
        <v>0.14000000000000001</v>
      </c>
      <c r="Q12" s="862" t="s">
        <v>2283</v>
      </c>
      <c r="R12" s="861">
        <v>0.6</v>
      </c>
      <c r="S12" s="862" t="s">
        <v>2283</v>
      </c>
      <c r="T12" s="861">
        <v>2.2000000000000001E-3</v>
      </c>
      <c r="U12" s="862" t="s">
        <v>2283</v>
      </c>
      <c r="V12" s="861">
        <v>9.4000000000000004E-3</v>
      </c>
      <c r="W12" s="862" t="s">
        <v>2283</v>
      </c>
      <c r="X12" s="861">
        <v>1.6E-2</v>
      </c>
      <c r="Y12" s="865" t="s">
        <v>2283</v>
      </c>
      <c r="Z12" s="866" t="s">
        <v>43</v>
      </c>
      <c r="AA12" s="867">
        <v>7.2000000000000002E-5</v>
      </c>
      <c r="AB12" s="868" t="s">
        <v>2283</v>
      </c>
      <c r="AC12" s="869" t="s">
        <v>1750</v>
      </c>
    </row>
    <row r="13" spans="1:29" ht="16.5" thickBot="1">
      <c r="A13" s="871" t="s">
        <v>91</v>
      </c>
      <c r="B13" s="807" t="s">
        <v>368</v>
      </c>
      <c r="C13" s="872" t="s">
        <v>1750</v>
      </c>
      <c r="D13" s="873" t="s">
        <v>43</v>
      </c>
      <c r="E13" s="847" t="s">
        <v>1750</v>
      </c>
      <c r="F13" s="873" t="s">
        <v>43</v>
      </c>
      <c r="G13" s="819">
        <v>5.0000000000000001E-4</v>
      </c>
      <c r="H13" s="874" t="s">
        <v>280</v>
      </c>
      <c r="I13" s="819">
        <v>2.0000000000000002E-5</v>
      </c>
      <c r="J13" s="874" t="s">
        <v>280</v>
      </c>
      <c r="K13" s="874" t="s">
        <v>1634</v>
      </c>
      <c r="L13" s="873" t="s">
        <v>43</v>
      </c>
      <c r="M13" s="874">
        <v>1</v>
      </c>
      <c r="N13" s="888" t="s">
        <v>1750</v>
      </c>
      <c r="O13" s="820">
        <v>22700</v>
      </c>
      <c r="P13" s="876">
        <v>0.14000000000000001</v>
      </c>
      <c r="Q13" s="877" t="s">
        <v>179</v>
      </c>
      <c r="R13" s="876">
        <v>0.6</v>
      </c>
      <c r="S13" s="877" t="s">
        <v>179</v>
      </c>
      <c r="T13" s="876">
        <v>2.1000000000000001E-2</v>
      </c>
      <c r="U13" s="877" t="s">
        <v>179</v>
      </c>
      <c r="V13" s="876">
        <v>8.7999999999999995E-2</v>
      </c>
      <c r="W13" s="877" t="s">
        <v>179</v>
      </c>
      <c r="X13" s="876">
        <v>4.2000000000000003E-2</v>
      </c>
      <c r="Y13" s="880" t="s">
        <v>179</v>
      </c>
      <c r="Z13" s="881" t="s">
        <v>43</v>
      </c>
      <c r="AA13" s="882">
        <v>8.3999999999999992E-6</v>
      </c>
      <c r="AB13" s="883" t="s">
        <v>179</v>
      </c>
      <c r="AC13" s="884" t="s">
        <v>1750</v>
      </c>
    </row>
    <row r="14" spans="1:29" ht="15.75">
      <c r="A14" s="856" t="s">
        <v>369</v>
      </c>
      <c r="B14" s="792" t="s">
        <v>370</v>
      </c>
      <c r="C14" s="889">
        <v>0.5</v>
      </c>
      <c r="D14" s="859" t="s">
        <v>280</v>
      </c>
      <c r="E14" s="804">
        <v>1E-4</v>
      </c>
      <c r="F14" s="859" t="s">
        <v>280</v>
      </c>
      <c r="G14" s="804">
        <v>2E-3</v>
      </c>
      <c r="H14" s="859" t="s">
        <v>280</v>
      </c>
      <c r="I14" s="804">
        <v>6.0000000000000001E-3</v>
      </c>
      <c r="J14" s="859" t="s">
        <v>280</v>
      </c>
      <c r="K14" s="858" t="s">
        <v>43</v>
      </c>
      <c r="L14" s="859" t="s">
        <v>247</v>
      </c>
      <c r="M14" s="859">
        <v>1</v>
      </c>
      <c r="N14" s="859">
        <v>0.1</v>
      </c>
      <c r="O14" s="860" t="s">
        <v>1750</v>
      </c>
      <c r="P14" s="861">
        <v>0.24</v>
      </c>
      <c r="Q14" s="862" t="s">
        <v>2283</v>
      </c>
      <c r="R14" s="861">
        <v>4.5999999999999996</v>
      </c>
      <c r="S14" s="862" t="s">
        <v>2283</v>
      </c>
      <c r="T14" s="861">
        <v>0.01</v>
      </c>
      <c r="U14" s="862" t="s">
        <v>2283</v>
      </c>
      <c r="V14" s="861">
        <v>0.12</v>
      </c>
      <c r="W14" s="862" t="s">
        <v>2283</v>
      </c>
      <c r="X14" s="861">
        <v>0.05</v>
      </c>
      <c r="Y14" s="865" t="s">
        <v>2283</v>
      </c>
      <c r="Z14" s="866" t="s">
        <v>43</v>
      </c>
      <c r="AA14" s="867">
        <v>1.1E-5</v>
      </c>
      <c r="AB14" s="868" t="s">
        <v>2283</v>
      </c>
      <c r="AC14" s="869" t="s">
        <v>1750</v>
      </c>
    </row>
    <row r="15" spans="1:29" ht="15.75">
      <c r="A15" s="856" t="s">
        <v>371</v>
      </c>
      <c r="B15" s="792" t="s">
        <v>372</v>
      </c>
      <c r="C15" s="857" t="s">
        <v>1750</v>
      </c>
      <c r="D15" s="858" t="s">
        <v>43</v>
      </c>
      <c r="E15" s="843" t="s">
        <v>1750</v>
      </c>
      <c r="F15" s="858" t="s">
        <v>43</v>
      </c>
      <c r="G15" s="804">
        <v>0.5</v>
      </c>
      <c r="H15" s="859" t="s">
        <v>280</v>
      </c>
      <c r="I15" s="804">
        <v>1E-3</v>
      </c>
      <c r="J15" s="859" t="s">
        <v>280</v>
      </c>
      <c r="K15" s="859" t="s">
        <v>1634</v>
      </c>
      <c r="L15" s="858" t="s">
        <v>43</v>
      </c>
      <c r="M15" s="859">
        <v>1</v>
      </c>
      <c r="N15" s="870" t="s">
        <v>1750</v>
      </c>
      <c r="O15" s="805">
        <v>109000</v>
      </c>
      <c r="P15" s="861">
        <v>99</v>
      </c>
      <c r="Q15" s="862" t="s">
        <v>179</v>
      </c>
      <c r="R15" s="861">
        <v>420</v>
      </c>
      <c r="S15" s="862" t="s">
        <v>179</v>
      </c>
      <c r="T15" s="861">
        <v>1</v>
      </c>
      <c r="U15" s="862" t="s">
        <v>179</v>
      </c>
      <c r="V15" s="861">
        <v>4.4000000000000004</v>
      </c>
      <c r="W15" s="862" t="s">
        <v>179</v>
      </c>
      <c r="X15" s="861">
        <v>2.1</v>
      </c>
      <c r="Y15" s="865" t="s">
        <v>179</v>
      </c>
      <c r="Z15" s="866" t="s">
        <v>43</v>
      </c>
      <c r="AA15" s="867">
        <v>4.2000000000000002E-4</v>
      </c>
      <c r="AB15" s="868" t="s">
        <v>179</v>
      </c>
      <c r="AC15" s="869" t="s">
        <v>1750</v>
      </c>
    </row>
    <row r="16" spans="1:29" ht="16.5" thickBot="1">
      <c r="A16" s="871" t="s">
        <v>93</v>
      </c>
      <c r="B16" s="807" t="s">
        <v>373</v>
      </c>
      <c r="C16" s="890">
        <v>0.54</v>
      </c>
      <c r="D16" s="874" t="s">
        <v>280</v>
      </c>
      <c r="E16" s="819">
        <v>6.7999999999999999E-5</v>
      </c>
      <c r="F16" s="874" t="s">
        <v>280</v>
      </c>
      <c r="G16" s="819">
        <v>0.04</v>
      </c>
      <c r="H16" s="874" t="s">
        <v>18</v>
      </c>
      <c r="I16" s="819">
        <v>2E-3</v>
      </c>
      <c r="J16" s="874" t="s">
        <v>280</v>
      </c>
      <c r="K16" s="874" t="s">
        <v>1634</v>
      </c>
      <c r="L16" s="873" t="s">
        <v>43</v>
      </c>
      <c r="M16" s="874">
        <v>1</v>
      </c>
      <c r="N16" s="888" t="s">
        <v>1750</v>
      </c>
      <c r="O16" s="820">
        <v>11300</v>
      </c>
      <c r="P16" s="876">
        <v>0.25</v>
      </c>
      <c r="Q16" s="877" t="s">
        <v>2279</v>
      </c>
      <c r="R16" s="876">
        <v>1.1000000000000001</v>
      </c>
      <c r="S16" s="877" t="s">
        <v>2279</v>
      </c>
      <c r="T16" s="876">
        <v>4.1000000000000002E-2</v>
      </c>
      <c r="U16" s="877" t="s">
        <v>2279</v>
      </c>
      <c r="V16" s="876">
        <v>0.18</v>
      </c>
      <c r="W16" s="877" t="s">
        <v>2279</v>
      </c>
      <c r="X16" s="876">
        <v>5.1999999999999998E-2</v>
      </c>
      <c r="Y16" s="880" t="s">
        <v>2279</v>
      </c>
      <c r="Z16" s="881" t="s">
        <v>43</v>
      </c>
      <c r="AA16" s="882">
        <v>1.1E-5</v>
      </c>
      <c r="AB16" s="883" t="s">
        <v>2279</v>
      </c>
      <c r="AC16" s="884" t="s">
        <v>1750</v>
      </c>
    </row>
    <row r="17" spans="1:29" ht="15.75">
      <c r="A17" s="856" t="s">
        <v>374</v>
      </c>
      <c r="B17" s="792" t="s">
        <v>375</v>
      </c>
      <c r="C17" s="857" t="s">
        <v>1750</v>
      </c>
      <c r="D17" s="858" t="s">
        <v>43</v>
      </c>
      <c r="E17" s="843" t="s">
        <v>1750</v>
      </c>
      <c r="F17" s="858" t="s">
        <v>43</v>
      </c>
      <c r="G17" s="843" t="s">
        <v>1750</v>
      </c>
      <c r="H17" s="858" t="s">
        <v>43</v>
      </c>
      <c r="I17" s="804">
        <v>6.0000000000000001E-3</v>
      </c>
      <c r="J17" s="859" t="s">
        <v>281</v>
      </c>
      <c r="K17" s="858" t="s">
        <v>43</v>
      </c>
      <c r="L17" s="858" t="s">
        <v>43</v>
      </c>
      <c r="M17" s="859">
        <v>1</v>
      </c>
      <c r="N17" s="859">
        <v>0.1</v>
      </c>
      <c r="O17" s="860" t="s">
        <v>1750</v>
      </c>
      <c r="P17" s="861">
        <v>8500000</v>
      </c>
      <c r="Q17" s="862" t="s">
        <v>2281</v>
      </c>
      <c r="R17" s="861">
        <v>36000000</v>
      </c>
      <c r="S17" s="862" t="s">
        <v>2281</v>
      </c>
      <c r="T17" s="861">
        <v>6.3</v>
      </c>
      <c r="U17" s="862" t="s">
        <v>179</v>
      </c>
      <c r="V17" s="861">
        <v>26</v>
      </c>
      <c r="W17" s="862" t="s">
        <v>179</v>
      </c>
      <c r="X17" s="863" t="s">
        <v>1750</v>
      </c>
      <c r="Y17" s="885" t="s">
        <v>43</v>
      </c>
      <c r="Z17" s="866" t="s">
        <v>43</v>
      </c>
      <c r="AA17" s="886" t="s">
        <v>1750</v>
      </c>
      <c r="AB17" s="887" t="s">
        <v>43</v>
      </c>
      <c r="AC17" s="869" t="s">
        <v>1750</v>
      </c>
    </row>
    <row r="18" spans="1:29" ht="30.75">
      <c r="A18" s="856" t="s">
        <v>376</v>
      </c>
      <c r="B18" s="792" t="s">
        <v>377</v>
      </c>
      <c r="C18" s="889">
        <v>5.6000000000000001E-2</v>
      </c>
      <c r="D18" s="859" t="s">
        <v>3</v>
      </c>
      <c r="E18" s="843" t="s">
        <v>1750</v>
      </c>
      <c r="F18" s="858" t="s">
        <v>43</v>
      </c>
      <c r="G18" s="804">
        <v>0.01</v>
      </c>
      <c r="H18" s="859" t="s">
        <v>280</v>
      </c>
      <c r="I18" s="843" t="s">
        <v>1750</v>
      </c>
      <c r="J18" s="858" t="s">
        <v>43</v>
      </c>
      <c r="K18" s="858" t="s">
        <v>43</v>
      </c>
      <c r="L18" s="858" t="s">
        <v>43</v>
      </c>
      <c r="M18" s="859">
        <v>1</v>
      </c>
      <c r="N18" s="859">
        <v>0.1</v>
      </c>
      <c r="O18" s="860" t="s">
        <v>1750</v>
      </c>
      <c r="P18" s="861">
        <v>9.6999999999999993</v>
      </c>
      <c r="Q18" s="862" t="s">
        <v>2279</v>
      </c>
      <c r="R18" s="861">
        <v>41</v>
      </c>
      <c r="S18" s="862" t="s">
        <v>2283</v>
      </c>
      <c r="T18" s="863" t="s">
        <v>1750</v>
      </c>
      <c r="U18" s="864" t="s">
        <v>43</v>
      </c>
      <c r="V18" s="863" t="s">
        <v>1750</v>
      </c>
      <c r="W18" s="864" t="s">
        <v>43</v>
      </c>
      <c r="X18" s="861">
        <v>1.1000000000000001</v>
      </c>
      <c r="Y18" s="865" t="s">
        <v>2283</v>
      </c>
      <c r="Z18" s="891">
        <v>2</v>
      </c>
      <c r="AA18" s="867">
        <v>8.7000000000000001E-4</v>
      </c>
      <c r="AB18" s="868" t="s">
        <v>2283</v>
      </c>
      <c r="AC18" s="892">
        <v>1.6000000000000001E-3</v>
      </c>
    </row>
    <row r="19" spans="1:29" ht="16.5" thickBot="1">
      <c r="A19" s="871" t="s">
        <v>378</v>
      </c>
      <c r="B19" s="807" t="s">
        <v>379</v>
      </c>
      <c r="C19" s="872" t="s">
        <v>1750</v>
      </c>
      <c r="D19" s="873" t="s">
        <v>43</v>
      </c>
      <c r="E19" s="847" t="s">
        <v>1750</v>
      </c>
      <c r="F19" s="873" t="s">
        <v>43</v>
      </c>
      <c r="G19" s="819">
        <v>1E-3</v>
      </c>
      <c r="H19" s="874" t="s">
        <v>280</v>
      </c>
      <c r="I19" s="847" t="s">
        <v>1750</v>
      </c>
      <c r="J19" s="873" t="s">
        <v>43</v>
      </c>
      <c r="K19" s="873" t="s">
        <v>43</v>
      </c>
      <c r="L19" s="873" t="s">
        <v>43</v>
      </c>
      <c r="M19" s="874">
        <v>1</v>
      </c>
      <c r="N19" s="874">
        <v>0.1</v>
      </c>
      <c r="O19" s="875" t="s">
        <v>1750</v>
      </c>
      <c r="P19" s="876">
        <v>63</v>
      </c>
      <c r="Q19" s="877" t="s">
        <v>179</v>
      </c>
      <c r="R19" s="876">
        <v>820</v>
      </c>
      <c r="S19" s="877" t="s">
        <v>179</v>
      </c>
      <c r="T19" s="878" t="s">
        <v>1750</v>
      </c>
      <c r="U19" s="879" t="s">
        <v>43</v>
      </c>
      <c r="V19" s="878" t="s">
        <v>1750</v>
      </c>
      <c r="W19" s="879" t="s">
        <v>43</v>
      </c>
      <c r="X19" s="876">
        <v>20</v>
      </c>
      <c r="Y19" s="880" t="s">
        <v>179</v>
      </c>
      <c r="Z19" s="893">
        <v>3</v>
      </c>
      <c r="AA19" s="882">
        <v>4.8999999999999998E-3</v>
      </c>
      <c r="AB19" s="883" t="s">
        <v>179</v>
      </c>
      <c r="AC19" s="894">
        <v>7.5000000000000002E-4</v>
      </c>
    </row>
    <row r="20" spans="1:29" ht="15.75">
      <c r="A20" s="856" t="s">
        <v>380</v>
      </c>
      <c r="B20" s="792" t="s">
        <v>381</v>
      </c>
      <c r="C20" s="857" t="s">
        <v>1750</v>
      </c>
      <c r="D20" s="858" t="s">
        <v>43</v>
      </c>
      <c r="E20" s="843" t="s">
        <v>1750</v>
      </c>
      <c r="F20" s="858" t="s">
        <v>43</v>
      </c>
      <c r="G20" s="804">
        <v>1E-3</v>
      </c>
      <c r="H20" s="859" t="s">
        <v>280</v>
      </c>
      <c r="I20" s="843" t="s">
        <v>1750</v>
      </c>
      <c r="J20" s="858" t="s">
        <v>43</v>
      </c>
      <c r="K20" s="858" t="s">
        <v>43</v>
      </c>
      <c r="L20" s="858" t="s">
        <v>43</v>
      </c>
      <c r="M20" s="859">
        <v>1</v>
      </c>
      <c r="N20" s="859">
        <v>0.1</v>
      </c>
      <c r="O20" s="860" t="s">
        <v>1750</v>
      </c>
      <c r="P20" s="861">
        <v>63</v>
      </c>
      <c r="Q20" s="862" t="s">
        <v>179</v>
      </c>
      <c r="R20" s="861">
        <v>820</v>
      </c>
      <c r="S20" s="862" t="s">
        <v>179</v>
      </c>
      <c r="T20" s="863" t="s">
        <v>1750</v>
      </c>
      <c r="U20" s="864" t="s">
        <v>43</v>
      </c>
      <c r="V20" s="863" t="s">
        <v>1750</v>
      </c>
      <c r="W20" s="864" t="s">
        <v>43</v>
      </c>
      <c r="X20" s="861">
        <v>20</v>
      </c>
      <c r="Y20" s="865" t="s">
        <v>179</v>
      </c>
      <c r="Z20" s="891">
        <v>2</v>
      </c>
      <c r="AA20" s="867">
        <v>4.4000000000000003E-3</v>
      </c>
      <c r="AB20" s="868" t="s">
        <v>179</v>
      </c>
      <c r="AC20" s="892">
        <v>4.4000000000000002E-4</v>
      </c>
    </row>
    <row r="21" spans="1:29" ht="15.75">
      <c r="A21" s="856" t="s">
        <v>1799</v>
      </c>
      <c r="B21" s="792" t="s">
        <v>1800</v>
      </c>
      <c r="C21" s="857" t="s">
        <v>1750</v>
      </c>
      <c r="D21" s="858" t="s">
        <v>43</v>
      </c>
      <c r="E21" s="843" t="s">
        <v>1750</v>
      </c>
      <c r="F21" s="858" t="s">
        <v>43</v>
      </c>
      <c r="G21" s="843" t="s">
        <v>1750</v>
      </c>
      <c r="H21" s="858" t="s">
        <v>43</v>
      </c>
      <c r="I21" s="843" t="s">
        <v>1750</v>
      </c>
      <c r="J21" s="858" t="s">
        <v>43</v>
      </c>
      <c r="K21" s="858" t="s">
        <v>43</v>
      </c>
      <c r="L21" s="858" t="s">
        <v>43</v>
      </c>
      <c r="M21" s="859">
        <v>1</v>
      </c>
      <c r="N21" s="859">
        <v>0.1</v>
      </c>
      <c r="O21" s="860" t="s">
        <v>1750</v>
      </c>
      <c r="P21" s="863" t="s">
        <v>1750</v>
      </c>
      <c r="Q21" s="864" t="s">
        <v>43</v>
      </c>
      <c r="R21" s="863" t="s">
        <v>1750</v>
      </c>
      <c r="S21" s="864" t="s">
        <v>43</v>
      </c>
      <c r="T21" s="863" t="s">
        <v>1750</v>
      </c>
      <c r="U21" s="864" t="s">
        <v>43</v>
      </c>
      <c r="V21" s="863" t="s">
        <v>1750</v>
      </c>
      <c r="W21" s="864" t="s">
        <v>43</v>
      </c>
      <c r="X21" s="863" t="s">
        <v>1750</v>
      </c>
      <c r="Y21" s="885" t="s">
        <v>43</v>
      </c>
      <c r="Z21" s="891">
        <v>4</v>
      </c>
      <c r="AA21" s="886" t="s">
        <v>1750</v>
      </c>
      <c r="AB21" s="887" t="s">
        <v>43</v>
      </c>
      <c r="AC21" s="892">
        <v>8.8000000000000003E-4</v>
      </c>
    </row>
    <row r="22" spans="1:29" ht="16.5" thickBot="1">
      <c r="A22" s="871" t="s">
        <v>109</v>
      </c>
      <c r="B22" s="807" t="s">
        <v>382</v>
      </c>
      <c r="C22" s="890">
        <v>17</v>
      </c>
      <c r="D22" s="874" t="s">
        <v>280</v>
      </c>
      <c r="E22" s="819">
        <v>4.8999999999999998E-3</v>
      </c>
      <c r="F22" s="874" t="s">
        <v>280</v>
      </c>
      <c r="G22" s="819">
        <v>3.0000000000000001E-5</v>
      </c>
      <c r="H22" s="874" t="s">
        <v>280</v>
      </c>
      <c r="I22" s="847" t="s">
        <v>1750</v>
      </c>
      <c r="J22" s="873" t="s">
        <v>43</v>
      </c>
      <c r="K22" s="874" t="s">
        <v>1634</v>
      </c>
      <c r="L22" s="873" t="s">
        <v>43</v>
      </c>
      <c r="M22" s="874">
        <v>1</v>
      </c>
      <c r="N22" s="888" t="s">
        <v>1750</v>
      </c>
      <c r="O22" s="875" t="s">
        <v>1750</v>
      </c>
      <c r="P22" s="876">
        <v>3.9E-2</v>
      </c>
      <c r="Q22" s="877" t="s">
        <v>2279</v>
      </c>
      <c r="R22" s="876">
        <v>0.18</v>
      </c>
      <c r="S22" s="877" t="s">
        <v>2283</v>
      </c>
      <c r="T22" s="876">
        <v>5.6999999999999998E-4</v>
      </c>
      <c r="U22" s="877" t="s">
        <v>2283</v>
      </c>
      <c r="V22" s="876">
        <v>2.5000000000000001E-3</v>
      </c>
      <c r="W22" s="877" t="s">
        <v>2283</v>
      </c>
      <c r="X22" s="876">
        <v>9.2000000000000003E-4</v>
      </c>
      <c r="Y22" s="880" t="s">
        <v>2283</v>
      </c>
      <c r="Z22" s="881" t="s">
        <v>43</v>
      </c>
      <c r="AA22" s="882">
        <v>1.4999999999999999E-4</v>
      </c>
      <c r="AB22" s="883" t="s">
        <v>2283</v>
      </c>
      <c r="AC22" s="884" t="s">
        <v>1750</v>
      </c>
    </row>
    <row r="23" spans="1:29" ht="15.75">
      <c r="A23" s="856" t="s">
        <v>384</v>
      </c>
      <c r="B23" s="792" t="s">
        <v>385</v>
      </c>
      <c r="C23" s="857" t="s">
        <v>1750</v>
      </c>
      <c r="D23" s="858" t="s">
        <v>43</v>
      </c>
      <c r="E23" s="843" t="s">
        <v>1750</v>
      </c>
      <c r="F23" s="858" t="s">
        <v>43</v>
      </c>
      <c r="G23" s="804">
        <v>5.0000000000000001E-3</v>
      </c>
      <c r="H23" s="859" t="s">
        <v>280</v>
      </c>
      <c r="I23" s="804">
        <v>1E-4</v>
      </c>
      <c r="J23" s="859" t="s">
        <v>0</v>
      </c>
      <c r="K23" s="859" t="s">
        <v>1634</v>
      </c>
      <c r="L23" s="858" t="s">
        <v>43</v>
      </c>
      <c r="M23" s="859">
        <v>1</v>
      </c>
      <c r="N23" s="870" t="s">
        <v>1750</v>
      </c>
      <c r="O23" s="805">
        <v>111000</v>
      </c>
      <c r="P23" s="861">
        <v>3.5</v>
      </c>
      <c r="Q23" s="862" t="s">
        <v>179</v>
      </c>
      <c r="R23" s="861">
        <v>15</v>
      </c>
      <c r="S23" s="862" t="s">
        <v>179</v>
      </c>
      <c r="T23" s="861">
        <v>0.1</v>
      </c>
      <c r="U23" s="862" t="s">
        <v>179</v>
      </c>
      <c r="V23" s="861">
        <v>0.44</v>
      </c>
      <c r="W23" s="862" t="s">
        <v>179</v>
      </c>
      <c r="X23" s="861">
        <v>0.21</v>
      </c>
      <c r="Y23" s="865" t="s">
        <v>179</v>
      </c>
      <c r="Z23" s="866" t="s">
        <v>43</v>
      </c>
      <c r="AA23" s="867">
        <v>4.1999999999999998E-5</v>
      </c>
      <c r="AB23" s="868" t="s">
        <v>179</v>
      </c>
      <c r="AC23" s="869" t="s">
        <v>1750</v>
      </c>
    </row>
    <row r="24" spans="1:29" ht="15.75">
      <c r="A24" s="856" t="s">
        <v>386</v>
      </c>
      <c r="B24" s="792" t="s">
        <v>387</v>
      </c>
      <c r="C24" s="889">
        <v>2.1000000000000001E-2</v>
      </c>
      <c r="D24" s="859" t="s">
        <v>3</v>
      </c>
      <c r="E24" s="804">
        <v>6.0000000000000002E-6</v>
      </c>
      <c r="F24" s="859" t="s">
        <v>3</v>
      </c>
      <c r="G24" s="843" t="s">
        <v>1750</v>
      </c>
      <c r="H24" s="858" t="s">
        <v>43</v>
      </c>
      <c r="I24" s="804">
        <v>1E-3</v>
      </c>
      <c r="J24" s="859" t="s">
        <v>280</v>
      </c>
      <c r="K24" s="859" t="s">
        <v>1634</v>
      </c>
      <c r="L24" s="858" t="s">
        <v>43</v>
      </c>
      <c r="M24" s="859">
        <v>1</v>
      </c>
      <c r="N24" s="870" t="s">
        <v>1750</v>
      </c>
      <c r="O24" s="805">
        <v>1420</v>
      </c>
      <c r="P24" s="861">
        <v>0.72</v>
      </c>
      <c r="Q24" s="862" t="s">
        <v>2278</v>
      </c>
      <c r="R24" s="861">
        <v>3.2</v>
      </c>
      <c r="S24" s="862" t="s">
        <v>2278</v>
      </c>
      <c r="T24" s="861">
        <v>0.47</v>
      </c>
      <c r="U24" s="862" t="s">
        <v>2278</v>
      </c>
      <c r="V24" s="861">
        <v>2</v>
      </c>
      <c r="W24" s="862" t="s">
        <v>2278</v>
      </c>
      <c r="X24" s="861">
        <v>0.73</v>
      </c>
      <c r="Y24" s="865" t="s">
        <v>2278</v>
      </c>
      <c r="Z24" s="866" t="s">
        <v>43</v>
      </c>
      <c r="AA24" s="867">
        <v>2.3000000000000001E-4</v>
      </c>
      <c r="AB24" s="868" t="s">
        <v>2278</v>
      </c>
      <c r="AC24" s="869" t="s">
        <v>1750</v>
      </c>
    </row>
    <row r="25" spans="1:29" ht="16.5" thickBot="1">
      <c r="A25" s="871" t="s">
        <v>388</v>
      </c>
      <c r="B25" s="807" t="s">
        <v>389</v>
      </c>
      <c r="C25" s="872" t="s">
        <v>1750</v>
      </c>
      <c r="D25" s="873" t="s">
        <v>43</v>
      </c>
      <c r="E25" s="847" t="s">
        <v>1750</v>
      </c>
      <c r="F25" s="873" t="s">
        <v>43</v>
      </c>
      <c r="G25" s="819">
        <v>1</v>
      </c>
      <c r="H25" s="874" t="s">
        <v>281</v>
      </c>
      <c r="I25" s="819">
        <v>5.0000000000000001E-3</v>
      </c>
      <c r="J25" s="874" t="s">
        <v>281</v>
      </c>
      <c r="K25" s="873" t="s">
        <v>43</v>
      </c>
      <c r="L25" s="873" t="s">
        <v>43</v>
      </c>
      <c r="M25" s="874">
        <v>1</v>
      </c>
      <c r="N25" s="888" t="s">
        <v>1750</v>
      </c>
      <c r="O25" s="875" t="s">
        <v>1750</v>
      </c>
      <c r="P25" s="876">
        <v>77000</v>
      </c>
      <c r="Q25" s="877" t="s">
        <v>179</v>
      </c>
      <c r="R25" s="876">
        <v>1100000</v>
      </c>
      <c r="S25" s="877" t="s">
        <v>2281</v>
      </c>
      <c r="T25" s="876">
        <v>5.2</v>
      </c>
      <c r="U25" s="877" t="s">
        <v>179</v>
      </c>
      <c r="V25" s="876">
        <v>22</v>
      </c>
      <c r="W25" s="877" t="s">
        <v>179</v>
      </c>
      <c r="X25" s="876">
        <v>20000</v>
      </c>
      <c r="Y25" s="880" t="s">
        <v>179</v>
      </c>
      <c r="Z25" s="881" t="s">
        <v>43</v>
      </c>
      <c r="AA25" s="882">
        <v>30000</v>
      </c>
      <c r="AB25" s="883" t="s">
        <v>179</v>
      </c>
      <c r="AC25" s="884" t="s">
        <v>1750</v>
      </c>
    </row>
    <row r="26" spans="1:29" ht="30.75">
      <c r="A26" s="856" t="s">
        <v>390</v>
      </c>
      <c r="B26" s="792" t="s">
        <v>391</v>
      </c>
      <c r="C26" s="857" t="s">
        <v>1750</v>
      </c>
      <c r="D26" s="858" t="s">
        <v>43</v>
      </c>
      <c r="E26" s="843" t="s">
        <v>1750</v>
      </c>
      <c r="F26" s="858" t="s">
        <v>43</v>
      </c>
      <c r="G26" s="804">
        <v>4.0000000000000002E-4</v>
      </c>
      <c r="H26" s="859" t="s">
        <v>280</v>
      </c>
      <c r="I26" s="843" t="s">
        <v>1750</v>
      </c>
      <c r="J26" s="858" t="s">
        <v>43</v>
      </c>
      <c r="K26" s="858" t="s">
        <v>43</v>
      </c>
      <c r="L26" s="858" t="s">
        <v>43</v>
      </c>
      <c r="M26" s="859">
        <v>1</v>
      </c>
      <c r="N26" s="870" t="s">
        <v>1750</v>
      </c>
      <c r="O26" s="860" t="s">
        <v>1750</v>
      </c>
      <c r="P26" s="861">
        <v>31</v>
      </c>
      <c r="Q26" s="862" t="s">
        <v>179</v>
      </c>
      <c r="R26" s="861">
        <v>470</v>
      </c>
      <c r="S26" s="862" t="s">
        <v>179</v>
      </c>
      <c r="T26" s="863" t="s">
        <v>1750</v>
      </c>
      <c r="U26" s="864" t="s">
        <v>43</v>
      </c>
      <c r="V26" s="863" t="s">
        <v>1750</v>
      </c>
      <c r="W26" s="864" t="s">
        <v>43</v>
      </c>
      <c r="X26" s="861">
        <v>8</v>
      </c>
      <c r="Y26" s="865" t="s">
        <v>179</v>
      </c>
      <c r="Z26" s="866" t="s">
        <v>43</v>
      </c>
      <c r="AA26" s="886" t="s">
        <v>1750</v>
      </c>
      <c r="AB26" s="868" t="s">
        <v>179</v>
      </c>
      <c r="AC26" s="869" t="s">
        <v>1750</v>
      </c>
    </row>
    <row r="27" spans="1:29" ht="15.75">
      <c r="A27" s="856" t="s">
        <v>393</v>
      </c>
      <c r="B27" s="792" t="s">
        <v>394</v>
      </c>
      <c r="C27" s="857" t="s">
        <v>1750</v>
      </c>
      <c r="D27" s="858" t="s">
        <v>43</v>
      </c>
      <c r="E27" s="843" t="s">
        <v>1750</v>
      </c>
      <c r="F27" s="858" t="s">
        <v>43</v>
      </c>
      <c r="G27" s="804">
        <v>8.9999999999999993E-3</v>
      </c>
      <c r="H27" s="859" t="s">
        <v>280</v>
      </c>
      <c r="I27" s="843" t="s">
        <v>1750</v>
      </c>
      <c r="J27" s="858" t="s">
        <v>43</v>
      </c>
      <c r="K27" s="858" t="s">
        <v>43</v>
      </c>
      <c r="L27" s="858" t="s">
        <v>43</v>
      </c>
      <c r="M27" s="859">
        <v>1</v>
      </c>
      <c r="N27" s="859">
        <v>0.1</v>
      </c>
      <c r="O27" s="860" t="s">
        <v>1750</v>
      </c>
      <c r="P27" s="861">
        <v>570</v>
      </c>
      <c r="Q27" s="862" t="s">
        <v>179</v>
      </c>
      <c r="R27" s="861">
        <v>7400</v>
      </c>
      <c r="S27" s="862" t="s">
        <v>179</v>
      </c>
      <c r="T27" s="863" t="s">
        <v>1750</v>
      </c>
      <c r="U27" s="864" t="s">
        <v>43</v>
      </c>
      <c r="V27" s="863" t="s">
        <v>1750</v>
      </c>
      <c r="W27" s="864" t="s">
        <v>43</v>
      </c>
      <c r="X27" s="861">
        <v>150</v>
      </c>
      <c r="Y27" s="865" t="s">
        <v>179</v>
      </c>
      <c r="Z27" s="866" t="s">
        <v>43</v>
      </c>
      <c r="AA27" s="867">
        <v>0.16</v>
      </c>
      <c r="AB27" s="868" t="s">
        <v>179</v>
      </c>
      <c r="AC27" s="869" t="s">
        <v>1750</v>
      </c>
    </row>
    <row r="28" spans="1:29" ht="16.5" thickBot="1">
      <c r="A28" s="871" t="s">
        <v>395</v>
      </c>
      <c r="B28" s="807" t="s">
        <v>396</v>
      </c>
      <c r="C28" s="890">
        <v>21</v>
      </c>
      <c r="D28" s="874" t="s">
        <v>3</v>
      </c>
      <c r="E28" s="819">
        <v>6.0000000000000001E-3</v>
      </c>
      <c r="F28" s="874" t="s">
        <v>3</v>
      </c>
      <c r="G28" s="847" t="s">
        <v>1750</v>
      </c>
      <c r="H28" s="873" t="s">
        <v>43</v>
      </c>
      <c r="I28" s="847" t="s">
        <v>1750</v>
      </c>
      <c r="J28" s="873" t="s">
        <v>43</v>
      </c>
      <c r="K28" s="873" t="s">
        <v>43</v>
      </c>
      <c r="L28" s="873" t="s">
        <v>43</v>
      </c>
      <c r="M28" s="874">
        <v>1</v>
      </c>
      <c r="N28" s="874">
        <v>0.1</v>
      </c>
      <c r="O28" s="875" t="s">
        <v>1750</v>
      </c>
      <c r="P28" s="876">
        <v>2.5999999999999999E-2</v>
      </c>
      <c r="Q28" s="877" t="s">
        <v>2283</v>
      </c>
      <c r="R28" s="876">
        <v>0.11</v>
      </c>
      <c r="S28" s="877" t="s">
        <v>2283</v>
      </c>
      <c r="T28" s="876">
        <v>4.6999999999999999E-4</v>
      </c>
      <c r="U28" s="877" t="s">
        <v>2283</v>
      </c>
      <c r="V28" s="876">
        <v>2E-3</v>
      </c>
      <c r="W28" s="877" t="s">
        <v>2283</v>
      </c>
      <c r="X28" s="876">
        <v>3.0000000000000001E-3</v>
      </c>
      <c r="Y28" s="880" t="s">
        <v>2283</v>
      </c>
      <c r="Z28" s="881" t="s">
        <v>43</v>
      </c>
      <c r="AA28" s="882">
        <v>1.5E-5</v>
      </c>
      <c r="AB28" s="883" t="s">
        <v>2283</v>
      </c>
      <c r="AC28" s="884" t="s">
        <v>1750</v>
      </c>
    </row>
    <row r="29" spans="1:29" ht="15.75">
      <c r="A29" s="856" t="s">
        <v>397</v>
      </c>
      <c r="B29" s="792" t="s">
        <v>398</v>
      </c>
      <c r="C29" s="857" t="s">
        <v>1750</v>
      </c>
      <c r="D29" s="858" t="s">
        <v>43</v>
      </c>
      <c r="E29" s="843" t="s">
        <v>1750</v>
      </c>
      <c r="F29" s="858" t="s">
        <v>43</v>
      </c>
      <c r="G29" s="804">
        <v>0.08</v>
      </c>
      <c r="H29" s="859" t="s">
        <v>281</v>
      </c>
      <c r="I29" s="843" t="s">
        <v>1750</v>
      </c>
      <c r="J29" s="858" t="s">
        <v>43</v>
      </c>
      <c r="K29" s="858" t="s">
        <v>43</v>
      </c>
      <c r="L29" s="858" t="s">
        <v>43</v>
      </c>
      <c r="M29" s="859">
        <v>1</v>
      </c>
      <c r="N29" s="859">
        <v>0.1</v>
      </c>
      <c r="O29" s="860" t="s">
        <v>1750</v>
      </c>
      <c r="P29" s="861">
        <v>5100</v>
      </c>
      <c r="Q29" s="862" t="s">
        <v>179</v>
      </c>
      <c r="R29" s="861">
        <v>66000</v>
      </c>
      <c r="S29" s="862" t="s">
        <v>179</v>
      </c>
      <c r="T29" s="863" t="s">
        <v>1750</v>
      </c>
      <c r="U29" s="864" t="s">
        <v>43</v>
      </c>
      <c r="V29" s="863" t="s">
        <v>1750</v>
      </c>
      <c r="W29" s="864" t="s">
        <v>43</v>
      </c>
      <c r="X29" s="861">
        <v>1600</v>
      </c>
      <c r="Y29" s="865" t="s">
        <v>179</v>
      </c>
      <c r="Z29" s="866" t="s">
        <v>43</v>
      </c>
      <c r="AA29" s="867">
        <v>0.61</v>
      </c>
      <c r="AB29" s="868" t="s">
        <v>179</v>
      </c>
      <c r="AC29" s="869" t="s">
        <v>1750</v>
      </c>
    </row>
    <row r="30" spans="1:29" ht="15.75">
      <c r="A30" s="856" t="s">
        <v>2397</v>
      </c>
      <c r="B30" s="792" t="s">
        <v>2398</v>
      </c>
      <c r="C30" s="857" t="s">
        <v>1750</v>
      </c>
      <c r="D30" s="858" t="s">
        <v>43</v>
      </c>
      <c r="E30" s="843" t="s">
        <v>1750</v>
      </c>
      <c r="F30" s="858" t="s">
        <v>43</v>
      </c>
      <c r="G30" s="804">
        <v>4.0000000000000001E-3</v>
      </c>
      <c r="H30" s="859" t="s">
        <v>0</v>
      </c>
      <c r="I30" s="843" t="s">
        <v>1750</v>
      </c>
      <c r="J30" s="858" t="s">
        <v>43</v>
      </c>
      <c r="K30" s="858" t="s">
        <v>43</v>
      </c>
      <c r="L30" s="858" t="s">
        <v>43</v>
      </c>
      <c r="M30" s="859">
        <v>1</v>
      </c>
      <c r="N30" s="859">
        <v>0.1</v>
      </c>
      <c r="O30" s="860" t="s">
        <v>1750</v>
      </c>
      <c r="P30" s="861">
        <v>250</v>
      </c>
      <c r="Q30" s="862" t="s">
        <v>179</v>
      </c>
      <c r="R30" s="861">
        <v>3300</v>
      </c>
      <c r="S30" s="862" t="s">
        <v>179</v>
      </c>
      <c r="T30" s="863" t="s">
        <v>1750</v>
      </c>
      <c r="U30" s="864" t="s">
        <v>43</v>
      </c>
      <c r="V30" s="863" t="s">
        <v>1750</v>
      </c>
      <c r="W30" s="864" t="s">
        <v>43</v>
      </c>
      <c r="X30" s="861">
        <v>79</v>
      </c>
      <c r="Y30" s="865" t="s">
        <v>179</v>
      </c>
      <c r="Z30" s="866" t="s">
        <v>43</v>
      </c>
      <c r="AA30" s="867">
        <v>0.03</v>
      </c>
      <c r="AB30" s="868" t="s">
        <v>179</v>
      </c>
      <c r="AC30" s="869" t="s">
        <v>1750</v>
      </c>
    </row>
    <row r="31" spans="1:29" ht="16.5" thickBot="1">
      <c r="A31" s="871" t="s">
        <v>399</v>
      </c>
      <c r="B31" s="807" t="s">
        <v>400</v>
      </c>
      <c r="C31" s="872" t="s">
        <v>1750</v>
      </c>
      <c r="D31" s="873" t="s">
        <v>43</v>
      </c>
      <c r="E31" s="847" t="s">
        <v>1750</v>
      </c>
      <c r="F31" s="873" t="s">
        <v>43</v>
      </c>
      <c r="G31" s="819">
        <v>0.02</v>
      </c>
      <c r="H31" s="874" t="s">
        <v>281</v>
      </c>
      <c r="I31" s="847" t="s">
        <v>1750</v>
      </c>
      <c r="J31" s="873" t="s">
        <v>43</v>
      </c>
      <c r="K31" s="873" t="s">
        <v>43</v>
      </c>
      <c r="L31" s="873" t="s">
        <v>43</v>
      </c>
      <c r="M31" s="874">
        <v>1</v>
      </c>
      <c r="N31" s="874">
        <v>0.1</v>
      </c>
      <c r="O31" s="875" t="s">
        <v>1750</v>
      </c>
      <c r="P31" s="876">
        <v>1300</v>
      </c>
      <c r="Q31" s="877" t="s">
        <v>179</v>
      </c>
      <c r="R31" s="876">
        <v>16000</v>
      </c>
      <c r="S31" s="877" t="s">
        <v>179</v>
      </c>
      <c r="T31" s="878" t="s">
        <v>1750</v>
      </c>
      <c r="U31" s="879" t="s">
        <v>43</v>
      </c>
      <c r="V31" s="878" t="s">
        <v>1750</v>
      </c>
      <c r="W31" s="879" t="s">
        <v>43</v>
      </c>
      <c r="X31" s="876">
        <v>400</v>
      </c>
      <c r="Y31" s="880" t="s">
        <v>179</v>
      </c>
      <c r="Z31" s="881" t="s">
        <v>43</v>
      </c>
      <c r="AA31" s="882">
        <v>0.15</v>
      </c>
      <c r="AB31" s="883" t="s">
        <v>179</v>
      </c>
      <c r="AC31" s="884" t="s">
        <v>1750</v>
      </c>
    </row>
    <row r="32" spans="1:29" ht="30.75">
      <c r="A32" s="856" t="s">
        <v>401</v>
      </c>
      <c r="B32" s="792" t="s">
        <v>402</v>
      </c>
      <c r="C32" s="857" t="s">
        <v>1750</v>
      </c>
      <c r="D32" s="858" t="s">
        <v>43</v>
      </c>
      <c r="E32" s="843" t="s">
        <v>1750</v>
      </c>
      <c r="F32" s="858" t="s">
        <v>43</v>
      </c>
      <c r="G32" s="804">
        <v>2.5000000000000001E-3</v>
      </c>
      <c r="H32" s="859" t="s">
        <v>280</v>
      </c>
      <c r="I32" s="843" t="s">
        <v>1750</v>
      </c>
      <c r="J32" s="858" t="s">
        <v>43</v>
      </c>
      <c r="K32" s="858" t="s">
        <v>43</v>
      </c>
      <c r="L32" s="858" t="s">
        <v>43</v>
      </c>
      <c r="M32" s="859">
        <v>1</v>
      </c>
      <c r="N32" s="859">
        <v>0.1</v>
      </c>
      <c r="O32" s="860" t="s">
        <v>1750</v>
      </c>
      <c r="P32" s="861">
        <v>160</v>
      </c>
      <c r="Q32" s="862" t="s">
        <v>179</v>
      </c>
      <c r="R32" s="861">
        <v>2100</v>
      </c>
      <c r="S32" s="862" t="s">
        <v>179</v>
      </c>
      <c r="T32" s="863" t="s">
        <v>1750</v>
      </c>
      <c r="U32" s="864" t="s">
        <v>43</v>
      </c>
      <c r="V32" s="863" t="s">
        <v>1750</v>
      </c>
      <c r="W32" s="864" t="s">
        <v>43</v>
      </c>
      <c r="X32" s="861">
        <v>8.1999999999999993</v>
      </c>
      <c r="Y32" s="865" t="s">
        <v>179</v>
      </c>
      <c r="Z32" s="866" t="s">
        <v>43</v>
      </c>
      <c r="AA32" s="867">
        <v>4.2</v>
      </c>
      <c r="AB32" s="868" t="s">
        <v>179</v>
      </c>
      <c r="AC32" s="869" t="s">
        <v>1750</v>
      </c>
    </row>
    <row r="33" spans="1:29" ht="15.75">
      <c r="A33" s="856" t="s">
        <v>403</v>
      </c>
      <c r="B33" s="792" t="s">
        <v>404</v>
      </c>
      <c r="C33" s="857" t="s">
        <v>1750</v>
      </c>
      <c r="D33" s="858" t="s">
        <v>43</v>
      </c>
      <c r="E33" s="843" t="s">
        <v>1750</v>
      </c>
      <c r="F33" s="858" t="s">
        <v>43</v>
      </c>
      <c r="G33" s="843" t="s">
        <v>1750</v>
      </c>
      <c r="H33" s="858" t="s">
        <v>43</v>
      </c>
      <c r="I33" s="804">
        <v>0.5</v>
      </c>
      <c r="J33" s="859" t="s">
        <v>280</v>
      </c>
      <c r="K33" s="859" t="s">
        <v>1634</v>
      </c>
      <c r="L33" s="858" t="s">
        <v>43</v>
      </c>
      <c r="M33" s="859">
        <v>1</v>
      </c>
      <c r="N33" s="870" t="s">
        <v>1750</v>
      </c>
      <c r="O33" s="860" t="s">
        <v>1750</v>
      </c>
      <c r="P33" s="863" t="s">
        <v>1750</v>
      </c>
      <c r="Q33" s="864" t="s">
        <v>43</v>
      </c>
      <c r="R33" s="863" t="s">
        <v>1750</v>
      </c>
      <c r="S33" s="864" t="s">
        <v>43</v>
      </c>
      <c r="T33" s="861">
        <v>520</v>
      </c>
      <c r="U33" s="862" t="s">
        <v>179</v>
      </c>
      <c r="V33" s="861">
        <v>2200</v>
      </c>
      <c r="W33" s="862" t="s">
        <v>179</v>
      </c>
      <c r="X33" s="863" t="s">
        <v>1750</v>
      </c>
      <c r="Y33" s="885" t="s">
        <v>43</v>
      </c>
      <c r="Z33" s="866" t="s">
        <v>43</v>
      </c>
      <c r="AA33" s="886" t="s">
        <v>1750</v>
      </c>
      <c r="AB33" s="887" t="s">
        <v>43</v>
      </c>
      <c r="AC33" s="869" t="s">
        <v>1750</v>
      </c>
    </row>
    <row r="34" spans="1:29" ht="31.5" thickBot="1">
      <c r="A34" s="871" t="s">
        <v>406</v>
      </c>
      <c r="B34" s="807" t="s">
        <v>407</v>
      </c>
      <c r="C34" s="872" t="s">
        <v>1750</v>
      </c>
      <c r="D34" s="873" t="s">
        <v>43</v>
      </c>
      <c r="E34" s="847" t="s">
        <v>1750</v>
      </c>
      <c r="F34" s="873" t="s">
        <v>43</v>
      </c>
      <c r="G34" s="819">
        <v>0.2</v>
      </c>
      <c r="H34" s="874" t="s">
        <v>280</v>
      </c>
      <c r="I34" s="847" t="s">
        <v>1750</v>
      </c>
      <c r="J34" s="873" t="s">
        <v>43</v>
      </c>
      <c r="K34" s="873" t="s">
        <v>43</v>
      </c>
      <c r="L34" s="873" t="s">
        <v>43</v>
      </c>
      <c r="M34" s="874">
        <v>1</v>
      </c>
      <c r="N34" s="888" t="s">
        <v>1750</v>
      </c>
      <c r="O34" s="875" t="s">
        <v>1750</v>
      </c>
      <c r="P34" s="876">
        <v>16000</v>
      </c>
      <c r="Q34" s="877" t="s">
        <v>179</v>
      </c>
      <c r="R34" s="876">
        <v>230000</v>
      </c>
      <c r="S34" s="877" t="s">
        <v>2281</v>
      </c>
      <c r="T34" s="878" t="s">
        <v>1750</v>
      </c>
      <c r="U34" s="879" t="s">
        <v>43</v>
      </c>
      <c r="V34" s="878" t="s">
        <v>1750</v>
      </c>
      <c r="W34" s="879" t="s">
        <v>43</v>
      </c>
      <c r="X34" s="876">
        <v>4000</v>
      </c>
      <c r="Y34" s="880" t="s">
        <v>179</v>
      </c>
      <c r="Z34" s="881" t="s">
        <v>43</v>
      </c>
      <c r="AA34" s="895" t="s">
        <v>1750</v>
      </c>
      <c r="AB34" s="883" t="s">
        <v>179</v>
      </c>
      <c r="AC34" s="884" t="s">
        <v>1750</v>
      </c>
    </row>
    <row r="35" spans="1:29" ht="15.75">
      <c r="A35" s="856" t="s">
        <v>2105</v>
      </c>
      <c r="B35" s="792" t="s">
        <v>2104</v>
      </c>
      <c r="C35" s="857" t="s">
        <v>1750</v>
      </c>
      <c r="D35" s="858" t="s">
        <v>43</v>
      </c>
      <c r="E35" s="843" t="s">
        <v>1750</v>
      </c>
      <c r="F35" s="858" t="s">
        <v>43</v>
      </c>
      <c r="G35" s="843" t="s">
        <v>1750</v>
      </c>
      <c r="H35" s="858" t="s">
        <v>43</v>
      </c>
      <c r="I35" s="804">
        <v>3.0000000000000001E-3</v>
      </c>
      <c r="J35" s="859" t="s">
        <v>0</v>
      </c>
      <c r="K35" s="859" t="s">
        <v>1634</v>
      </c>
      <c r="L35" s="858" t="s">
        <v>43</v>
      </c>
      <c r="M35" s="859">
        <v>1</v>
      </c>
      <c r="N35" s="870" t="s">
        <v>1750</v>
      </c>
      <c r="O35" s="805">
        <v>13700</v>
      </c>
      <c r="P35" s="861">
        <v>82</v>
      </c>
      <c r="Q35" s="862" t="s">
        <v>179</v>
      </c>
      <c r="R35" s="861">
        <v>340</v>
      </c>
      <c r="S35" s="862" t="s">
        <v>179</v>
      </c>
      <c r="T35" s="861">
        <v>3.1</v>
      </c>
      <c r="U35" s="862" t="s">
        <v>179</v>
      </c>
      <c r="V35" s="861">
        <v>13</v>
      </c>
      <c r="W35" s="862" t="s">
        <v>179</v>
      </c>
      <c r="X35" s="861">
        <v>6.3</v>
      </c>
      <c r="Y35" s="865" t="s">
        <v>179</v>
      </c>
      <c r="Z35" s="866" t="s">
        <v>43</v>
      </c>
      <c r="AA35" s="867">
        <v>1.2999999999999999E-3</v>
      </c>
      <c r="AB35" s="868" t="s">
        <v>179</v>
      </c>
      <c r="AC35" s="869" t="s">
        <v>1750</v>
      </c>
    </row>
    <row r="36" spans="1:29" ht="15.75">
      <c r="A36" s="856" t="s">
        <v>408</v>
      </c>
      <c r="B36" s="792" t="s">
        <v>409</v>
      </c>
      <c r="C36" s="889">
        <v>5.7000000000000002E-3</v>
      </c>
      <c r="D36" s="859" t="s">
        <v>280</v>
      </c>
      <c r="E36" s="804">
        <v>1.5999999999999999E-6</v>
      </c>
      <c r="F36" s="859" t="s">
        <v>3</v>
      </c>
      <c r="G36" s="804">
        <v>7.0000000000000001E-3</v>
      </c>
      <c r="H36" s="859" t="s">
        <v>281</v>
      </c>
      <c r="I36" s="804">
        <v>1E-3</v>
      </c>
      <c r="J36" s="859" t="s">
        <v>280</v>
      </c>
      <c r="K36" s="858" t="s">
        <v>43</v>
      </c>
      <c r="L36" s="858" t="s">
        <v>43</v>
      </c>
      <c r="M36" s="859">
        <v>1</v>
      </c>
      <c r="N36" s="859">
        <v>0.1</v>
      </c>
      <c r="O36" s="860" t="s">
        <v>1750</v>
      </c>
      <c r="P36" s="861">
        <v>95</v>
      </c>
      <c r="Q36" s="862" t="s">
        <v>2278</v>
      </c>
      <c r="R36" s="861">
        <v>400</v>
      </c>
      <c r="S36" s="862" t="s">
        <v>2279</v>
      </c>
      <c r="T36" s="861">
        <v>1</v>
      </c>
      <c r="U36" s="862" t="s">
        <v>179</v>
      </c>
      <c r="V36" s="861">
        <v>4.4000000000000004</v>
      </c>
      <c r="W36" s="862" t="s">
        <v>179</v>
      </c>
      <c r="X36" s="861">
        <v>13</v>
      </c>
      <c r="Y36" s="865" t="s">
        <v>2279</v>
      </c>
      <c r="Z36" s="866" t="s">
        <v>43</v>
      </c>
      <c r="AA36" s="867">
        <v>4.5999999999999999E-3</v>
      </c>
      <c r="AB36" s="868" t="s">
        <v>2279</v>
      </c>
      <c r="AC36" s="869" t="s">
        <v>1750</v>
      </c>
    </row>
    <row r="37" spans="1:29" ht="31.5" thickBot="1">
      <c r="A37" s="871" t="s">
        <v>1803</v>
      </c>
      <c r="B37" s="807" t="s">
        <v>1804</v>
      </c>
      <c r="C37" s="890">
        <v>0.04</v>
      </c>
      <c r="D37" s="874" t="s">
        <v>281</v>
      </c>
      <c r="E37" s="847" t="s">
        <v>1750</v>
      </c>
      <c r="F37" s="873" t="s">
        <v>43</v>
      </c>
      <c r="G37" s="819">
        <v>2E-3</v>
      </c>
      <c r="H37" s="874" t="s">
        <v>0</v>
      </c>
      <c r="I37" s="847" t="s">
        <v>1750</v>
      </c>
      <c r="J37" s="873" t="s">
        <v>43</v>
      </c>
      <c r="K37" s="873" t="s">
        <v>43</v>
      </c>
      <c r="L37" s="873" t="s">
        <v>43</v>
      </c>
      <c r="M37" s="874">
        <v>1</v>
      </c>
      <c r="N37" s="874">
        <v>0.1</v>
      </c>
      <c r="O37" s="875" t="s">
        <v>1750</v>
      </c>
      <c r="P37" s="876">
        <v>14</v>
      </c>
      <c r="Q37" s="877" t="s">
        <v>2278</v>
      </c>
      <c r="R37" s="876">
        <v>57</v>
      </c>
      <c r="S37" s="877" t="s">
        <v>2279</v>
      </c>
      <c r="T37" s="878" t="s">
        <v>1750</v>
      </c>
      <c r="U37" s="879" t="s">
        <v>43</v>
      </c>
      <c r="V37" s="878" t="s">
        <v>1750</v>
      </c>
      <c r="W37" s="879" t="s">
        <v>43</v>
      </c>
      <c r="X37" s="876">
        <v>1.4</v>
      </c>
      <c r="Y37" s="880" t="s">
        <v>2279</v>
      </c>
      <c r="Z37" s="881" t="s">
        <v>43</v>
      </c>
      <c r="AA37" s="882">
        <v>1.4E-2</v>
      </c>
      <c r="AB37" s="883" t="s">
        <v>2279</v>
      </c>
      <c r="AC37" s="884" t="s">
        <v>1750</v>
      </c>
    </row>
    <row r="38" spans="1:29" ht="15.75">
      <c r="A38" s="856" t="s">
        <v>410</v>
      </c>
      <c r="B38" s="792" t="s">
        <v>411</v>
      </c>
      <c r="C38" s="857" t="s">
        <v>1750</v>
      </c>
      <c r="D38" s="858" t="s">
        <v>43</v>
      </c>
      <c r="E38" s="843" t="s">
        <v>1750</v>
      </c>
      <c r="F38" s="858" t="s">
        <v>43</v>
      </c>
      <c r="G38" s="804">
        <v>4.0000000000000002E-4</v>
      </c>
      <c r="H38" s="859" t="s">
        <v>280</v>
      </c>
      <c r="I38" s="843" t="s">
        <v>1750</v>
      </c>
      <c r="J38" s="858" t="s">
        <v>43</v>
      </c>
      <c r="K38" s="858" t="s">
        <v>43</v>
      </c>
      <c r="L38" s="858" t="s">
        <v>43</v>
      </c>
      <c r="M38" s="859">
        <v>0.15</v>
      </c>
      <c r="N38" s="870" t="s">
        <v>1750</v>
      </c>
      <c r="O38" s="860" t="s">
        <v>1750</v>
      </c>
      <c r="P38" s="861">
        <v>31</v>
      </c>
      <c r="Q38" s="862" t="s">
        <v>179</v>
      </c>
      <c r="R38" s="861">
        <v>470</v>
      </c>
      <c r="S38" s="862" t="s">
        <v>179</v>
      </c>
      <c r="T38" s="863" t="s">
        <v>1750</v>
      </c>
      <c r="U38" s="864" t="s">
        <v>43</v>
      </c>
      <c r="V38" s="863" t="s">
        <v>1750</v>
      </c>
      <c r="W38" s="864" t="s">
        <v>43</v>
      </c>
      <c r="X38" s="861">
        <v>7.8</v>
      </c>
      <c r="Y38" s="865" t="s">
        <v>179</v>
      </c>
      <c r="Z38" s="891">
        <v>6</v>
      </c>
      <c r="AA38" s="867">
        <v>0.35</v>
      </c>
      <c r="AB38" s="868" t="s">
        <v>179</v>
      </c>
      <c r="AC38" s="892">
        <v>0.27</v>
      </c>
    </row>
    <row r="39" spans="1:29" ht="30.75">
      <c r="A39" s="856" t="s">
        <v>412</v>
      </c>
      <c r="B39" s="792" t="s">
        <v>413</v>
      </c>
      <c r="C39" s="857" t="s">
        <v>1750</v>
      </c>
      <c r="D39" s="858" t="s">
        <v>43</v>
      </c>
      <c r="E39" s="843" t="s">
        <v>1750</v>
      </c>
      <c r="F39" s="858" t="s">
        <v>43</v>
      </c>
      <c r="G39" s="804">
        <v>5.0000000000000001E-4</v>
      </c>
      <c r="H39" s="859" t="s">
        <v>13</v>
      </c>
      <c r="I39" s="843" t="s">
        <v>1750</v>
      </c>
      <c r="J39" s="858" t="s">
        <v>43</v>
      </c>
      <c r="K39" s="858" t="s">
        <v>43</v>
      </c>
      <c r="L39" s="858" t="s">
        <v>43</v>
      </c>
      <c r="M39" s="859">
        <v>0.15</v>
      </c>
      <c r="N39" s="870" t="s">
        <v>1750</v>
      </c>
      <c r="O39" s="860" t="s">
        <v>1750</v>
      </c>
      <c r="P39" s="861">
        <v>39</v>
      </c>
      <c r="Q39" s="862" t="s">
        <v>179</v>
      </c>
      <c r="R39" s="861">
        <v>580</v>
      </c>
      <c r="S39" s="862" t="s">
        <v>179</v>
      </c>
      <c r="T39" s="863" t="s">
        <v>1750</v>
      </c>
      <c r="U39" s="864" t="s">
        <v>43</v>
      </c>
      <c r="V39" s="863" t="s">
        <v>1750</v>
      </c>
      <c r="W39" s="864" t="s">
        <v>43</v>
      </c>
      <c r="X39" s="861">
        <v>9.6999999999999993</v>
      </c>
      <c r="Y39" s="865" t="s">
        <v>179</v>
      </c>
      <c r="Z39" s="866" t="s">
        <v>43</v>
      </c>
      <c r="AA39" s="886" t="s">
        <v>1750</v>
      </c>
      <c r="AB39" s="868" t="s">
        <v>179</v>
      </c>
      <c r="AC39" s="869" t="s">
        <v>1750</v>
      </c>
    </row>
    <row r="40" spans="1:29" ht="31.5" thickBot="1">
      <c r="A40" s="871" t="s">
        <v>415</v>
      </c>
      <c r="B40" s="807" t="s">
        <v>416</v>
      </c>
      <c r="C40" s="872" t="s">
        <v>1750</v>
      </c>
      <c r="D40" s="873" t="s">
        <v>43</v>
      </c>
      <c r="E40" s="847" t="s">
        <v>1750</v>
      </c>
      <c r="F40" s="873" t="s">
        <v>43</v>
      </c>
      <c r="G40" s="819">
        <v>4.0000000000000002E-4</v>
      </c>
      <c r="H40" s="874" t="s">
        <v>13</v>
      </c>
      <c r="I40" s="847" t="s">
        <v>1750</v>
      </c>
      <c r="J40" s="873" t="s">
        <v>43</v>
      </c>
      <c r="K40" s="873" t="s">
        <v>43</v>
      </c>
      <c r="L40" s="873" t="s">
        <v>43</v>
      </c>
      <c r="M40" s="874">
        <v>0.15</v>
      </c>
      <c r="N40" s="888" t="s">
        <v>1750</v>
      </c>
      <c r="O40" s="875" t="s">
        <v>1750</v>
      </c>
      <c r="P40" s="876">
        <v>31</v>
      </c>
      <c r="Q40" s="877" t="s">
        <v>179</v>
      </c>
      <c r="R40" s="876">
        <v>470</v>
      </c>
      <c r="S40" s="877" t="s">
        <v>179</v>
      </c>
      <c r="T40" s="878" t="s">
        <v>1750</v>
      </c>
      <c r="U40" s="879" t="s">
        <v>43</v>
      </c>
      <c r="V40" s="878" t="s">
        <v>1750</v>
      </c>
      <c r="W40" s="879" t="s">
        <v>43</v>
      </c>
      <c r="X40" s="876">
        <v>7.8</v>
      </c>
      <c r="Y40" s="880" t="s">
        <v>179</v>
      </c>
      <c r="Z40" s="881" t="s">
        <v>43</v>
      </c>
      <c r="AA40" s="895" t="s">
        <v>1750</v>
      </c>
      <c r="AB40" s="883" t="s">
        <v>179</v>
      </c>
      <c r="AC40" s="884" t="s">
        <v>1750</v>
      </c>
    </row>
    <row r="41" spans="1:29" ht="15.75">
      <c r="A41" s="856" t="s">
        <v>417</v>
      </c>
      <c r="B41" s="792" t="s">
        <v>418</v>
      </c>
      <c r="C41" s="857" t="s">
        <v>1750</v>
      </c>
      <c r="D41" s="858" t="s">
        <v>43</v>
      </c>
      <c r="E41" s="843" t="s">
        <v>1750</v>
      </c>
      <c r="F41" s="858" t="s">
        <v>43</v>
      </c>
      <c r="G41" s="843" t="s">
        <v>1750</v>
      </c>
      <c r="H41" s="858" t="s">
        <v>43</v>
      </c>
      <c r="I41" s="804">
        <v>2.0000000000000001E-4</v>
      </c>
      <c r="J41" s="859" t="s">
        <v>280</v>
      </c>
      <c r="K41" s="858" t="s">
        <v>43</v>
      </c>
      <c r="L41" s="858" t="s">
        <v>43</v>
      </c>
      <c r="M41" s="859">
        <v>0.15</v>
      </c>
      <c r="N41" s="870" t="s">
        <v>1750</v>
      </c>
      <c r="O41" s="860" t="s">
        <v>1750</v>
      </c>
      <c r="P41" s="861">
        <v>280000</v>
      </c>
      <c r="Q41" s="862" t="s">
        <v>2281</v>
      </c>
      <c r="R41" s="861">
        <v>1200000</v>
      </c>
      <c r="S41" s="862" t="s">
        <v>2281</v>
      </c>
      <c r="T41" s="861">
        <v>0.21</v>
      </c>
      <c r="U41" s="862" t="s">
        <v>179</v>
      </c>
      <c r="V41" s="861">
        <v>0.88</v>
      </c>
      <c r="W41" s="862" t="s">
        <v>179</v>
      </c>
      <c r="X41" s="863" t="s">
        <v>1750</v>
      </c>
      <c r="Y41" s="885" t="s">
        <v>43</v>
      </c>
      <c r="Z41" s="866" t="s">
        <v>43</v>
      </c>
      <c r="AA41" s="886" t="s">
        <v>1750</v>
      </c>
      <c r="AB41" s="887" t="s">
        <v>43</v>
      </c>
      <c r="AC41" s="869" t="s">
        <v>1750</v>
      </c>
    </row>
    <row r="42" spans="1:29" ht="15.75">
      <c r="A42" s="856" t="s">
        <v>421</v>
      </c>
      <c r="B42" s="792" t="s">
        <v>422</v>
      </c>
      <c r="C42" s="889">
        <v>1.5</v>
      </c>
      <c r="D42" s="859" t="s">
        <v>280</v>
      </c>
      <c r="E42" s="804">
        <v>4.3E-3</v>
      </c>
      <c r="F42" s="859" t="s">
        <v>280</v>
      </c>
      <c r="G42" s="804">
        <v>2.9999999999999997E-4</v>
      </c>
      <c r="H42" s="859" t="s">
        <v>280</v>
      </c>
      <c r="I42" s="804">
        <v>1.5E-5</v>
      </c>
      <c r="J42" s="859" t="s">
        <v>3</v>
      </c>
      <c r="K42" s="858" t="s">
        <v>43</v>
      </c>
      <c r="L42" s="858" t="s">
        <v>43</v>
      </c>
      <c r="M42" s="859">
        <v>1</v>
      </c>
      <c r="N42" s="859">
        <v>0.03</v>
      </c>
      <c r="O42" s="860" t="s">
        <v>1750</v>
      </c>
      <c r="P42" s="861">
        <v>0.68</v>
      </c>
      <c r="Q42" s="862" t="s">
        <v>2284</v>
      </c>
      <c r="R42" s="861">
        <v>3</v>
      </c>
      <c r="S42" s="862" t="s">
        <v>2285</v>
      </c>
      <c r="T42" s="861">
        <v>6.4999999999999997E-4</v>
      </c>
      <c r="U42" s="862" t="s">
        <v>2279</v>
      </c>
      <c r="V42" s="861">
        <v>2.8999999999999998E-3</v>
      </c>
      <c r="W42" s="862" t="s">
        <v>2279</v>
      </c>
      <c r="X42" s="861">
        <v>5.1999999999999998E-2</v>
      </c>
      <c r="Y42" s="865" t="s">
        <v>2283</v>
      </c>
      <c r="Z42" s="891">
        <v>10</v>
      </c>
      <c r="AA42" s="867">
        <v>1.5E-3</v>
      </c>
      <c r="AB42" s="868" t="s">
        <v>2283</v>
      </c>
      <c r="AC42" s="892">
        <v>0.28999999999999998</v>
      </c>
    </row>
    <row r="43" spans="1:29" ht="16.5" thickBot="1">
      <c r="A43" s="871" t="s">
        <v>423</v>
      </c>
      <c r="B43" s="807" t="s">
        <v>424</v>
      </c>
      <c r="C43" s="872" t="s">
        <v>1750</v>
      </c>
      <c r="D43" s="873" t="s">
        <v>43</v>
      </c>
      <c r="E43" s="847" t="s">
        <v>1750</v>
      </c>
      <c r="F43" s="873" t="s">
        <v>43</v>
      </c>
      <c r="G43" s="819">
        <v>3.4999999999999999E-6</v>
      </c>
      <c r="H43" s="874" t="s">
        <v>3</v>
      </c>
      <c r="I43" s="819">
        <v>5.0000000000000002E-5</v>
      </c>
      <c r="J43" s="874" t="s">
        <v>280</v>
      </c>
      <c r="K43" s="873" t="s">
        <v>43</v>
      </c>
      <c r="L43" s="873" t="s">
        <v>43</v>
      </c>
      <c r="M43" s="874">
        <v>1</v>
      </c>
      <c r="N43" s="888" t="s">
        <v>1750</v>
      </c>
      <c r="O43" s="875" t="s">
        <v>1750</v>
      </c>
      <c r="P43" s="876">
        <v>0.27</v>
      </c>
      <c r="Q43" s="877" t="s">
        <v>179</v>
      </c>
      <c r="R43" s="876">
        <v>4.0999999999999996</v>
      </c>
      <c r="S43" s="877" t="s">
        <v>179</v>
      </c>
      <c r="T43" s="876">
        <v>5.1999999999999998E-2</v>
      </c>
      <c r="U43" s="877" t="s">
        <v>179</v>
      </c>
      <c r="V43" s="876">
        <v>0.22</v>
      </c>
      <c r="W43" s="877" t="s">
        <v>179</v>
      </c>
      <c r="X43" s="876">
        <v>7.0000000000000007E-2</v>
      </c>
      <c r="Y43" s="880" t="s">
        <v>179</v>
      </c>
      <c r="Z43" s="881" t="s">
        <v>43</v>
      </c>
      <c r="AA43" s="895" t="s">
        <v>1750</v>
      </c>
      <c r="AB43" s="883" t="s">
        <v>179</v>
      </c>
      <c r="AC43" s="884" t="s">
        <v>1750</v>
      </c>
    </row>
    <row r="44" spans="1:29" ht="15.75">
      <c r="A44" s="856" t="s">
        <v>426</v>
      </c>
      <c r="B44" s="792" t="s">
        <v>427</v>
      </c>
      <c r="C44" s="857" t="s">
        <v>1750</v>
      </c>
      <c r="D44" s="858" t="s">
        <v>43</v>
      </c>
      <c r="E44" s="843" t="s">
        <v>1750</v>
      </c>
      <c r="F44" s="858" t="s">
        <v>43</v>
      </c>
      <c r="G44" s="804">
        <v>3.5999999999999997E-2</v>
      </c>
      <c r="H44" s="859" t="s">
        <v>2463</v>
      </c>
      <c r="I44" s="843" t="s">
        <v>1750</v>
      </c>
      <c r="J44" s="858" t="s">
        <v>43</v>
      </c>
      <c r="K44" s="858" t="s">
        <v>43</v>
      </c>
      <c r="L44" s="858" t="s">
        <v>43</v>
      </c>
      <c r="M44" s="859">
        <v>1</v>
      </c>
      <c r="N44" s="859">
        <v>0.1</v>
      </c>
      <c r="O44" s="860" t="s">
        <v>1750</v>
      </c>
      <c r="P44" s="861">
        <v>2300</v>
      </c>
      <c r="Q44" s="862" t="s">
        <v>179</v>
      </c>
      <c r="R44" s="861">
        <v>30000</v>
      </c>
      <c r="S44" s="862" t="s">
        <v>179</v>
      </c>
      <c r="T44" s="863" t="s">
        <v>1750</v>
      </c>
      <c r="U44" s="864" t="s">
        <v>43</v>
      </c>
      <c r="V44" s="863" t="s">
        <v>1750</v>
      </c>
      <c r="W44" s="864" t="s">
        <v>43</v>
      </c>
      <c r="X44" s="861">
        <v>720</v>
      </c>
      <c r="Y44" s="865" t="s">
        <v>179</v>
      </c>
      <c r="Z44" s="866" t="s">
        <v>43</v>
      </c>
      <c r="AA44" s="867">
        <v>0.18</v>
      </c>
      <c r="AB44" s="868" t="s">
        <v>179</v>
      </c>
      <c r="AC44" s="869" t="s">
        <v>1750</v>
      </c>
    </row>
    <row r="45" spans="1:29" ht="15.75">
      <c r="A45" s="856" t="s">
        <v>428</v>
      </c>
      <c r="B45" s="792" t="s">
        <v>429</v>
      </c>
      <c r="C45" s="889">
        <v>0.23</v>
      </c>
      <c r="D45" s="859" t="s">
        <v>3</v>
      </c>
      <c r="E45" s="843" t="s">
        <v>1750</v>
      </c>
      <c r="F45" s="858" t="s">
        <v>43</v>
      </c>
      <c r="G45" s="804">
        <v>3.5000000000000003E-2</v>
      </c>
      <c r="H45" s="859" t="s">
        <v>280</v>
      </c>
      <c r="I45" s="843" t="s">
        <v>1750</v>
      </c>
      <c r="J45" s="858" t="s">
        <v>43</v>
      </c>
      <c r="K45" s="858" t="s">
        <v>43</v>
      </c>
      <c r="L45" s="858" t="s">
        <v>43</v>
      </c>
      <c r="M45" s="859">
        <v>1</v>
      </c>
      <c r="N45" s="859">
        <v>0.1</v>
      </c>
      <c r="O45" s="860" t="s">
        <v>1750</v>
      </c>
      <c r="P45" s="861">
        <v>2.4</v>
      </c>
      <c r="Q45" s="862" t="s">
        <v>2283</v>
      </c>
      <c r="R45" s="861">
        <v>10</v>
      </c>
      <c r="S45" s="862" t="s">
        <v>2283</v>
      </c>
      <c r="T45" s="863" t="s">
        <v>1750</v>
      </c>
      <c r="U45" s="864" t="s">
        <v>43</v>
      </c>
      <c r="V45" s="863" t="s">
        <v>1750</v>
      </c>
      <c r="W45" s="864" t="s">
        <v>43</v>
      </c>
      <c r="X45" s="861">
        <v>0.3</v>
      </c>
      <c r="Y45" s="865" t="s">
        <v>2283</v>
      </c>
      <c r="Z45" s="891">
        <v>3</v>
      </c>
      <c r="AA45" s="867">
        <v>2.0000000000000001E-4</v>
      </c>
      <c r="AB45" s="868" t="s">
        <v>2283</v>
      </c>
      <c r="AC45" s="892">
        <v>1.9E-3</v>
      </c>
    </row>
    <row r="46" spans="1:29" ht="16.5" thickBot="1">
      <c r="A46" s="871" t="s">
        <v>430</v>
      </c>
      <c r="B46" s="807" t="s">
        <v>431</v>
      </c>
      <c r="C46" s="890">
        <v>0.88</v>
      </c>
      <c r="D46" s="874" t="s">
        <v>3</v>
      </c>
      <c r="E46" s="819">
        <v>2.5000000000000001E-4</v>
      </c>
      <c r="F46" s="874" t="s">
        <v>3</v>
      </c>
      <c r="G46" s="847" t="s">
        <v>1750</v>
      </c>
      <c r="H46" s="873" t="s">
        <v>43</v>
      </c>
      <c r="I46" s="847" t="s">
        <v>1750</v>
      </c>
      <c r="J46" s="873" t="s">
        <v>43</v>
      </c>
      <c r="K46" s="873" t="s">
        <v>43</v>
      </c>
      <c r="L46" s="873" t="s">
        <v>43</v>
      </c>
      <c r="M46" s="874">
        <v>1</v>
      </c>
      <c r="N46" s="874">
        <v>0.1</v>
      </c>
      <c r="O46" s="875" t="s">
        <v>1750</v>
      </c>
      <c r="P46" s="876">
        <v>0.62</v>
      </c>
      <c r="Q46" s="877" t="s">
        <v>2283</v>
      </c>
      <c r="R46" s="876">
        <v>2.6</v>
      </c>
      <c r="S46" s="877" t="s">
        <v>2283</v>
      </c>
      <c r="T46" s="876">
        <v>1.0999999999999999E-2</v>
      </c>
      <c r="U46" s="877" t="s">
        <v>2283</v>
      </c>
      <c r="V46" s="876">
        <v>4.9000000000000002E-2</v>
      </c>
      <c r="W46" s="877" t="s">
        <v>2283</v>
      </c>
      <c r="X46" s="876">
        <v>6.7000000000000004E-2</v>
      </c>
      <c r="Y46" s="880" t="s">
        <v>2283</v>
      </c>
      <c r="Z46" s="881" t="s">
        <v>43</v>
      </c>
      <c r="AA46" s="882">
        <v>6.0999999999999997E-4</v>
      </c>
      <c r="AB46" s="883" t="s">
        <v>2283</v>
      </c>
      <c r="AC46" s="884" t="s">
        <v>1750</v>
      </c>
    </row>
    <row r="47" spans="1:29" ht="30.75">
      <c r="A47" s="856" t="s">
        <v>432</v>
      </c>
      <c r="B47" s="792" t="s">
        <v>433</v>
      </c>
      <c r="C47" s="857" t="s">
        <v>1750</v>
      </c>
      <c r="D47" s="858" t="s">
        <v>43</v>
      </c>
      <c r="E47" s="843" t="s">
        <v>1750</v>
      </c>
      <c r="F47" s="858" t="s">
        <v>43</v>
      </c>
      <c r="G47" s="804">
        <v>4.0000000000000002E-4</v>
      </c>
      <c r="H47" s="859" t="s">
        <v>280</v>
      </c>
      <c r="I47" s="843" t="s">
        <v>1750</v>
      </c>
      <c r="J47" s="858" t="s">
        <v>43</v>
      </c>
      <c r="K47" s="858" t="s">
        <v>43</v>
      </c>
      <c r="L47" s="858" t="s">
        <v>43</v>
      </c>
      <c r="M47" s="859">
        <v>1</v>
      </c>
      <c r="N47" s="859">
        <v>0.1</v>
      </c>
      <c r="O47" s="860" t="s">
        <v>1750</v>
      </c>
      <c r="P47" s="861">
        <v>25</v>
      </c>
      <c r="Q47" s="862" t="s">
        <v>179</v>
      </c>
      <c r="R47" s="861">
        <v>330</v>
      </c>
      <c r="S47" s="862" t="s">
        <v>179</v>
      </c>
      <c r="T47" s="863" t="s">
        <v>1750</v>
      </c>
      <c r="U47" s="864" t="s">
        <v>43</v>
      </c>
      <c r="V47" s="863" t="s">
        <v>1750</v>
      </c>
      <c r="W47" s="864" t="s">
        <v>43</v>
      </c>
      <c r="X47" s="861">
        <v>8</v>
      </c>
      <c r="Y47" s="865" t="s">
        <v>179</v>
      </c>
      <c r="Z47" s="866" t="s">
        <v>43</v>
      </c>
      <c r="AA47" s="867">
        <v>14</v>
      </c>
      <c r="AB47" s="868" t="s">
        <v>179</v>
      </c>
      <c r="AC47" s="869" t="s">
        <v>1750</v>
      </c>
    </row>
    <row r="48" spans="1:29" ht="15.75">
      <c r="A48" s="856" t="s">
        <v>2209</v>
      </c>
      <c r="B48" s="792" t="s">
        <v>959</v>
      </c>
      <c r="C48" s="857" t="s">
        <v>1750</v>
      </c>
      <c r="D48" s="858" t="s">
        <v>43</v>
      </c>
      <c r="E48" s="843" t="s">
        <v>1750</v>
      </c>
      <c r="F48" s="858" t="s">
        <v>43</v>
      </c>
      <c r="G48" s="804">
        <v>3.0000000000000001E-3</v>
      </c>
      <c r="H48" s="859" t="s">
        <v>18</v>
      </c>
      <c r="I48" s="804">
        <v>0.01</v>
      </c>
      <c r="J48" s="859" t="s">
        <v>18</v>
      </c>
      <c r="K48" s="858" t="s">
        <v>43</v>
      </c>
      <c r="L48" s="858" t="s">
        <v>43</v>
      </c>
      <c r="M48" s="859">
        <v>1</v>
      </c>
      <c r="N48" s="859">
        <v>0.1</v>
      </c>
      <c r="O48" s="860" t="s">
        <v>1750</v>
      </c>
      <c r="P48" s="861">
        <v>190</v>
      </c>
      <c r="Q48" s="862" t="s">
        <v>179</v>
      </c>
      <c r="R48" s="861">
        <v>2500</v>
      </c>
      <c r="S48" s="862" t="s">
        <v>179</v>
      </c>
      <c r="T48" s="861">
        <v>10</v>
      </c>
      <c r="U48" s="862" t="s">
        <v>179</v>
      </c>
      <c r="V48" s="861">
        <v>44</v>
      </c>
      <c r="W48" s="862" t="s">
        <v>179</v>
      </c>
      <c r="X48" s="861">
        <v>56</v>
      </c>
      <c r="Y48" s="865" t="s">
        <v>179</v>
      </c>
      <c r="Z48" s="866" t="s">
        <v>43</v>
      </c>
      <c r="AA48" s="867">
        <v>1.7000000000000001E-2</v>
      </c>
      <c r="AB48" s="868" t="s">
        <v>179</v>
      </c>
      <c r="AC48" s="869" t="s">
        <v>1750</v>
      </c>
    </row>
    <row r="49" spans="1:29" ht="16.5" thickBot="1">
      <c r="A49" s="871" t="s">
        <v>434</v>
      </c>
      <c r="B49" s="807" t="s">
        <v>435</v>
      </c>
      <c r="C49" s="890">
        <v>0.11</v>
      </c>
      <c r="D49" s="874" t="s">
        <v>280</v>
      </c>
      <c r="E49" s="819">
        <v>3.1000000000000001E-5</v>
      </c>
      <c r="F49" s="874" t="s">
        <v>280</v>
      </c>
      <c r="G49" s="847" t="s">
        <v>1750</v>
      </c>
      <c r="H49" s="873" t="s">
        <v>43</v>
      </c>
      <c r="I49" s="847" t="s">
        <v>1750</v>
      </c>
      <c r="J49" s="873" t="s">
        <v>43</v>
      </c>
      <c r="K49" s="874" t="s">
        <v>1634</v>
      </c>
      <c r="L49" s="873" t="s">
        <v>43</v>
      </c>
      <c r="M49" s="874">
        <v>1</v>
      </c>
      <c r="N49" s="888" t="s">
        <v>1750</v>
      </c>
      <c r="O49" s="875" t="s">
        <v>1750</v>
      </c>
      <c r="P49" s="876">
        <v>5.6</v>
      </c>
      <c r="Q49" s="877" t="s">
        <v>2283</v>
      </c>
      <c r="R49" s="876">
        <v>26</v>
      </c>
      <c r="S49" s="877" t="s">
        <v>2283</v>
      </c>
      <c r="T49" s="876">
        <v>9.0999999999999998E-2</v>
      </c>
      <c r="U49" s="877" t="s">
        <v>2283</v>
      </c>
      <c r="V49" s="876">
        <v>0.4</v>
      </c>
      <c r="W49" s="877" t="s">
        <v>2283</v>
      </c>
      <c r="X49" s="876">
        <v>0.12</v>
      </c>
      <c r="Y49" s="880" t="s">
        <v>2283</v>
      </c>
      <c r="Z49" s="881" t="s">
        <v>43</v>
      </c>
      <c r="AA49" s="882">
        <v>9.3000000000000005E-4</v>
      </c>
      <c r="AB49" s="883" t="s">
        <v>2283</v>
      </c>
      <c r="AC49" s="884" t="s">
        <v>1750</v>
      </c>
    </row>
    <row r="50" spans="1:29" ht="30.75">
      <c r="A50" s="856" t="s">
        <v>2133</v>
      </c>
      <c r="B50" s="792" t="s">
        <v>2134</v>
      </c>
      <c r="C50" s="857" t="s">
        <v>1750</v>
      </c>
      <c r="D50" s="858" t="s">
        <v>43</v>
      </c>
      <c r="E50" s="843" t="s">
        <v>1750</v>
      </c>
      <c r="F50" s="858" t="s">
        <v>43</v>
      </c>
      <c r="G50" s="804">
        <v>1</v>
      </c>
      <c r="H50" s="859" t="s">
        <v>281</v>
      </c>
      <c r="I50" s="804">
        <v>6.9999999999999999E-6</v>
      </c>
      <c r="J50" s="859" t="s">
        <v>281</v>
      </c>
      <c r="K50" s="858" t="s">
        <v>43</v>
      </c>
      <c r="L50" s="858" t="s">
        <v>43</v>
      </c>
      <c r="M50" s="859">
        <v>1</v>
      </c>
      <c r="N50" s="859">
        <v>0.1</v>
      </c>
      <c r="O50" s="860" t="s">
        <v>1750</v>
      </c>
      <c r="P50" s="861">
        <v>8600</v>
      </c>
      <c r="Q50" s="862" t="s">
        <v>179</v>
      </c>
      <c r="R50" s="861">
        <v>40000</v>
      </c>
      <c r="S50" s="862" t="s">
        <v>179</v>
      </c>
      <c r="T50" s="861">
        <v>7.3000000000000001E-3</v>
      </c>
      <c r="U50" s="862" t="s">
        <v>179</v>
      </c>
      <c r="V50" s="861">
        <v>3.1E-2</v>
      </c>
      <c r="W50" s="862" t="s">
        <v>179</v>
      </c>
      <c r="X50" s="861">
        <v>20000</v>
      </c>
      <c r="Y50" s="865" t="s">
        <v>179</v>
      </c>
      <c r="Z50" s="866" t="s">
        <v>43</v>
      </c>
      <c r="AA50" s="867">
        <v>6.8</v>
      </c>
      <c r="AB50" s="868" t="s">
        <v>179</v>
      </c>
      <c r="AC50" s="869" t="s">
        <v>1750</v>
      </c>
    </row>
    <row r="51" spans="1:29" ht="15.75">
      <c r="A51" s="856" t="s">
        <v>436</v>
      </c>
      <c r="B51" s="792" t="s">
        <v>437</v>
      </c>
      <c r="C51" s="857" t="s">
        <v>1750</v>
      </c>
      <c r="D51" s="858" t="s">
        <v>43</v>
      </c>
      <c r="E51" s="843" t="s">
        <v>1750</v>
      </c>
      <c r="F51" s="858" t="s">
        <v>43</v>
      </c>
      <c r="G51" s="804">
        <v>0.2</v>
      </c>
      <c r="H51" s="859" t="s">
        <v>280</v>
      </c>
      <c r="I51" s="804">
        <v>5.0000000000000001E-4</v>
      </c>
      <c r="J51" s="859" t="s">
        <v>13</v>
      </c>
      <c r="K51" s="858" t="s">
        <v>43</v>
      </c>
      <c r="L51" s="858" t="s">
        <v>43</v>
      </c>
      <c r="M51" s="859">
        <v>7.0000000000000007E-2</v>
      </c>
      <c r="N51" s="870" t="s">
        <v>1750</v>
      </c>
      <c r="O51" s="860" t="s">
        <v>1750</v>
      </c>
      <c r="P51" s="861">
        <v>15000</v>
      </c>
      <c r="Q51" s="862" t="s">
        <v>179</v>
      </c>
      <c r="R51" s="861">
        <v>220000</v>
      </c>
      <c r="S51" s="862" t="s">
        <v>2281</v>
      </c>
      <c r="T51" s="861">
        <v>0.52</v>
      </c>
      <c r="U51" s="862" t="s">
        <v>179</v>
      </c>
      <c r="V51" s="861">
        <v>2.2000000000000002</v>
      </c>
      <c r="W51" s="862" t="s">
        <v>179</v>
      </c>
      <c r="X51" s="861">
        <v>3800</v>
      </c>
      <c r="Y51" s="865" t="s">
        <v>179</v>
      </c>
      <c r="Z51" s="891">
        <v>2000</v>
      </c>
      <c r="AA51" s="867">
        <v>160</v>
      </c>
      <c r="AB51" s="868" t="s">
        <v>179</v>
      </c>
      <c r="AC51" s="892">
        <v>82</v>
      </c>
    </row>
    <row r="52" spans="1:29" ht="31.5" thickBot="1">
      <c r="A52" s="871" t="s">
        <v>2210</v>
      </c>
      <c r="B52" s="807" t="s">
        <v>2211</v>
      </c>
      <c r="C52" s="890">
        <v>0.5</v>
      </c>
      <c r="D52" s="874" t="s">
        <v>3</v>
      </c>
      <c r="E52" s="819">
        <v>0.15</v>
      </c>
      <c r="F52" s="874" t="s">
        <v>3</v>
      </c>
      <c r="G52" s="819">
        <v>0.02</v>
      </c>
      <c r="H52" s="874" t="s">
        <v>3</v>
      </c>
      <c r="I52" s="819">
        <v>2.0000000000000001E-4</v>
      </c>
      <c r="J52" s="874" t="s">
        <v>3</v>
      </c>
      <c r="K52" s="873" t="s">
        <v>43</v>
      </c>
      <c r="L52" s="874" t="s">
        <v>247</v>
      </c>
      <c r="M52" s="874">
        <v>2.5000000000000001E-2</v>
      </c>
      <c r="N52" s="888" t="s">
        <v>1750</v>
      </c>
      <c r="O52" s="875" t="s">
        <v>1750</v>
      </c>
      <c r="P52" s="876">
        <v>0.3</v>
      </c>
      <c r="Q52" s="877" t="s">
        <v>2283</v>
      </c>
      <c r="R52" s="876">
        <v>6.2</v>
      </c>
      <c r="S52" s="877" t="s">
        <v>2283</v>
      </c>
      <c r="T52" s="876">
        <v>6.8000000000000001E-6</v>
      </c>
      <c r="U52" s="877" t="s">
        <v>2283</v>
      </c>
      <c r="V52" s="876">
        <v>8.2000000000000001E-5</v>
      </c>
      <c r="W52" s="877" t="s">
        <v>2283</v>
      </c>
      <c r="X52" s="876">
        <v>4.1000000000000002E-2</v>
      </c>
      <c r="Y52" s="880" t="s">
        <v>2283</v>
      </c>
      <c r="Z52" s="881" t="s">
        <v>43</v>
      </c>
      <c r="AA52" s="895" t="s">
        <v>1750</v>
      </c>
      <c r="AB52" s="883" t="s">
        <v>2283</v>
      </c>
      <c r="AC52" s="884" t="s">
        <v>1750</v>
      </c>
    </row>
    <row r="53" spans="1:29" ht="15.75">
      <c r="A53" s="856" t="s">
        <v>2192</v>
      </c>
      <c r="B53" s="792" t="s">
        <v>441</v>
      </c>
      <c r="C53" s="857" t="s">
        <v>1750</v>
      </c>
      <c r="D53" s="858" t="s">
        <v>43</v>
      </c>
      <c r="E53" s="843" t="s">
        <v>1750</v>
      </c>
      <c r="F53" s="858" t="s">
        <v>43</v>
      </c>
      <c r="G53" s="804">
        <v>5.0000000000000001E-3</v>
      </c>
      <c r="H53" s="859" t="s">
        <v>2463</v>
      </c>
      <c r="I53" s="843" t="s">
        <v>1750</v>
      </c>
      <c r="J53" s="858" t="s">
        <v>43</v>
      </c>
      <c r="K53" s="859" t="s">
        <v>1634</v>
      </c>
      <c r="L53" s="858" t="s">
        <v>43</v>
      </c>
      <c r="M53" s="859">
        <v>1</v>
      </c>
      <c r="N53" s="870" t="s">
        <v>1750</v>
      </c>
      <c r="O53" s="860" t="s">
        <v>1750</v>
      </c>
      <c r="P53" s="861">
        <v>390</v>
      </c>
      <c r="Q53" s="862" t="s">
        <v>179</v>
      </c>
      <c r="R53" s="861">
        <v>5800</v>
      </c>
      <c r="S53" s="862" t="s">
        <v>179</v>
      </c>
      <c r="T53" s="863" t="s">
        <v>1750</v>
      </c>
      <c r="U53" s="864" t="s">
        <v>43</v>
      </c>
      <c r="V53" s="863" t="s">
        <v>1750</v>
      </c>
      <c r="W53" s="864" t="s">
        <v>43</v>
      </c>
      <c r="X53" s="861">
        <v>28</v>
      </c>
      <c r="Y53" s="865" t="s">
        <v>179</v>
      </c>
      <c r="Z53" s="866" t="s">
        <v>43</v>
      </c>
      <c r="AA53" s="867">
        <v>0.94</v>
      </c>
      <c r="AB53" s="868" t="s">
        <v>179</v>
      </c>
      <c r="AC53" s="869" t="s">
        <v>1750</v>
      </c>
    </row>
    <row r="54" spans="1:29" ht="30.75">
      <c r="A54" s="856" t="s">
        <v>442</v>
      </c>
      <c r="B54" s="792" t="s">
        <v>443</v>
      </c>
      <c r="C54" s="857" t="s">
        <v>1750</v>
      </c>
      <c r="D54" s="858" t="s">
        <v>43</v>
      </c>
      <c r="E54" s="843" t="s">
        <v>1750</v>
      </c>
      <c r="F54" s="858" t="s">
        <v>43</v>
      </c>
      <c r="G54" s="804">
        <v>0.05</v>
      </c>
      <c r="H54" s="859" t="s">
        <v>280</v>
      </c>
      <c r="I54" s="843" t="s">
        <v>1750</v>
      </c>
      <c r="J54" s="858" t="s">
        <v>43</v>
      </c>
      <c r="K54" s="858" t="s">
        <v>43</v>
      </c>
      <c r="L54" s="858" t="s">
        <v>43</v>
      </c>
      <c r="M54" s="859">
        <v>1</v>
      </c>
      <c r="N54" s="859">
        <v>0.1</v>
      </c>
      <c r="O54" s="860" t="s">
        <v>1750</v>
      </c>
      <c r="P54" s="861">
        <v>3200</v>
      </c>
      <c r="Q54" s="862" t="s">
        <v>179</v>
      </c>
      <c r="R54" s="861">
        <v>41000</v>
      </c>
      <c r="S54" s="862" t="s">
        <v>179</v>
      </c>
      <c r="T54" s="863" t="s">
        <v>1750</v>
      </c>
      <c r="U54" s="864" t="s">
        <v>43</v>
      </c>
      <c r="V54" s="863" t="s">
        <v>1750</v>
      </c>
      <c r="W54" s="864" t="s">
        <v>43</v>
      </c>
      <c r="X54" s="861">
        <v>970</v>
      </c>
      <c r="Y54" s="865" t="s">
        <v>179</v>
      </c>
      <c r="Z54" s="866" t="s">
        <v>43</v>
      </c>
      <c r="AA54" s="867">
        <v>0.85</v>
      </c>
      <c r="AB54" s="868" t="s">
        <v>179</v>
      </c>
      <c r="AC54" s="869" t="s">
        <v>1750</v>
      </c>
    </row>
    <row r="55" spans="1:29" ht="31.5" thickBot="1">
      <c r="A55" s="871" t="s">
        <v>2212</v>
      </c>
      <c r="B55" s="807" t="s">
        <v>1049</v>
      </c>
      <c r="C55" s="872" t="s">
        <v>1750</v>
      </c>
      <c r="D55" s="873" t="s">
        <v>43</v>
      </c>
      <c r="E55" s="847" t="s">
        <v>1750</v>
      </c>
      <c r="F55" s="873" t="s">
        <v>43</v>
      </c>
      <c r="G55" s="819">
        <v>0.2</v>
      </c>
      <c r="H55" s="874" t="s">
        <v>280</v>
      </c>
      <c r="I55" s="847" t="s">
        <v>1750</v>
      </c>
      <c r="J55" s="873" t="s">
        <v>43</v>
      </c>
      <c r="K55" s="873" t="s">
        <v>43</v>
      </c>
      <c r="L55" s="873" t="s">
        <v>43</v>
      </c>
      <c r="M55" s="874">
        <v>1</v>
      </c>
      <c r="N55" s="874">
        <v>0.1</v>
      </c>
      <c r="O55" s="875" t="s">
        <v>1750</v>
      </c>
      <c r="P55" s="876">
        <v>13000</v>
      </c>
      <c r="Q55" s="877" t="s">
        <v>179</v>
      </c>
      <c r="R55" s="876">
        <v>160000</v>
      </c>
      <c r="S55" s="877" t="s">
        <v>2281</v>
      </c>
      <c r="T55" s="878" t="s">
        <v>1750</v>
      </c>
      <c r="U55" s="879" t="s">
        <v>43</v>
      </c>
      <c r="V55" s="878" t="s">
        <v>1750</v>
      </c>
      <c r="W55" s="879" t="s">
        <v>43</v>
      </c>
      <c r="X55" s="876">
        <v>3900</v>
      </c>
      <c r="Y55" s="880" t="s">
        <v>179</v>
      </c>
      <c r="Z55" s="881" t="s">
        <v>43</v>
      </c>
      <c r="AA55" s="882">
        <v>1</v>
      </c>
      <c r="AB55" s="883" t="s">
        <v>179</v>
      </c>
      <c r="AC55" s="884" t="s">
        <v>1750</v>
      </c>
    </row>
    <row r="56" spans="1:29" ht="30.75">
      <c r="A56" s="856" t="s">
        <v>444</v>
      </c>
      <c r="B56" s="792" t="s">
        <v>445</v>
      </c>
      <c r="C56" s="857" t="s">
        <v>1750</v>
      </c>
      <c r="D56" s="858" t="s">
        <v>43</v>
      </c>
      <c r="E56" s="843" t="s">
        <v>1750</v>
      </c>
      <c r="F56" s="858" t="s">
        <v>43</v>
      </c>
      <c r="G56" s="804">
        <v>0.03</v>
      </c>
      <c r="H56" s="859" t="s">
        <v>280</v>
      </c>
      <c r="I56" s="843" t="s">
        <v>1750</v>
      </c>
      <c r="J56" s="858" t="s">
        <v>43</v>
      </c>
      <c r="K56" s="858" t="s">
        <v>43</v>
      </c>
      <c r="L56" s="858" t="s">
        <v>43</v>
      </c>
      <c r="M56" s="859">
        <v>1</v>
      </c>
      <c r="N56" s="859">
        <v>0.1</v>
      </c>
      <c r="O56" s="860" t="s">
        <v>1750</v>
      </c>
      <c r="P56" s="861">
        <v>1900</v>
      </c>
      <c r="Q56" s="862" t="s">
        <v>179</v>
      </c>
      <c r="R56" s="861">
        <v>25000</v>
      </c>
      <c r="S56" s="862" t="s">
        <v>179</v>
      </c>
      <c r="T56" s="863" t="s">
        <v>1750</v>
      </c>
      <c r="U56" s="864" t="s">
        <v>43</v>
      </c>
      <c r="V56" s="863" t="s">
        <v>1750</v>
      </c>
      <c r="W56" s="864" t="s">
        <v>43</v>
      </c>
      <c r="X56" s="861">
        <v>570</v>
      </c>
      <c r="Y56" s="865" t="s">
        <v>179</v>
      </c>
      <c r="Z56" s="866" t="s">
        <v>43</v>
      </c>
      <c r="AA56" s="867">
        <v>0.12</v>
      </c>
      <c r="AB56" s="868" t="s">
        <v>179</v>
      </c>
      <c r="AC56" s="869" t="s">
        <v>1750</v>
      </c>
    </row>
    <row r="57" spans="1:29" ht="15.75">
      <c r="A57" s="856" t="s">
        <v>87</v>
      </c>
      <c r="B57" s="792" t="s">
        <v>446</v>
      </c>
      <c r="C57" s="889">
        <v>4.0000000000000001E-3</v>
      </c>
      <c r="D57" s="859" t="s">
        <v>281</v>
      </c>
      <c r="E57" s="843" t="s">
        <v>1750</v>
      </c>
      <c r="F57" s="858" t="s">
        <v>43</v>
      </c>
      <c r="G57" s="804">
        <v>0.1</v>
      </c>
      <c r="H57" s="859" t="s">
        <v>280</v>
      </c>
      <c r="I57" s="843" t="s">
        <v>1750</v>
      </c>
      <c r="J57" s="858" t="s">
        <v>43</v>
      </c>
      <c r="K57" s="859" t="s">
        <v>1634</v>
      </c>
      <c r="L57" s="858" t="s">
        <v>43</v>
      </c>
      <c r="M57" s="859">
        <v>1</v>
      </c>
      <c r="N57" s="870" t="s">
        <v>1750</v>
      </c>
      <c r="O57" s="805">
        <v>1160</v>
      </c>
      <c r="P57" s="861">
        <v>170</v>
      </c>
      <c r="Q57" s="862" t="s">
        <v>2279</v>
      </c>
      <c r="R57" s="861">
        <v>820</v>
      </c>
      <c r="S57" s="862" t="s">
        <v>2283</v>
      </c>
      <c r="T57" s="863" t="s">
        <v>1750</v>
      </c>
      <c r="U57" s="864" t="s">
        <v>43</v>
      </c>
      <c r="V57" s="863" t="s">
        <v>1750</v>
      </c>
      <c r="W57" s="864" t="s">
        <v>43</v>
      </c>
      <c r="X57" s="861">
        <v>19</v>
      </c>
      <c r="Y57" s="865" t="s">
        <v>2283</v>
      </c>
      <c r="Z57" s="866" t="s">
        <v>43</v>
      </c>
      <c r="AA57" s="867">
        <v>4.1000000000000003E-3</v>
      </c>
      <c r="AB57" s="868" t="s">
        <v>2283</v>
      </c>
      <c r="AC57" s="869" t="s">
        <v>1750</v>
      </c>
    </row>
    <row r="58" spans="1:29" ht="16.5" thickBot="1">
      <c r="A58" s="871" t="s">
        <v>49</v>
      </c>
      <c r="B58" s="807" t="s">
        <v>447</v>
      </c>
      <c r="C58" s="890">
        <v>5.5E-2</v>
      </c>
      <c r="D58" s="874" t="s">
        <v>280</v>
      </c>
      <c r="E58" s="819">
        <v>7.7999999999999999E-6</v>
      </c>
      <c r="F58" s="874" t="s">
        <v>280</v>
      </c>
      <c r="G58" s="819">
        <v>4.0000000000000001E-3</v>
      </c>
      <c r="H58" s="874" t="s">
        <v>280</v>
      </c>
      <c r="I58" s="819">
        <v>0.03</v>
      </c>
      <c r="J58" s="874" t="s">
        <v>280</v>
      </c>
      <c r="K58" s="874" t="s">
        <v>1634</v>
      </c>
      <c r="L58" s="873" t="s">
        <v>43</v>
      </c>
      <c r="M58" s="874">
        <v>1</v>
      </c>
      <c r="N58" s="888" t="s">
        <v>1750</v>
      </c>
      <c r="O58" s="820">
        <v>1820</v>
      </c>
      <c r="P58" s="876">
        <v>1.2</v>
      </c>
      <c r="Q58" s="877" t="s">
        <v>2279</v>
      </c>
      <c r="R58" s="876">
        <v>5.0999999999999996</v>
      </c>
      <c r="S58" s="877" t="s">
        <v>2279</v>
      </c>
      <c r="T58" s="876">
        <v>0.36</v>
      </c>
      <c r="U58" s="877" t="s">
        <v>2279</v>
      </c>
      <c r="V58" s="876">
        <v>1.6</v>
      </c>
      <c r="W58" s="877" t="s">
        <v>2279</v>
      </c>
      <c r="X58" s="876">
        <v>0.46</v>
      </c>
      <c r="Y58" s="880" t="s">
        <v>2279</v>
      </c>
      <c r="Z58" s="893">
        <v>5</v>
      </c>
      <c r="AA58" s="882">
        <v>2.3000000000000001E-4</v>
      </c>
      <c r="AB58" s="883" t="s">
        <v>2279</v>
      </c>
      <c r="AC58" s="894">
        <v>2.5999999999999999E-3</v>
      </c>
    </row>
    <row r="59" spans="1:29" ht="30.75">
      <c r="A59" s="856" t="s">
        <v>1805</v>
      </c>
      <c r="B59" s="792" t="s">
        <v>1806</v>
      </c>
      <c r="C59" s="889">
        <v>0.1</v>
      </c>
      <c r="D59" s="859" t="s">
        <v>0</v>
      </c>
      <c r="E59" s="843" t="s">
        <v>1750</v>
      </c>
      <c r="F59" s="858" t="s">
        <v>43</v>
      </c>
      <c r="G59" s="804">
        <v>2.9999999999999997E-4</v>
      </c>
      <c r="H59" s="859" t="s">
        <v>0</v>
      </c>
      <c r="I59" s="843" t="s">
        <v>1750</v>
      </c>
      <c r="J59" s="858" t="s">
        <v>43</v>
      </c>
      <c r="K59" s="858" t="s">
        <v>43</v>
      </c>
      <c r="L59" s="858" t="s">
        <v>43</v>
      </c>
      <c r="M59" s="859">
        <v>1</v>
      </c>
      <c r="N59" s="859">
        <v>0.1</v>
      </c>
      <c r="O59" s="860" t="s">
        <v>1750</v>
      </c>
      <c r="P59" s="861">
        <v>5.4</v>
      </c>
      <c r="Q59" s="862" t="s">
        <v>2278</v>
      </c>
      <c r="R59" s="861">
        <v>23</v>
      </c>
      <c r="S59" s="862" t="s">
        <v>2279</v>
      </c>
      <c r="T59" s="863" t="s">
        <v>1750</v>
      </c>
      <c r="U59" s="864" t="s">
        <v>43</v>
      </c>
      <c r="V59" s="863" t="s">
        <v>1750</v>
      </c>
      <c r="W59" s="864" t="s">
        <v>43</v>
      </c>
      <c r="X59" s="861">
        <v>0.78</v>
      </c>
      <c r="Y59" s="865" t="s">
        <v>2278</v>
      </c>
      <c r="Z59" s="866" t="s">
        <v>43</v>
      </c>
      <c r="AA59" s="867">
        <v>2.2000000000000001E-4</v>
      </c>
      <c r="AB59" s="868" t="s">
        <v>2278</v>
      </c>
      <c r="AC59" s="869" t="s">
        <v>1750</v>
      </c>
    </row>
    <row r="60" spans="1:29" ht="15.75">
      <c r="A60" s="856" t="s">
        <v>448</v>
      </c>
      <c r="B60" s="792" t="s">
        <v>449</v>
      </c>
      <c r="C60" s="857" t="s">
        <v>1750</v>
      </c>
      <c r="D60" s="858" t="s">
        <v>43</v>
      </c>
      <c r="E60" s="843" t="s">
        <v>1750</v>
      </c>
      <c r="F60" s="858" t="s">
        <v>43</v>
      </c>
      <c r="G60" s="804">
        <v>1E-3</v>
      </c>
      <c r="H60" s="859" t="s">
        <v>281</v>
      </c>
      <c r="I60" s="843" t="s">
        <v>1750</v>
      </c>
      <c r="J60" s="858" t="s">
        <v>43</v>
      </c>
      <c r="K60" s="859" t="s">
        <v>1634</v>
      </c>
      <c r="L60" s="858" t="s">
        <v>43</v>
      </c>
      <c r="M60" s="859">
        <v>1</v>
      </c>
      <c r="N60" s="870" t="s">
        <v>1750</v>
      </c>
      <c r="O60" s="805">
        <v>1260</v>
      </c>
      <c r="P60" s="861">
        <v>78</v>
      </c>
      <c r="Q60" s="862" t="s">
        <v>179</v>
      </c>
      <c r="R60" s="861">
        <v>1200</v>
      </c>
      <c r="S60" s="862" t="s">
        <v>179</v>
      </c>
      <c r="T60" s="863" t="s">
        <v>1750</v>
      </c>
      <c r="U60" s="864" t="s">
        <v>43</v>
      </c>
      <c r="V60" s="863" t="s">
        <v>1750</v>
      </c>
      <c r="W60" s="864" t="s">
        <v>43</v>
      </c>
      <c r="X60" s="861">
        <v>17</v>
      </c>
      <c r="Y60" s="865" t="s">
        <v>179</v>
      </c>
      <c r="Z60" s="866" t="s">
        <v>43</v>
      </c>
      <c r="AA60" s="867">
        <v>1.0999999999999999E-2</v>
      </c>
      <c r="AB60" s="868" t="s">
        <v>179</v>
      </c>
      <c r="AC60" s="869" t="s">
        <v>1750</v>
      </c>
    </row>
    <row r="61" spans="1:29" ht="16.5" thickBot="1">
      <c r="A61" s="871" t="s">
        <v>450</v>
      </c>
      <c r="B61" s="807" t="s">
        <v>451</v>
      </c>
      <c r="C61" s="890">
        <v>230</v>
      </c>
      <c r="D61" s="874" t="s">
        <v>280</v>
      </c>
      <c r="E61" s="819">
        <v>6.7000000000000004E-2</v>
      </c>
      <c r="F61" s="874" t="s">
        <v>280</v>
      </c>
      <c r="G61" s="819">
        <v>3.0000000000000001E-3</v>
      </c>
      <c r="H61" s="874" t="s">
        <v>280</v>
      </c>
      <c r="I61" s="847" t="s">
        <v>1750</v>
      </c>
      <c r="J61" s="873" t="s">
        <v>43</v>
      </c>
      <c r="K61" s="873" t="s">
        <v>43</v>
      </c>
      <c r="L61" s="874" t="s">
        <v>247</v>
      </c>
      <c r="M61" s="874">
        <v>1</v>
      </c>
      <c r="N61" s="874">
        <v>0.1</v>
      </c>
      <c r="O61" s="875" t="s">
        <v>1750</v>
      </c>
      <c r="P61" s="876">
        <v>5.2999999999999998E-4</v>
      </c>
      <c r="Q61" s="877" t="s">
        <v>2283</v>
      </c>
      <c r="R61" s="876">
        <v>0.01</v>
      </c>
      <c r="S61" s="877" t="s">
        <v>2283</v>
      </c>
      <c r="T61" s="876">
        <v>1.5E-5</v>
      </c>
      <c r="U61" s="877" t="s">
        <v>2283</v>
      </c>
      <c r="V61" s="876">
        <v>1.8000000000000001E-4</v>
      </c>
      <c r="W61" s="877" t="s">
        <v>2283</v>
      </c>
      <c r="X61" s="876">
        <v>1.1E-4</v>
      </c>
      <c r="Y61" s="880" t="s">
        <v>2283</v>
      </c>
      <c r="Z61" s="881" t="s">
        <v>43</v>
      </c>
      <c r="AA61" s="882">
        <v>2.8000000000000002E-7</v>
      </c>
      <c r="AB61" s="883" t="s">
        <v>2283</v>
      </c>
      <c r="AC61" s="884" t="s">
        <v>1750</v>
      </c>
    </row>
    <row r="62" spans="1:29" ht="15.75">
      <c r="A62" s="856" t="s">
        <v>452</v>
      </c>
      <c r="B62" s="792" t="s">
        <v>453</v>
      </c>
      <c r="C62" s="857" t="s">
        <v>1750</v>
      </c>
      <c r="D62" s="858" t="s">
        <v>43</v>
      </c>
      <c r="E62" s="843" t="s">
        <v>1750</v>
      </c>
      <c r="F62" s="858" t="s">
        <v>43</v>
      </c>
      <c r="G62" s="804">
        <v>4</v>
      </c>
      <c r="H62" s="859" t="s">
        <v>280</v>
      </c>
      <c r="I62" s="843" t="s">
        <v>1750</v>
      </c>
      <c r="J62" s="858" t="s">
        <v>43</v>
      </c>
      <c r="K62" s="858" t="s">
        <v>43</v>
      </c>
      <c r="L62" s="858" t="s">
        <v>43</v>
      </c>
      <c r="M62" s="859">
        <v>1</v>
      </c>
      <c r="N62" s="859">
        <v>0.1</v>
      </c>
      <c r="O62" s="860" t="s">
        <v>1750</v>
      </c>
      <c r="P62" s="861">
        <v>250000</v>
      </c>
      <c r="Q62" s="862" t="s">
        <v>2281</v>
      </c>
      <c r="R62" s="861">
        <v>3300000</v>
      </c>
      <c r="S62" s="862" t="s">
        <v>2281</v>
      </c>
      <c r="T62" s="863" t="s">
        <v>1750</v>
      </c>
      <c r="U62" s="864" t="s">
        <v>43</v>
      </c>
      <c r="V62" s="863" t="s">
        <v>1750</v>
      </c>
      <c r="W62" s="864" t="s">
        <v>43</v>
      </c>
      <c r="X62" s="861">
        <v>75000</v>
      </c>
      <c r="Y62" s="865" t="s">
        <v>179</v>
      </c>
      <c r="Z62" s="866" t="s">
        <v>43</v>
      </c>
      <c r="AA62" s="867">
        <v>15</v>
      </c>
      <c r="AB62" s="868" t="s">
        <v>179</v>
      </c>
      <c r="AC62" s="869" t="s">
        <v>1750</v>
      </c>
    </row>
    <row r="63" spans="1:29" ht="15.75">
      <c r="A63" s="856" t="s">
        <v>454</v>
      </c>
      <c r="B63" s="792" t="s">
        <v>455</v>
      </c>
      <c r="C63" s="889">
        <v>13</v>
      </c>
      <c r="D63" s="859" t="s">
        <v>280</v>
      </c>
      <c r="E63" s="843" t="s">
        <v>1750</v>
      </c>
      <c r="F63" s="858" t="s">
        <v>43</v>
      </c>
      <c r="G63" s="843" t="s">
        <v>1750</v>
      </c>
      <c r="H63" s="858" t="s">
        <v>43</v>
      </c>
      <c r="I63" s="843" t="s">
        <v>1750</v>
      </c>
      <c r="J63" s="858" t="s">
        <v>43</v>
      </c>
      <c r="K63" s="859" t="s">
        <v>1634</v>
      </c>
      <c r="L63" s="858" t="s">
        <v>43</v>
      </c>
      <c r="M63" s="859">
        <v>1</v>
      </c>
      <c r="N63" s="870" t="s">
        <v>1750</v>
      </c>
      <c r="O63" s="805">
        <v>324</v>
      </c>
      <c r="P63" s="861">
        <v>5.2999999999999999E-2</v>
      </c>
      <c r="Q63" s="862" t="s">
        <v>2283</v>
      </c>
      <c r="R63" s="861">
        <v>0.25</v>
      </c>
      <c r="S63" s="862" t="s">
        <v>2283</v>
      </c>
      <c r="T63" s="863" t="s">
        <v>1750</v>
      </c>
      <c r="U63" s="864" t="s">
        <v>43</v>
      </c>
      <c r="V63" s="863" t="s">
        <v>1750</v>
      </c>
      <c r="W63" s="864" t="s">
        <v>43</v>
      </c>
      <c r="X63" s="861">
        <v>3.0000000000000001E-3</v>
      </c>
      <c r="Y63" s="865" t="s">
        <v>2283</v>
      </c>
      <c r="Z63" s="866" t="s">
        <v>43</v>
      </c>
      <c r="AA63" s="867">
        <v>6.6000000000000003E-6</v>
      </c>
      <c r="AB63" s="868" t="s">
        <v>2283</v>
      </c>
      <c r="AC63" s="869" t="s">
        <v>1750</v>
      </c>
    </row>
    <row r="64" spans="1:29" ht="16.5" thickBot="1">
      <c r="A64" s="871" t="s">
        <v>456</v>
      </c>
      <c r="B64" s="807" t="s">
        <v>457</v>
      </c>
      <c r="C64" s="872" t="s">
        <v>1750</v>
      </c>
      <c r="D64" s="873" t="s">
        <v>43</v>
      </c>
      <c r="E64" s="847" t="s">
        <v>1750</v>
      </c>
      <c r="F64" s="873" t="s">
        <v>43</v>
      </c>
      <c r="G64" s="819">
        <v>0.1</v>
      </c>
      <c r="H64" s="874" t="s">
        <v>281</v>
      </c>
      <c r="I64" s="847" t="s">
        <v>1750</v>
      </c>
      <c r="J64" s="873" t="s">
        <v>43</v>
      </c>
      <c r="K64" s="873" t="s">
        <v>43</v>
      </c>
      <c r="L64" s="873" t="s">
        <v>43</v>
      </c>
      <c r="M64" s="874">
        <v>1</v>
      </c>
      <c r="N64" s="874">
        <v>0.1</v>
      </c>
      <c r="O64" s="875" t="s">
        <v>1750</v>
      </c>
      <c r="P64" s="876">
        <v>6300</v>
      </c>
      <c r="Q64" s="877" t="s">
        <v>179</v>
      </c>
      <c r="R64" s="876">
        <v>82000</v>
      </c>
      <c r="S64" s="877" t="s">
        <v>179</v>
      </c>
      <c r="T64" s="878" t="s">
        <v>1750</v>
      </c>
      <c r="U64" s="879" t="s">
        <v>43</v>
      </c>
      <c r="V64" s="878" t="s">
        <v>1750</v>
      </c>
      <c r="W64" s="879" t="s">
        <v>43</v>
      </c>
      <c r="X64" s="876">
        <v>2000</v>
      </c>
      <c r="Y64" s="880" t="s">
        <v>179</v>
      </c>
      <c r="Z64" s="881" t="s">
        <v>43</v>
      </c>
      <c r="AA64" s="882">
        <v>0.48</v>
      </c>
      <c r="AB64" s="883" t="s">
        <v>179</v>
      </c>
      <c r="AC64" s="884" t="s">
        <v>1750</v>
      </c>
    </row>
    <row r="65" spans="1:29" ht="15.75">
      <c r="A65" s="856" t="s">
        <v>458</v>
      </c>
      <c r="B65" s="792" t="s">
        <v>459</v>
      </c>
      <c r="C65" s="889">
        <v>0.17</v>
      </c>
      <c r="D65" s="859" t="s">
        <v>280</v>
      </c>
      <c r="E65" s="804">
        <v>4.8999999999999998E-5</v>
      </c>
      <c r="F65" s="859" t="s">
        <v>3</v>
      </c>
      <c r="G65" s="804">
        <v>2E-3</v>
      </c>
      <c r="H65" s="859" t="s">
        <v>281</v>
      </c>
      <c r="I65" s="804">
        <v>1E-3</v>
      </c>
      <c r="J65" s="859" t="s">
        <v>281</v>
      </c>
      <c r="K65" s="859" t="s">
        <v>1634</v>
      </c>
      <c r="L65" s="858" t="s">
        <v>43</v>
      </c>
      <c r="M65" s="859">
        <v>1</v>
      </c>
      <c r="N65" s="870" t="s">
        <v>1750</v>
      </c>
      <c r="O65" s="805">
        <v>1460</v>
      </c>
      <c r="P65" s="861">
        <v>1.1000000000000001</v>
      </c>
      <c r="Q65" s="862" t="s">
        <v>2279</v>
      </c>
      <c r="R65" s="861">
        <v>4.8</v>
      </c>
      <c r="S65" s="862" t="s">
        <v>2279</v>
      </c>
      <c r="T65" s="861">
        <v>5.7000000000000002E-2</v>
      </c>
      <c r="U65" s="862" t="s">
        <v>2279</v>
      </c>
      <c r="V65" s="861">
        <v>0.25</v>
      </c>
      <c r="W65" s="862" t="s">
        <v>2279</v>
      </c>
      <c r="X65" s="861">
        <v>8.8999999999999996E-2</v>
      </c>
      <c r="Y65" s="865" t="s">
        <v>2279</v>
      </c>
      <c r="Z65" s="866" t="s">
        <v>43</v>
      </c>
      <c r="AA65" s="867">
        <v>9.7999999999999997E-5</v>
      </c>
      <c r="AB65" s="868" t="s">
        <v>2279</v>
      </c>
      <c r="AC65" s="869" t="s">
        <v>1750</v>
      </c>
    </row>
    <row r="66" spans="1:29" ht="30.75">
      <c r="A66" s="856" t="s">
        <v>460</v>
      </c>
      <c r="B66" s="792" t="s">
        <v>461</v>
      </c>
      <c r="C66" s="857" t="s">
        <v>1750</v>
      </c>
      <c r="D66" s="858" t="s">
        <v>43</v>
      </c>
      <c r="E66" s="804">
        <v>2.3999999999999998E-3</v>
      </c>
      <c r="F66" s="859" t="s">
        <v>280</v>
      </c>
      <c r="G66" s="804">
        <v>2E-3</v>
      </c>
      <c r="H66" s="859" t="s">
        <v>280</v>
      </c>
      <c r="I66" s="804">
        <v>2.0000000000000002E-5</v>
      </c>
      <c r="J66" s="859" t="s">
        <v>280</v>
      </c>
      <c r="K66" s="858" t="s">
        <v>43</v>
      </c>
      <c r="L66" s="858" t="s">
        <v>43</v>
      </c>
      <c r="M66" s="859">
        <v>7.0000000000000001E-3</v>
      </c>
      <c r="N66" s="870" t="s">
        <v>1750</v>
      </c>
      <c r="O66" s="860" t="s">
        <v>1750</v>
      </c>
      <c r="P66" s="861">
        <v>160</v>
      </c>
      <c r="Q66" s="862" t="s">
        <v>179</v>
      </c>
      <c r="R66" s="861">
        <v>2300</v>
      </c>
      <c r="S66" s="862" t="s">
        <v>179</v>
      </c>
      <c r="T66" s="861">
        <v>1.1999999999999999E-3</v>
      </c>
      <c r="U66" s="862" t="s">
        <v>2279</v>
      </c>
      <c r="V66" s="861">
        <v>5.1000000000000004E-3</v>
      </c>
      <c r="W66" s="862" t="s">
        <v>2279</v>
      </c>
      <c r="X66" s="861">
        <v>25</v>
      </c>
      <c r="Y66" s="865" t="s">
        <v>179</v>
      </c>
      <c r="Z66" s="891">
        <v>4</v>
      </c>
      <c r="AA66" s="867">
        <v>19</v>
      </c>
      <c r="AB66" s="868" t="s">
        <v>179</v>
      </c>
      <c r="AC66" s="892">
        <v>3.2</v>
      </c>
    </row>
    <row r="67" spans="1:29" ht="31.5" thickBot="1">
      <c r="A67" s="871" t="s">
        <v>463</v>
      </c>
      <c r="B67" s="807" t="s">
        <v>464</v>
      </c>
      <c r="C67" s="872" t="s">
        <v>1750</v>
      </c>
      <c r="D67" s="873" t="s">
        <v>43</v>
      </c>
      <c r="E67" s="847" t="s">
        <v>1750</v>
      </c>
      <c r="F67" s="873" t="s">
        <v>43</v>
      </c>
      <c r="G67" s="819">
        <v>8.9999999999999993E-3</v>
      </c>
      <c r="H67" s="874" t="s">
        <v>281</v>
      </c>
      <c r="I67" s="847" t="s">
        <v>1750</v>
      </c>
      <c r="J67" s="873" t="s">
        <v>43</v>
      </c>
      <c r="K67" s="873" t="s">
        <v>43</v>
      </c>
      <c r="L67" s="873" t="s">
        <v>43</v>
      </c>
      <c r="M67" s="874">
        <v>1</v>
      </c>
      <c r="N67" s="874">
        <v>0.1</v>
      </c>
      <c r="O67" s="875" t="s">
        <v>1750</v>
      </c>
      <c r="P67" s="876">
        <v>570</v>
      </c>
      <c r="Q67" s="877" t="s">
        <v>179</v>
      </c>
      <c r="R67" s="876">
        <v>7400</v>
      </c>
      <c r="S67" s="877" t="s">
        <v>179</v>
      </c>
      <c r="T67" s="878" t="s">
        <v>1750</v>
      </c>
      <c r="U67" s="879" t="s">
        <v>43</v>
      </c>
      <c r="V67" s="878" t="s">
        <v>1750</v>
      </c>
      <c r="W67" s="879" t="s">
        <v>43</v>
      </c>
      <c r="X67" s="876">
        <v>100</v>
      </c>
      <c r="Y67" s="880" t="s">
        <v>179</v>
      </c>
      <c r="Z67" s="881" t="s">
        <v>43</v>
      </c>
      <c r="AA67" s="882">
        <v>0.76</v>
      </c>
      <c r="AB67" s="883" t="s">
        <v>179</v>
      </c>
      <c r="AC67" s="884" t="s">
        <v>1750</v>
      </c>
    </row>
    <row r="68" spans="1:29" ht="30.75">
      <c r="A68" s="856" t="s">
        <v>465</v>
      </c>
      <c r="B68" s="792" t="s">
        <v>466</v>
      </c>
      <c r="C68" s="857" t="s">
        <v>1750</v>
      </c>
      <c r="D68" s="858" t="s">
        <v>43</v>
      </c>
      <c r="E68" s="843" t="s">
        <v>1750</v>
      </c>
      <c r="F68" s="858" t="s">
        <v>43</v>
      </c>
      <c r="G68" s="804">
        <v>1.4999999999999999E-2</v>
      </c>
      <c r="H68" s="859" t="s">
        <v>280</v>
      </c>
      <c r="I68" s="843" t="s">
        <v>1750</v>
      </c>
      <c r="J68" s="858" t="s">
        <v>43</v>
      </c>
      <c r="K68" s="858" t="s">
        <v>43</v>
      </c>
      <c r="L68" s="858" t="s">
        <v>43</v>
      </c>
      <c r="M68" s="859">
        <v>1</v>
      </c>
      <c r="N68" s="859">
        <v>0.1</v>
      </c>
      <c r="O68" s="860" t="s">
        <v>1750</v>
      </c>
      <c r="P68" s="861">
        <v>950</v>
      </c>
      <c r="Q68" s="862" t="s">
        <v>179</v>
      </c>
      <c r="R68" s="861">
        <v>12000</v>
      </c>
      <c r="S68" s="862" t="s">
        <v>179</v>
      </c>
      <c r="T68" s="863" t="s">
        <v>1750</v>
      </c>
      <c r="U68" s="864" t="s">
        <v>43</v>
      </c>
      <c r="V68" s="863" t="s">
        <v>1750</v>
      </c>
      <c r="W68" s="864" t="s">
        <v>43</v>
      </c>
      <c r="X68" s="861">
        <v>300</v>
      </c>
      <c r="Y68" s="865" t="s">
        <v>179</v>
      </c>
      <c r="Z68" s="866" t="s">
        <v>43</v>
      </c>
      <c r="AA68" s="867">
        <v>1400</v>
      </c>
      <c r="AB68" s="868" t="s">
        <v>179</v>
      </c>
      <c r="AC68" s="869" t="s">
        <v>1750</v>
      </c>
    </row>
    <row r="69" spans="1:29" ht="15.75">
      <c r="A69" s="856" t="s">
        <v>467</v>
      </c>
      <c r="B69" s="792" t="s">
        <v>468</v>
      </c>
      <c r="C69" s="889">
        <v>8.0000000000000002E-3</v>
      </c>
      <c r="D69" s="859" t="s">
        <v>280</v>
      </c>
      <c r="E69" s="843" t="s">
        <v>1750</v>
      </c>
      <c r="F69" s="858" t="s">
        <v>43</v>
      </c>
      <c r="G69" s="804">
        <v>0.5</v>
      </c>
      <c r="H69" s="859" t="s">
        <v>280</v>
      </c>
      <c r="I69" s="804">
        <v>4.0000000000000002E-4</v>
      </c>
      <c r="J69" s="859" t="s">
        <v>0</v>
      </c>
      <c r="K69" s="859" t="s">
        <v>1634</v>
      </c>
      <c r="L69" s="858" t="s">
        <v>43</v>
      </c>
      <c r="M69" s="859">
        <v>1</v>
      </c>
      <c r="N69" s="870" t="s">
        <v>1750</v>
      </c>
      <c r="O69" s="860" t="s">
        <v>1750</v>
      </c>
      <c r="P69" s="861">
        <v>47</v>
      </c>
      <c r="Q69" s="862" t="s">
        <v>179</v>
      </c>
      <c r="R69" s="861">
        <v>200</v>
      </c>
      <c r="S69" s="862" t="s">
        <v>179</v>
      </c>
      <c r="T69" s="861">
        <v>0.42</v>
      </c>
      <c r="U69" s="862" t="s">
        <v>179</v>
      </c>
      <c r="V69" s="861">
        <v>1.8</v>
      </c>
      <c r="W69" s="862" t="s">
        <v>179</v>
      </c>
      <c r="X69" s="861">
        <v>0.83</v>
      </c>
      <c r="Y69" s="865" t="s">
        <v>179</v>
      </c>
      <c r="Z69" s="866" t="s">
        <v>43</v>
      </c>
      <c r="AA69" s="867">
        <v>8.6999999999999994E-3</v>
      </c>
      <c r="AB69" s="868" t="s">
        <v>179</v>
      </c>
      <c r="AC69" s="869" t="s">
        <v>1750</v>
      </c>
    </row>
    <row r="70" spans="1:29" ht="31.5" thickBot="1">
      <c r="A70" s="871" t="s">
        <v>469</v>
      </c>
      <c r="B70" s="807" t="s">
        <v>470</v>
      </c>
      <c r="C70" s="872" t="s">
        <v>1750</v>
      </c>
      <c r="D70" s="873" t="s">
        <v>43</v>
      </c>
      <c r="E70" s="847" t="s">
        <v>1750</v>
      </c>
      <c r="F70" s="873" t="s">
        <v>43</v>
      </c>
      <c r="G70" s="819">
        <v>0.04</v>
      </c>
      <c r="H70" s="874" t="s">
        <v>280</v>
      </c>
      <c r="I70" s="847" t="s">
        <v>1750</v>
      </c>
      <c r="J70" s="873" t="s">
        <v>43</v>
      </c>
      <c r="K70" s="874" t="s">
        <v>1634</v>
      </c>
      <c r="L70" s="873" t="s">
        <v>43</v>
      </c>
      <c r="M70" s="874">
        <v>1</v>
      </c>
      <c r="N70" s="888" t="s">
        <v>1750</v>
      </c>
      <c r="O70" s="820">
        <v>1020</v>
      </c>
      <c r="P70" s="876">
        <v>3100</v>
      </c>
      <c r="Q70" s="877" t="s">
        <v>2282</v>
      </c>
      <c r="R70" s="876">
        <v>47000</v>
      </c>
      <c r="S70" s="877" t="s">
        <v>2282</v>
      </c>
      <c r="T70" s="878" t="s">
        <v>1750</v>
      </c>
      <c r="U70" s="879" t="s">
        <v>43</v>
      </c>
      <c r="V70" s="878" t="s">
        <v>1750</v>
      </c>
      <c r="W70" s="879" t="s">
        <v>43</v>
      </c>
      <c r="X70" s="876">
        <v>710</v>
      </c>
      <c r="Y70" s="880" t="s">
        <v>179</v>
      </c>
      <c r="Z70" s="881" t="s">
        <v>43</v>
      </c>
      <c r="AA70" s="882">
        <v>0.26</v>
      </c>
      <c r="AB70" s="883" t="s">
        <v>179</v>
      </c>
      <c r="AC70" s="884" t="s">
        <v>1750</v>
      </c>
    </row>
    <row r="71" spans="1:29" ht="45.75">
      <c r="A71" s="856" t="s">
        <v>471</v>
      </c>
      <c r="B71" s="792" t="s">
        <v>472</v>
      </c>
      <c r="C71" s="857" t="s">
        <v>1750</v>
      </c>
      <c r="D71" s="858" t="s">
        <v>43</v>
      </c>
      <c r="E71" s="843" t="s">
        <v>1750</v>
      </c>
      <c r="F71" s="858" t="s">
        <v>43</v>
      </c>
      <c r="G71" s="804">
        <v>3.0000000000000001E-3</v>
      </c>
      <c r="H71" s="859" t="s">
        <v>281</v>
      </c>
      <c r="I71" s="843" t="s">
        <v>1750</v>
      </c>
      <c r="J71" s="858" t="s">
        <v>43</v>
      </c>
      <c r="K71" s="858" t="s">
        <v>43</v>
      </c>
      <c r="L71" s="858" t="s">
        <v>43</v>
      </c>
      <c r="M71" s="859">
        <v>1</v>
      </c>
      <c r="N71" s="859">
        <v>0.1</v>
      </c>
      <c r="O71" s="860" t="s">
        <v>1750</v>
      </c>
      <c r="P71" s="861">
        <v>190</v>
      </c>
      <c r="Q71" s="862" t="s">
        <v>179</v>
      </c>
      <c r="R71" s="861">
        <v>2500</v>
      </c>
      <c r="S71" s="862" t="s">
        <v>179</v>
      </c>
      <c r="T71" s="863" t="s">
        <v>1750</v>
      </c>
      <c r="U71" s="864" t="s">
        <v>43</v>
      </c>
      <c r="V71" s="863" t="s">
        <v>1750</v>
      </c>
      <c r="W71" s="864" t="s">
        <v>43</v>
      </c>
      <c r="X71" s="861">
        <v>59</v>
      </c>
      <c r="Y71" s="865" t="s">
        <v>179</v>
      </c>
      <c r="Z71" s="866" t="s">
        <v>43</v>
      </c>
      <c r="AA71" s="867">
        <v>1.2999999999999999E-2</v>
      </c>
      <c r="AB71" s="868" t="s">
        <v>179</v>
      </c>
      <c r="AC71" s="869" t="s">
        <v>1750</v>
      </c>
    </row>
    <row r="72" spans="1:29" ht="30.75">
      <c r="A72" s="856" t="s">
        <v>99</v>
      </c>
      <c r="B72" s="792" t="s">
        <v>473</v>
      </c>
      <c r="C72" s="889">
        <v>1.1000000000000001</v>
      </c>
      <c r="D72" s="859" t="s">
        <v>280</v>
      </c>
      <c r="E72" s="804">
        <v>3.3E-4</v>
      </c>
      <c r="F72" s="859" t="s">
        <v>280</v>
      </c>
      <c r="G72" s="843" t="s">
        <v>1750</v>
      </c>
      <c r="H72" s="858" t="s">
        <v>43</v>
      </c>
      <c r="I72" s="843" t="s">
        <v>1750</v>
      </c>
      <c r="J72" s="858" t="s">
        <v>43</v>
      </c>
      <c r="K72" s="859" t="s">
        <v>1634</v>
      </c>
      <c r="L72" s="858" t="s">
        <v>43</v>
      </c>
      <c r="M72" s="859">
        <v>1</v>
      </c>
      <c r="N72" s="870" t="s">
        <v>1750</v>
      </c>
      <c r="O72" s="805">
        <v>5050</v>
      </c>
      <c r="P72" s="861">
        <v>0.23</v>
      </c>
      <c r="Q72" s="862" t="s">
        <v>2283</v>
      </c>
      <c r="R72" s="861">
        <v>1</v>
      </c>
      <c r="S72" s="862" t="s">
        <v>2283</v>
      </c>
      <c r="T72" s="861">
        <v>8.5000000000000006E-3</v>
      </c>
      <c r="U72" s="862" t="s">
        <v>2283</v>
      </c>
      <c r="V72" s="861">
        <v>3.6999999999999998E-2</v>
      </c>
      <c r="W72" s="862" t="s">
        <v>2283</v>
      </c>
      <c r="X72" s="861">
        <v>1.4E-2</v>
      </c>
      <c r="Y72" s="865" t="s">
        <v>2283</v>
      </c>
      <c r="Z72" s="866" t="s">
        <v>43</v>
      </c>
      <c r="AA72" s="867">
        <v>3.5999999999999998E-6</v>
      </c>
      <c r="AB72" s="868" t="s">
        <v>2283</v>
      </c>
      <c r="AC72" s="869" t="s">
        <v>1750</v>
      </c>
    </row>
    <row r="73" spans="1:29" ht="31.5" thickBot="1">
      <c r="A73" s="871" t="s">
        <v>475</v>
      </c>
      <c r="B73" s="807" t="s">
        <v>476</v>
      </c>
      <c r="C73" s="890">
        <v>220</v>
      </c>
      <c r="D73" s="874" t="s">
        <v>280</v>
      </c>
      <c r="E73" s="819">
        <v>6.2E-2</v>
      </c>
      <c r="F73" s="874" t="s">
        <v>280</v>
      </c>
      <c r="G73" s="847" t="s">
        <v>1750</v>
      </c>
      <c r="H73" s="873" t="s">
        <v>43</v>
      </c>
      <c r="I73" s="847" t="s">
        <v>1750</v>
      </c>
      <c r="J73" s="873" t="s">
        <v>43</v>
      </c>
      <c r="K73" s="874" t="s">
        <v>1634</v>
      </c>
      <c r="L73" s="873" t="s">
        <v>43</v>
      </c>
      <c r="M73" s="874">
        <v>1</v>
      </c>
      <c r="N73" s="888" t="s">
        <v>1750</v>
      </c>
      <c r="O73" s="820">
        <v>4220</v>
      </c>
      <c r="P73" s="876">
        <v>8.2999999999999998E-5</v>
      </c>
      <c r="Q73" s="877" t="s">
        <v>2283</v>
      </c>
      <c r="R73" s="876">
        <v>3.6000000000000002E-4</v>
      </c>
      <c r="S73" s="877" t="s">
        <v>2283</v>
      </c>
      <c r="T73" s="876">
        <v>4.5000000000000003E-5</v>
      </c>
      <c r="U73" s="877" t="s">
        <v>2283</v>
      </c>
      <c r="V73" s="876">
        <v>2.0000000000000001E-4</v>
      </c>
      <c r="W73" s="877" t="s">
        <v>2283</v>
      </c>
      <c r="X73" s="876">
        <v>7.2000000000000002E-5</v>
      </c>
      <c r="Y73" s="880" t="s">
        <v>2283</v>
      </c>
      <c r="Z73" s="881" t="s">
        <v>43</v>
      </c>
      <c r="AA73" s="882">
        <v>1.7E-8</v>
      </c>
      <c r="AB73" s="883" t="s">
        <v>2283</v>
      </c>
      <c r="AC73" s="884" t="s">
        <v>1750</v>
      </c>
    </row>
    <row r="74" spans="1:29" ht="15.75">
      <c r="A74" s="856" t="s">
        <v>477</v>
      </c>
      <c r="B74" s="792" t="s">
        <v>478</v>
      </c>
      <c r="C74" s="857" t="s">
        <v>1750</v>
      </c>
      <c r="D74" s="858" t="s">
        <v>43</v>
      </c>
      <c r="E74" s="843" t="s">
        <v>1750</v>
      </c>
      <c r="F74" s="858" t="s">
        <v>43</v>
      </c>
      <c r="G74" s="804">
        <v>0.05</v>
      </c>
      <c r="H74" s="859" t="s">
        <v>280</v>
      </c>
      <c r="I74" s="843" t="s">
        <v>1750</v>
      </c>
      <c r="J74" s="858" t="s">
        <v>43</v>
      </c>
      <c r="K74" s="858" t="s">
        <v>43</v>
      </c>
      <c r="L74" s="858" t="s">
        <v>43</v>
      </c>
      <c r="M74" s="859">
        <v>1</v>
      </c>
      <c r="N74" s="859">
        <v>0.1</v>
      </c>
      <c r="O74" s="860" t="s">
        <v>1750</v>
      </c>
      <c r="P74" s="861">
        <v>3200</v>
      </c>
      <c r="Q74" s="862" t="s">
        <v>179</v>
      </c>
      <c r="R74" s="861">
        <v>41000</v>
      </c>
      <c r="S74" s="862" t="s">
        <v>179</v>
      </c>
      <c r="T74" s="863" t="s">
        <v>1750</v>
      </c>
      <c r="U74" s="864" t="s">
        <v>43</v>
      </c>
      <c r="V74" s="863" t="s">
        <v>1750</v>
      </c>
      <c r="W74" s="864" t="s">
        <v>43</v>
      </c>
      <c r="X74" s="861">
        <v>770</v>
      </c>
      <c r="Y74" s="865" t="s">
        <v>179</v>
      </c>
      <c r="Z74" s="866" t="s">
        <v>43</v>
      </c>
      <c r="AA74" s="867">
        <v>58</v>
      </c>
      <c r="AB74" s="868" t="s">
        <v>179</v>
      </c>
      <c r="AC74" s="869" t="s">
        <v>1750</v>
      </c>
    </row>
    <row r="75" spans="1:29" ht="30.75">
      <c r="A75" s="856" t="s">
        <v>479</v>
      </c>
      <c r="B75" s="792" t="s">
        <v>480</v>
      </c>
      <c r="C75" s="857" t="s">
        <v>1750</v>
      </c>
      <c r="D75" s="858" t="s">
        <v>43</v>
      </c>
      <c r="E75" s="843" t="s">
        <v>1750</v>
      </c>
      <c r="F75" s="858" t="s">
        <v>43</v>
      </c>
      <c r="G75" s="804">
        <v>0.2</v>
      </c>
      <c r="H75" s="859" t="s">
        <v>280</v>
      </c>
      <c r="I75" s="804">
        <v>0.02</v>
      </c>
      <c r="J75" s="859" t="s">
        <v>13</v>
      </c>
      <c r="K75" s="858" t="s">
        <v>43</v>
      </c>
      <c r="L75" s="858" t="s">
        <v>43</v>
      </c>
      <c r="M75" s="859">
        <v>1</v>
      </c>
      <c r="N75" s="870" t="s">
        <v>1750</v>
      </c>
      <c r="O75" s="860" t="s">
        <v>1750</v>
      </c>
      <c r="P75" s="861">
        <v>16000</v>
      </c>
      <c r="Q75" s="862" t="s">
        <v>179</v>
      </c>
      <c r="R75" s="861">
        <v>230000</v>
      </c>
      <c r="S75" s="862" t="s">
        <v>2281</v>
      </c>
      <c r="T75" s="861">
        <v>21</v>
      </c>
      <c r="U75" s="862" t="s">
        <v>179</v>
      </c>
      <c r="V75" s="861">
        <v>88</v>
      </c>
      <c r="W75" s="862" t="s">
        <v>179</v>
      </c>
      <c r="X75" s="861">
        <v>4000</v>
      </c>
      <c r="Y75" s="865" t="s">
        <v>179</v>
      </c>
      <c r="Z75" s="866" t="s">
        <v>43</v>
      </c>
      <c r="AA75" s="867">
        <v>13</v>
      </c>
      <c r="AB75" s="868" t="s">
        <v>179</v>
      </c>
      <c r="AC75" s="869" t="s">
        <v>1750</v>
      </c>
    </row>
    <row r="76" spans="1:29" ht="31.5" thickBot="1">
      <c r="A76" s="871" t="s">
        <v>1808</v>
      </c>
      <c r="B76" s="807" t="s">
        <v>1809</v>
      </c>
      <c r="C76" s="872" t="s">
        <v>1750</v>
      </c>
      <c r="D76" s="873" t="s">
        <v>43</v>
      </c>
      <c r="E76" s="847" t="s">
        <v>1750</v>
      </c>
      <c r="F76" s="873" t="s">
        <v>43</v>
      </c>
      <c r="G76" s="819">
        <v>2</v>
      </c>
      <c r="H76" s="874" t="s">
        <v>281</v>
      </c>
      <c r="I76" s="819">
        <v>0.02</v>
      </c>
      <c r="J76" s="874" t="s">
        <v>281</v>
      </c>
      <c r="K76" s="874" t="s">
        <v>1634</v>
      </c>
      <c r="L76" s="873" t="s">
        <v>43</v>
      </c>
      <c r="M76" s="874">
        <v>1</v>
      </c>
      <c r="N76" s="888" t="s">
        <v>1750</v>
      </c>
      <c r="O76" s="875" t="s">
        <v>1750</v>
      </c>
      <c r="P76" s="876">
        <v>160000</v>
      </c>
      <c r="Q76" s="877" t="s">
        <v>2281</v>
      </c>
      <c r="R76" s="876">
        <v>2300000</v>
      </c>
      <c r="S76" s="877" t="s">
        <v>2281</v>
      </c>
      <c r="T76" s="876">
        <v>21</v>
      </c>
      <c r="U76" s="877" t="s">
        <v>179</v>
      </c>
      <c r="V76" s="876">
        <v>88</v>
      </c>
      <c r="W76" s="877" t="s">
        <v>179</v>
      </c>
      <c r="X76" s="876">
        <v>42</v>
      </c>
      <c r="Y76" s="880" t="s">
        <v>179</v>
      </c>
      <c r="Z76" s="881" t="s">
        <v>43</v>
      </c>
      <c r="AA76" s="895" t="s">
        <v>1750</v>
      </c>
      <c r="AB76" s="883" t="s">
        <v>179</v>
      </c>
      <c r="AC76" s="884" t="s">
        <v>1750</v>
      </c>
    </row>
    <row r="77" spans="1:29" ht="15.75">
      <c r="A77" s="856" t="s">
        <v>481</v>
      </c>
      <c r="B77" s="792" t="s">
        <v>482</v>
      </c>
      <c r="C77" s="857" t="s">
        <v>1750</v>
      </c>
      <c r="D77" s="858" t="s">
        <v>43</v>
      </c>
      <c r="E77" s="843" t="s">
        <v>1750</v>
      </c>
      <c r="F77" s="858" t="s">
        <v>43</v>
      </c>
      <c r="G77" s="804">
        <v>0.04</v>
      </c>
      <c r="H77" s="859" t="s">
        <v>3</v>
      </c>
      <c r="I77" s="804">
        <v>1.2999999999999999E-2</v>
      </c>
      <c r="J77" s="859" t="s">
        <v>3</v>
      </c>
      <c r="K77" s="859" t="s">
        <v>1634</v>
      </c>
      <c r="L77" s="858" t="s">
        <v>43</v>
      </c>
      <c r="M77" s="859">
        <v>1</v>
      </c>
      <c r="N77" s="870" t="s">
        <v>1750</v>
      </c>
      <c r="O77" s="860" t="s">
        <v>1750</v>
      </c>
      <c r="P77" s="861">
        <v>3100</v>
      </c>
      <c r="Q77" s="862" t="s">
        <v>179</v>
      </c>
      <c r="R77" s="861">
        <v>47000</v>
      </c>
      <c r="S77" s="862" t="s">
        <v>179</v>
      </c>
      <c r="T77" s="861">
        <v>14</v>
      </c>
      <c r="U77" s="862" t="s">
        <v>179</v>
      </c>
      <c r="V77" s="861">
        <v>57</v>
      </c>
      <c r="W77" s="862" t="s">
        <v>179</v>
      </c>
      <c r="X77" s="861">
        <v>26</v>
      </c>
      <c r="Y77" s="865" t="s">
        <v>179</v>
      </c>
      <c r="Z77" s="866" t="s">
        <v>43</v>
      </c>
      <c r="AA77" s="886" t="s">
        <v>1750</v>
      </c>
      <c r="AB77" s="868" t="s">
        <v>179</v>
      </c>
      <c r="AC77" s="869" t="s">
        <v>1750</v>
      </c>
    </row>
    <row r="78" spans="1:29" ht="30.75">
      <c r="A78" s="856" t="s">
        <v>483</v>
      </c>
      <c r="B78" s="792" t="s">
        <v>484</v>
      </c>
      <c r="C78" s="889">
        <v>0.7</v>
      </c>
      <c r="D78" s="859" t="s">
        <v>280</v>
      </c>
      <c r="E78" s="843" t="s">
        <v>1750</v>
      </c>
      <c r="F78" s="858" t="s">
        <v>43</v>
      </c>
      <c r="G78" s="804">
        <v>4.0000000000000001E-3</v>
      </c>
      <c r="H78" s="859" t="s">
        <v>280</v>
      </c>
      <c r="I78" s="843" t="s">
        <v>1750</v>
      </c>
      <c r="J78" s="858" t="s">
        <v>43</v>
      </c>
      <c r="K78" s="858" t="s">
        <v>43</v>
      </c>
      <c r="L78" s="858" t="s">
        <v>43</v>
      </c>
      <c r="M78" s="859">
        <v>1</v>
      </c>
      <c r="N78" s="870" t="s">
        <v>1750</v>
      </c>
      <c r="O78" s="860" t="s">
        <v>1750</v>
      </c>
      <c r="P78" s="861">
        <v>0.99</v>
      </c>
      <c r="Q78" s="862" t="s">
        <v>2283</v>
      </c>
      <c r="R78" s="861">
        <v>4.7</v>
      </c>
      <c r="S78" s="862" t="s">
        <v>2283</v>
      </c>
      <c r="T78" s="863" t="s">
        <v>1750</v>
      </c>
      <c r="U78" s="864" t="s">
        <v>43</v>
      </c>
      <c r="V78" s="863" t="s">
        <v>1750</v>
      </c>
      <c r="W78" s="864" t="s">
        <v>43</v>
      </c>
      <c r="X78" s="861">
        <v>0.11</v>
      </c>
      <c r="Y78" s="865" t="s">
        <v>2283</v>
      </c>
      <c r="Z78" s="891">
        <v>10</v>
      </c>
      <c r="AA78" s="867">
        <v>8.4999999999999995E-4</v>
      </c>
      <c r="AB78" s="868" t="s">
        <v>2283</v>
      </c>
      <c r="AC78" s="892">
        <v>7.6999999999999999E-2</v>
      </c>
    </row>
    <row r="79" spans="1:29" ht="31.5" thickBot="1">
      <c r="A79" s="871" t="s">
        <v>485</v>
      </c>
      <c r="B79" s="807" t="s">
        <v>486</v>
      </c>
      <c r="C79" s="890">
        <v>2</v>
      </c>
      <c r="D79" s="874" t="s">
        <v>0</v>
      </c>
      <c r="E79" s="819">
        <v>5.9999999999999995E-4</v>
      </c>
      <c r="F79" s="874" t="s">
        <v>0</v>
      </c>
      <c r="G79" s="847" t="s">
        <v>1750</v>
      </c>
      <c r="H79" s="873" t="s">
        <v>43</v>
      </c>
      <c r="I79" s="847" t="s">
        <v>1750</v>
      </c>
      <c r="J79" s="873" t="s">
        <v>43</v>
      </c>
      <c r="K79" s="874" t="s">
        <v>1634</v>
      </c>
      <c r="L79" s="873" t="s">
        <v>43</v>
      </c>
      <c r="M79" s="874">
        <v>1</v>
      </c>
      <c r="N79" s="888" t="s">
        <v>1750</v>
      </c>
      <c r="O79" s="820">
        <v>2380</v>
      </c>
      <c r="P79" s="876">
        <v>2.5999999999999999E-2</v>
      </c>
      <c r="Q79" s="877" t="s">
        <v>2283</v>
      </c>
      <c r="R79" s="876">
        <v>0.11</v>
      </c>
      <c r="S79" s="877" t="s">
        <v>2283</v>
      </c>
      <c r="T79" s="876">
        <v>4.7000000000000002E-3</v>
      </c>
      <c r="U79" s="877" t="s">
        <v>2283</v>
      </c>
      <c r="V79" s="876">
        <v>0.02</v>
      </c>
      <c r="W79" s="877" t="s">
        <v>2283</v>
      </c>
      <c r="X79" s="876">
        <v>7.4000000000000003E-3</v>
      </c>
      <c r="Y79" s="880" t="s">
        <v>2283</v>
      </c>
      <c r="Z79" s="881" t="s">
        <v>43</v>
      </c>
      <c r="AA79" s="882">
        <v>2.0999999999999998E-6</v>
      </c>
      <c r="AB79" s="883" t="s">
        <v>2283</v>
      </c>
      <c r="AC79" s="884" t="s">
        <v>1750</v>
      </c>
    </row>
    <row r="80" spans="1:29" ht="15.75">
      <c r="A80" s="856" t="s">
        <v>487</v>
      </c>
      <c r="B80" s="792" t="s">
        <v>488</v>
      </c>
      <c r="C80" s="857" t="s">
        <v>1750</v>
      </c>
      <c r="D80" s="858" t="s">
        <v>43</v>
      </c>
      <c r="E80" s="843" t="s">
        <v>1750</v>
      </c>
      <c r="F80" s="858" t="s">
        <v>43</v>
      </c>
      <c r="G80" s="804">
        <v>8.0000000000000002E-3</v>
      </c>
      <c r="H80" s="859" t="s">
        <v>280</v>
      </c>
      <c r="I80" s="804">
        <v>0.06</v>
      </c>
      <c r="J80" s="859" t="s">
        <v>280</v>
      </c>
      <c r="K80" s="859" t="s">
        <v>1634</v>
      </c>
      <c r="L80" s="858" t="s">
        <v>43</v>
      </c>
      <c r="M80" s="859">
        <v>1</v>
      </c>
      <c r="N80" s="870" t="s">
        <v>1750</v>
      </c>
      <c r="O80" s="805">
        <v>679</v>
      </c>
      <c r="P80" s="861">
        <v>290</v>
      </c>
      <c r="Q80" s="862" t="s">
        <v>179</v>
      </c>
      <c r="R80" s="861">
        <v>1800</v>
      </c>
      <c r="S80" s="862" t="s">
        <v>2282</v>
      </c>
      <c r="T80" s="861">
        <v>63</v>
      </c>
      <c r="U80" s="862" t="s">
        <v>179</v>
      </c>
      <c r="V80" s="861">
        <v>260</v>
      </c>
      <c r="W80" s="862" t="s">
        <v>179</v>
      </c>
      <c r="X80" s="861">
        <v>62</v>
      </c>
      <c r="Y80" s="865" t="s">
        <v>179</v>
      </c>
      <c r="Z80" s="866" t="s">
        <v>43</v>
      </c>
      <c r="AA80" s="867">
        <v>4.2000000000000003E-2</v>
      </c>
      <c r="AB80" s="868" t="s">
        <v>179</v>
      </c>
      <c r="AC80" s="869" t="s">
        <v>1750</v>
      </c>
    </row>
    <row r="81" spans="1:29" ht="30.75">
      <c r="A81" s="856" t="s">
        <v>1810</v>
      </c>
      <c r="B81" s="792" t="s">
        <v>1811</v>
      </c>
      <c r="C81" s="857" t="s">
        <v>1750</v>
      </c>
      <c r="D81" s="858" t="s">
        <v>43</v>
      </c>
      <c r="E81" s="843" t="s">
        <v>1750</v>
      </c>
      <c r="F81" s="858" t="s">
        <v>43</v>
      </c>
      <c r="G81" s="843" t="s">
        <v>1750</v>
      </c>
      <c r="H81" s="858" t="s">
        <v>43</v>
      </c>
      <c r="I81" s="804">
        <v>0.04</v>
      </c>
      <c r="J81" s="859" t="s">
        <v>0</v>
      </c>
      <c r="K81" s="859" t="s">
        <v>1634</v>
      </c>
      <c r="L81" s="858" t="s">
        <v>43</v>
      </c>
      <c r="M81" s="859">
        <v>1</v>
      </c>
      <c r="N81" s="870" t="s">
        <v>1750</v>
      </c>
      <c r="O81" s="805">
        <v>4040</v>
      </c>
      <c r="P81" s="861">
        <v>150</v>
      </c>
      <c r="Q81" s="862" t="s">
        <v>179</v>
      </c>
      <c r="R81" s="861">
        <v>630</v>
      </c>
      <c r="S81" s="862" t="s">
        <v>179</v>
      </c>
      <c r="T81" s="861">
        <v>42</v>
      </c>
      <c r="U81" s="862" t="s">
        <v>179</v>
      </c>
      <c r="V81" s="861">
        <v>180</v>
      </c>
      <c r="W81" s="862" t="s">
        <v>179</v>
      </c>
      <c r="X81" s="861">
        <v>83</v>
      </c>
      <c r="Y81" s="865" t="s">
        <v>179</v>
      </c>
      <c r="Z81" s="866" t="s">
        <v>43</v>
      </c>
      <c r="AA81" s="867">
        <v>2.1000000000000001E-2</v>
      </c>
      <c r="AB81" s="868" t="s">
        <v>179</v>
      </c>
      <c r="AC81" s="869" t="s">
        <v>1750</v>
      </c>
    </row>
    <row r="82" spans="1:29" ht="31.5" thickBot="1">
      <c r="A82" s="871" t="s">
        <v>57</v>
      </c>
      <c r="B82" s="807" t="s">
        <v>489</v>
      </c>
      <c r="C82" s="890">
        <v>6.2E-2</v>
      </c>
      <c r="D82" s="874" t="s">
        <v>280</v>
      </c>
      <c r="E82" s="819">
        <v>3.6999999999999998E-5</v>
      </c>
      <c r="F82" s="874" t="s">
        <v>3</v>
      </c>
      <c r="G82" s="819">
        <v>0.02</v>
      </c>
      <c r="H82" s="874" t="s">
        <v>280</v>
      </c>
      <c r="I82" s="847" t="s">
        <v>1750</v>
      </c>
      <c r="J82" s="873" t="s">
        <v>43</v>
      </c>
      <c r="K82" s="874" t="s">
        <v>1634</v>
      </c>
      <c r="L82" s="873" t="s">
        <v>43</v>
      </c>
      <c r="M82" s="874">
        <v>1</v>
      </c>
      <c r="N82" s="888" t="s">
        <v>1750</v>
      </c>
      <c r="O82" s="820">
        <v>932</v>
      </c>
      <c r="P82" s="876">
        <v>0.28999999999999998</v>
      </c>
      <c r="Q82" s="877" t="s">
        <v>2283</v>
      </c>
      <c r="R82" s="876">
        <v>1.3</v>
      </c>
      <c r="S82" s="877" t="s">
        <v>2283</v>
      </c>
      <c r="T82" s="876">
        <v>7.5999999999999998E-2</v>
      </c>
      <c r="U82" s="877" t="s">
        <v>2283</v>
      </c>
      <c r="V82" s="876">
        <v>0.33</v>
      </c>
      <c r="W82" s="877" t="s">
        <v>2283</v>
      </c>
      <c r="X82" s="876">
        <v>0.13</v>
      </c>
      <c r="Y82" s="880" t="s">
        <v>2283</v>
      </c>
      <c r="Z82" s="893" t="s">
        <v>2286</v>
      </c>
      <c r="AA82" s="882">
        <v>3.6000000000000001E-5</v>
      </c>
      <c r="AB82" s="883" t="s">
        <v>2283</v>
      </c>
      <c r="AC82" s="894">
        <v>2.1999999999999999E-2</v>
      </c>
    </row>
    <row r="83" spans="1:29" ht="30.75">
      <c r="A83" s="856" t="s">
        <v>56</v>
      </c>
      <c r="B83" s="792" t="s">
        <v>490</v>
      </c>
      <c r="C83" s="889">
        <v>7.9000000000000008E-3</v>
      </c>
      <c r="D83" s="859" t="s">
        <v>280</v>
      </c>
      <c r="E83" s="804">
        <v>1.1000000000000001E-6</v>
      </c>
      <c r="F83" s="859" t="s">
        <v>280</v>
      </c>
      <c r="G83" s="804">
        <v>0.02</v>
      </c>
      <c r="H83" s="859" t="s">
        <v>280</v>
      </c>
      <c r="I83" s="843" t="s">
        <v>1750</v>
      </c>
      <c r="J83" s="858" t="s">
        <v>43</v>
      </c>
      <c r="K83" s="859" t="s">
        <v>1634</v>
      </c>
      <c r="L83" s="858" t="s">
        <v>43</v>
      </c>
      <c r="M83" s="859">
        <v>1</v>
      </c>
      <c r="N83" s="870" t="s">
        <v>1750</v>
      </c>
      <c r="O83" s="805">
        <v>915</v>
      </c>
      <c r="P83" s="861">
        <v>19</v>
      </c>
      <c r="Q83" s="862" t="s">
        <v>2279</v>
      </c>
      <c r="R83" s="861">
        <v>86</v>
      </c>
      <c r="S83" s="862" t="s">
        <v>2283</v>
      </c>
      <c r="T83" s="861">
        <v>2.6</v>
      </c>
      <c r="U83" s="862" t="s">
        <v>2283</v>
      </c>
      <c r="V83" s="861">
        <v>11</v>
      </c>
      <c r="W83" s="862" t="s">
        <v>2283</v>
      </c>
      <c r="X83" s="861">
        <v>3.3</v>
      </c>
      <c r="Y83" s="865" t="s">
        <v>2283</v>
      </c>
      <c r="Z83" s="891" t="s">
        <v>2286</v>
      </c>
      <c r="AA83" s="867">
        <v>8.7000000000000001E-4</v>
      </c>
      <c r="AB83" s="868" t="s">
        <v>2283</v>
      </c>
      <c r="AC83" s="892">
        <v>2.1000000000000001E-2</v>
      </c>
    </row>
    <row r="84" spans="1:29" ht="15.75">
      <c r="A84" s="856" t="s">
        <v>491</v>
      </c>
      <c r="B84" s="792" t="s">
        <v>492</v>
      </c>
      <c r="C84" s="857" t="s">
        <v>1750</v>
      </c>
      <c r="D84" s="858" t="s">
        <v>43</v>
      </c>
      <c r="E84" s="843" t="s">
        <v>1750</v>
      </c>
      <c r="F84" s="858" t="s">
        <v>43</v>
      </c>
      <c r="G84" s="804">
        <v>1.4E-3</v>
      </c>
      <c r="H84" s="859" t="s">
        <v>280</v>
      </c>
      <c r="I84" s="804">
        <v>5.0000000000000001E-3</v>
      </c>
      <c r="J84" s="859" t="s">
        <v>280</v>
      </c>
      <c r="K84" s="859" t="s">
        <v>1634</v>
      </c>
      <c r="L84" s="858" t="s">
        <v>43</v>
      </c>
      <c r="M84" s="859">
        <v>1</v>
      </c>
      <c r="N84" s="870" t="s">
        <v>1750</v>
      </c>
      <c r="O84" s="805">
        <v>3590</v>
      </c>
      <c r="P84" s="861">
        <v>6.8</v>
      </c>
      <c r="Q84" s="862" t="s">
        <v>179</v>
      </c>
      <c r="R84" s="861">
        <v>30</v>
      </c>
      <c r="S84" s="862" t="s">
        <v>179</v>
      </c>
      <c r="T84" s="861">
        <v>5.2</v>
      </c>
      <c r="U84" s="862" t="s">
        <v>179</v>
      </c>
      <c r="V84" s="861">
        <v>22</v>
      </c>
      <c r="W84" s="862" t="s">
        <v>179</v>
      </c>
      <c r="X84" s="861">
        <v>7.5</v>
      </c>
      <c r="Y84" s="865" t="s">
        <v>179</v>
      </c>
      <c r="Z84" s="866" t="s">
        <v>43</v>
      </c>
      <c r="AA84" s="867">
        <v>1.9E-3</v>
      </c>
      <c r="AB84" s="868" t="s">
        <v>179</v>
      </c>
      <c r="AC84" s="869" t="s">
        <v>1750</v>
      </c>
    </row>
    <row r="85" spans="1:29" ht="16.5" thickBot="1">
      <c r="A85" s="871" t="s">
        <v>493</v>
      </c>
      <c r="B85" s="807" t="s">
        <v>494</v>
      </c>
      <c r="C85" s="872" t="s">
        <v>1750</v>
      </c>
      <c r="D85" s="873" t="s">
        <v>43</v>
      </c>
      <c r="E85" s="847" t="s">
        <v>1750</v>
      </c>
      <c r="F85" s="873" t="s">
        <v>43</v>
      </c>
      <c r="G85" s="819">
        <v>5.0000000000000001E-3</v>
      </c>
      <c r="H85" s="874" t="s">
        <v>13</v>
      </c>
      <c r="I85" s="847" t="s">
        <v>1750</v>
      </c>
      <c r="J85" s="873" t="s">
        <v>43</v>
      </c>
      <c r="K85" s="874" t="s">
        <v>1634</v>
      </c>
      <c r="L85" s="873" t="s">
        <v>43</v>
      </c>
      <c r="M85" s="874">
        <v>1</v>
      </c>
      <c r="N85" s="888" t="s">
        <v>1750</v>
      </c>
      <c r="O85" s="875" t="s">
        <v>1750</v>
      </c>
      <c r="P85" s="876">
        <v>390</v>
      </c>
      <c r="Q85" s="877" t="s">
        <v>179</v>
      </c>
      <c r="R85" s="876">
        <v>5800</v>
      </c>
      <c r="S85" s="877" t="s">
        <v>179</v>
      </c>
      <c r="T85" s="878" t="s">
        <v>1750</v>
      </c>
      <c r="U85" s="879" t="s">
        <v>43</v>
      </c>
      <c r="V85" s="878" t="s">
        <v>1750</v>
      </c>
      <c r="W85" s="879" t="s">
        <v>43</v>
      </c>
      <c r="X85" s="876">
        <v>35</v>
      </c>
      <c r="Y85" s="880" t="s">
        <v>179</v>
      </c>
      <c r="Z85" s="881" t="s">
        <v>43</v>
      </c>
      <c r="AA85" s="882">
        <v>0.15</v>
      </c>
      <c r="AB85" s="883" t="s">
        <v>179</v>
      </c>
      <c r="AC85" s="884" t="s">
        <v>1750</v>
      </c>
    </row>
    <row r="86" spans="1:29" ht="15.75">
      <c r="A86" s="856" t="s">
        <v>495</v>
      </c>
      <c r="B86" s="792" t="s">
        <v>496</v>
      </c>
      <c r="C86" s="889">
        <v>0.1</v>
      </c>
      <c r="D86" s="859" t="s">
        <v>2463</v>
      </c>
      <c r="E86" s="843" t="s">
        <v>1750</v>
      </c>
      <c r="F86" s="858" t="s">
        <v>43</v>
      </c>
      <c r="G86" s="804">
        <v>1.4999999999999999E-2</v>
      </c>
      <c r="H86" s="859" t="s">
        <v>2463</v>
      </c>
      <c r="I86" s="843" t="s">
        <v>1750</v>
      </c>
      <c r="J86" s="858" t="s">
        <v>43</v>
      </c>
      <c r="K86" s="858" t="s">
        <v>43</v>
      </c>
      <c r="L86" s="858" t="s">
        <v>43</v>
      </c>
      <c r="M86" s="859">
        <v>1</v>
      </c>
      <c r="N86" s="859">
        <v>0.1</v>
      </c>
      <c r="O86" s="860" t="s">
        <v>1750</v>
      </c>
      <c r="P86" s="861">
        <v>5.3</v>
      </c>
      <c r="Q86" s="862" t="s">
        <v>2283</v>
      </c>
      <c r="R86" s="861">
        <v>22</v>
      </c>
      <c r="S86" s="862" t="s">
        <v>2283</v>
      </c>
      <c r="T86" s="863" t="s">
        <v>1750</v>
      </c>
      <c r="U86" s="864" t="s">
        <v>43</v>
      </c>
      <c r="V86" s="863" t="s">
        <v>1750</v>
      </c>
      <c r="W86" s="864" t="s">
        <v>43</v>
      </c>
      <c r="X86" s="861">
        <v>0.61</v>
      </c>
      <c r="Y86" s="865" t="s">
        <v>2283</v>
      </c>
      <c r="Z86" s="866" t="s">
        <v>43</v>
      </c>
      <c r="AA86" s="867">
        <v>5.1999999999999995E-4</v>
      </c>
      <c r="AB86" s="868" t="s">
        <v>2283</v>
      </c>
      <c r="AC86" s="869" t="s">
        <v>1750</v>
      </c>
    </row>
    <row r="87" spans="1:29" ht="30.75">
      <c r="A87" s="856" t="s">
        <v>497</v>
      </c>
      <c r="B87" s="792" t="s">
        <v>498</v>
      </c>
      <c r="C87" s="857" t="s">
        <v>1750</v>
      </c>
      <c r="D87" s="858" t="s">
        <v>43</v>
      </c>
      <c r="E87" s="843" t="s">
        <v>1750</v>
      </c>
      <c r="F87" s="858" t="s">
        <v>43</v>
      </c>
      <c r="G87" s="804">
        <v>1.4999999999999999E-2</v>
      </c>
      <c r="H87" s="859" t="s">
        <v>2463</v>
      </c>
      <c r="I87" s="843" t="s">
        <v>1750</v>
      </c>
      <c r="J87" s="858" t="s">
        <v>43</v>
      </c>
      <c r="K87" s="859" t="s">
        <v>1634</v>
      </c>
      <c r="L87" s="858" t="s">
        <v>43</v>
      </c>
      <c r="M87" s="859">
        <v>1</v>
      </c>
      <c r="N87" s="870" t="s">
        <v>1750</v>
      </c>
      <c r="O87" s="860" t="s">
        <v>1750</v>
      </c>
      <c r="P87" s="861">
        <v>1200</v>
      </c>
      <c r="Q87" s="862" t="s">
        <v>179</v>
      </c>
      <c r="R87" s="861">
        <v>18000</v>
      </c>
      <c r="S87" s="862" t="s">
        <v>179</v>
      </c>
      <c r="T87" s="863" t="s">
        <v>1750</v>
      </c>
      <c r="U87" s="864" t="s">
        <v>43</v>
      </c>
      <c r="V87" s="863" t="s">
        <v>1750</v>
      </c>
      <c r="W87" s="864" t="s">
        <v>43</v>
      </c>
      <c r="X87" s="861">
        <v>100</v>
      </c>
      <c r="Y87" s="865" t="s">
        <v>179</v>
      </c>
      <c r="Z87" s="866" t="s">
        <v>43</v>
      </c>
      <c r="AA87" s="867">
        <v>0.9</v>
      </c>
      <c r="AB87" s="868" t="s">
        <v>179</v>
      </c>
      <c r="AC87" s="869" t="s">
        <v>1750</v>
      </c>
    </row>
    <row r="88" spans="1:29" ht="16.5" thickBot="1">
      <c r="A88" s="871" t="s">
        <v>164</v>
      </c>
      <c r="B88" s="807" t="s">
        <v>499</v>
      </c>
      <c r="C88" s="890">
        <v>3.4</v>
      </c>
      <c r="D88" s="874" t="s">
        <v>3</v>
      </c>
      <c r="E88" s="819">
        <v>3.0000000000000001E-5</v>
      </c>
      <c r="F88" s="874" t="s">
        <v>280</v>
      </c>
      <c r="G88" s="847" t="s">
        <v>1750</v>
      </c>
      <c r="H88" s="873" t="s">
        <v>43</v>
      </c>
      <c r="I88" s="819">
        <v>2E-3</v>
      </c>
      <c r="J88" s="874" t="s">
        <v>280</v>
      </c>
      <c r="K88" s="874" t="s">
        <v>1634</v>
      </c>
      <c r="L88" s="873" t="s">
        <v>43</v>
      </c>
      <c r="M88" s="874">
        <v>1</v>
      </c>
      <c r="N88" s="888" t="s">
        <v>1750</v>
      </c>
      <c r="O88" s="820">
        <v>667</v>
      </c>
      <c r="P88" s="876">
        <v>5.8000000000000003E-2</v>
      </c>
      <c r="Q88" s="877" t="s">
        <v>2279</v>
      </c>
      <c r="R88" s="876">
        <v>0.26</v>
      </c>
      <c r="S88" s="877" t="s">
        <v>2279</v>
      </c>
      <c r="T88" s="876">
        <v>9.4E-2</v>
      </c>
      <c r="U88" s="877" t="s">
        <v>2279</v>
      </c>
      <c r="V88" s="876">
        <v>0.41</v>
      </c>
      <c r="W88" s="877" t="s">
        <v>2279</v>
      </c>
      <c r="X88" s="876">
        <v>1.7999999999999999E-2</v>
      </c>
      <c r="Y88" s="880" t="s">
        <v>2283</v>
      </c>
      <c r="Z88" s="881" t="s">
        <v>43</v>
      </c>
      <c r="AA88" s="882">
        <v>9.9000000000000001E-6</v>
      </c>
      <c r="AB88" s="883" t="s">
        <v>2283</v>
      </c>
      <c r="AC88" s="884" t="s">
        <v>1750</v>
      </c>
    </row>
    <row r="89" spans="1:29" ht="45.75">
      <c r="A89" s="856" t="s">
        <v>2401</v>
      </c>
      <c r="B89" s="792" t="s">
        <v>736</v>
      </c>
      <c r="C89" s="857" t="s">
        <v>1750</v>
      </c>
      <c r="D89" s="858" t="s">
        <v>43</v>
      </c>
      <c r="E89" s="843" t="s">
        <v>1750</v>
      </c>
      <c r="F89" s="858" t="s">
        <v>43</v>
      </c>
      <c r="G89" s="804">
        <v>0.03</v>
      </c>
      <c r="H89" s="859" t="s">
        <v>2463</v>
      </c>
      <c r="I89" s="843" t="s">
        <v>1750</v>
      </c>
      <c r="J89" s="858" t="s">
        <v>43</v>
      </c>
      <c r="K89" s="858" t="s">
        <v>43</v>
      </c>
      <c r="L89" s="858" t="s">
        <v>43</v>
      </c>
      <c r="M89" s="859">
        <v>1</v>
      </c>
      <c r="N89" s="859">
        <v>0.1</v>
      </c>
      <c r="O89" s="860" t="s">
        <v>1750</v>
      </c>
      <c r="P89" s="861">
        <v>1900</v>
      </c>
      <c r="Q89" s="862" t="s">
        <v>179</v>
      </c>
      <c r="R89" s="861">
        <v>25000</v>
      </c>
      <c r="S89" s="862" t="s">
        <v>179</v>
      </c>
      <c r="T89" s="863" t="s">
        <v>1750</v>
      </c>
      <c r="U89" s="864" t="s">
        <v>43</v>
      </c>
      <c r="V89" s="863" t="s">
        <v>1750</v>
      </c>
      <c r="W89" s="864" t="s">
        <v>43</v>
      </c>
      <c r="X89" s="861">
        <v>450</v>
      </c>
      <c r="Y89" s="865" t="s">
        <v>179</v>
      </c>
      <c r="Z89" s="866" t="s">
        <v>43</v>
      </c>
      <c r="AA89" s="867">
        <v>0.42</v>
      </c>
      <c r="AB89" s="868" t="s">
        <v>179</v>
      </c>
      <c r="AC89" s="869" t="s">
        <v>1750</v>
      </c>
    </row>
    <row r="90" spans="1:29" ht="15.75">
      <c r="A90" s="856" t="s">
        <v>500</v>
      </c>
      <c r="B90" s="792" t="s">
        <v>501</v>
      </c>
      <c r="C90" s="857" t="s">
        <v>1750</v>
      </c>
      <c r="D90" s="858" t="s">
        <v>43</v>
      </c>
      <c r="E90" s="843" t="s">
        <v>1750</v>
      </c>
      <c r="F90" s="858" t="s">
        <v>43</v>
      </c>
      <c r="G90" s="804">
        <v>0.1</v>
      </c>
      <c r="H90" s="859" t="s">
        <v>280</v>
      </c>
      <c r="I90" s="843" t="s">
        <v>1750</v>
      </c>
      <c r="J90" s="858" t="s">
        <v>43</v>
      </c>
      <c r="K90" s="859" t="s">
        <v>1634</v>
      </c>
      <c r="L90" s="858" t="s">
        <v>43</v>
      </c>
      <c r="M90" s="859">
        <v>1</v>
      </c>
      <c r="N90" s="870" t="s">
        <v>1750</v>
      </c>
      <c r="O90" s="805">
        <v>7640</v>
      </c>
      <c r="P90" s="861">
        <v>7800</v>
      </c>
      <c r="Q90" s="862" t="s">
        <v>2282</v>
      </c>
      <c r="R90" s="861">
        <v>120000</v>
      </c>
      <c r="S90" s="862" t="s">
        <v>2280</v>
      </c>
      <c r="T90" s="863" t="s">
        <v>1750</v>
      </c>
      <c r="U90" s="864" t="s">
        <v>43</v>
      </c>
      <c r="V90" s="863" t="s">
        <v>1750</v>
      </c>
      <c r="W90" s="864" t="s">
        <v>43</v>
      </c>
      <c r="X90" s="861">
        <v>2000</v>
      </c>
      <c r="Y90" s="865" t="s">
        <v>179</v>
      </c>
      <c r="Z90" s="866" t="s">
        <v>43</v>
      </c>
      <c r="AA90" s="867">
        <v>0.41</v>
      </c>
      <c r="AB90" s="868" t="s">
        <v>179</v>
      </c>
      <c r="AC90" s="869" t="s">
        <v>1750</v>
      </c>
    </row>
    <row r="91" spans="1:29" ht="16.5" thickBot="1">
      <c r="A91" s="871" t="s">
        <v>503</v>
      </c>
      <c r="B91" s="807" t="s">
        <v>504</v>
      </c>
      <c r="C91" s="872" t="s">
        <v>1750</v>
      </c>
      <c r="D91" s="873" t="s">
        <v>43</v>
      </c>
      <c r="E91" s="847" t="s">
        <v>1750</v>
      </c>
      <c r="F91" s="873" t="s">
        <v>43</v>
      </c>
      <c r="G91" s="819">
        <v>2</v>
      </c>
      <c r="H91" s="874" t="s">
        <v>281</v>
      </c>
      <c r="I91" s="819">
        <v>30</v>
      </c>
      <c r="J91" s="874" t="s">
        <v>281</v>
      </c>
      <c r="K91" s="874" t="s">
        <v>1634</v>
      </c>
      <c r="L91" s="873" t="s">
        <v>43</v>
      </c>
      <c r="M91" s="874">
        <v>1</v>
      </c>
      <c r="N91" s="888" t="s">
        <v>1750</v>
      </c>
      <c r="O91" s="820">
        <v>21300</v>
      </c>
      <c r="P91" s="876">
        <v>130000</v>
      </c>
      <c r="Q91" s="877" t="s">
        <v>2280</v>
      </c>
      <c r="R91" s="876">
        <v>1500000</v>
      </c>
      <c r="S91" s="877" t="s">
        <v>2280</v>
      </c>
      <c r="T91" s="876">
        <v>31000</v>
      </c>
      <c r="U91" s="877" t="s">
        <v>179</v>
      </c>
      <c r="V91" s="876">
        <v>130000</v>
      </c>
      <c r="W91" s="877" t="s">
        <v>179</v>
      </c>
      <c r="X91" s="876">
        <v>24000</v>
      </c>
      <c r="Y91" s="880" t="s">
        <v>179</v>
      </c>
      <c r="Z91" s="881" t="s">
        <v>43</v>
      </c>
      <c r="AA91" s="882">
        <v>5</v>
      </c>
      <c r="AB91" s="883" t="s">
        <v>179</v>
      </c>
      <c r="AC91" s="884" t="s">
        <v>1750</v>
      </c>
    </row>
    <row r="92" spans="1:29" ht="15.75">
      <c r="A92" s="856" t="s">
        <v>505</v>
      </c>
      <c r="B92" s="792" t="s">
        <v>506</v>
      </c>
      <c r="C92" s="857" t="s">
        <v>1750</v>
      </c>
      <c r="D92" s="858" t="s">
        <v>43</v>
      </c>
      <c r="E92" s="843" t="s">
        <v>1750</v>
      </c>
      <c r="F92" s="858" t="s">
        <v>43</v>
      </c>
      <c r="G92" s="804">
        <v>0.05</v>
      </c>
      <c r="H92" s="859" t="s">
        <v>280</v>
      </c>
      <c r="I92" s="843" t="s">
        <v>1750</v>
      </c>
      <c r="J92" s="858" t="s">
        <v>43</v>
      </c>
      <c r="K92" s="859" t="s">
        <v>1634</v>
      </c>
      <c r="L92" s="858" t="s">
        <v>43</v>
      </c>
      <c r="M92" s="859">
        <v>1</v>
      </c>
      <c r="N92" s="870" t="s">
        <v>1750</v>
      </c>
      <c r="O92" s="860" t="s">
        <v>1750</v>
      </c>
      <c r="P92" s="861">
        <v>3900</v>
      </c>
      <c r="Q92" s="862" t="s">
        <v>179</v>
      </c>
      <c r="R92" s="861">
        <v>58000</v>
      </c>
      <c r="S92" s="862" t="s">
        <v>179</v>
      </c>
      <c r="T92" s="863" t="s">
        <v>1750</v>
      </c>
      <c r="U92" s="864" t="s">
        <v>43</v>
      </c>
      <c r="V92" s="863" t="s">
        <v>1750</v>
      </c>
      <c r="W92" s="864" t="s">
        <v>43</v>
      </c>
      <c r="X92" s="861">
        <v>460</v>
      </c>
      <c r="Y92" s="865" t="s">
        <v>179</v>
      </c>
      <c r="Z92" s="866" t="s">
        <v>43</v>
      </c>
      <c r="AA92" s="867">
        <v>0.45</v>
      </c>
      <c r="AB92" s="868" t="s">
        <v>179</v>
      </c>
      <c r="AC92" s="869" t="s">
        <v>1750</v>
      </c>
    </row>
    <row r="93" spans="1:29" ht="30.75">
      <c r="A93" s="856" t="s">
        <v>507</v>
      </c>
      <c r="B93" s="792" t="s">
        <v>508</v>
      </c>
      <c r="C93" s="889">
        <v>2.0000000000000001E-4</v>
      </c>
      <c r="D93" s="859" t="s">
        <v>3</v>
      </c>
      <c r="E93" s="804">
        <v>5.7000000000000001E-8</v>
      </c>
      <c r="F93" s="859" t="s">
        <v>3</v>
      </c>
      <c r="G93" s="843" t="s">
        <v>1750</v>
      </c>
      <c r="H93" s="858" t="s">
        <v>43</v>
      </c>
      <c r="I93" s="843" t="s">
        <v>1750</v>
      </c>
      <c r="J93" s="858" t="s">
        <v>43</v>
      </c>
      <c r="K93" s="858" t="s">
        <v>43</v>
      </c>
      <c r="L93" s="858" t="s">
        <v>43</v>
      </c>
      <c r="M93" s="859">
        <v>1</v>
      </c>
      <c r="N93" s="859">
        <v>0.1</v>
      </c>
      <c r="O93" s="860" t="s">
        <v>1750</v>
      </c>
      <c r="P93" s="861">
        <v>2700</v>
      </c>
      <c r="Q93" s="862" t="s">
        <v>2283</v>
      </c>
      <c r="R93" s="861">
        <v>11000</v>
      </c>
      <c r="S93" s="862" t="s">
        <v>2283</v>
      </c>
      <c r="T93" s="861">
        <v>49</v>
      </c>
      <c r="U93" s="862" t="s">
        <v>2283</v>
      </c>
      <c r="V93" s="861">
        <v>220</v>
      </c>
      <c r="W93" s="862" t="s">
        <v>2283</v>
      </c>
      <c r="X93" s="861">
        <v>150</v>
      </c>
      <c r="Y93" s="865" t="s">
        <v>2283</v>
      </c>
      <c r="Z93" s="866" t="s">
        <v>43</v>
      </c>
      <c r="AA93" s="867">
        <v>0.28999999999999998</v>
      </c>
      <c r="AB93" s="868" t="s">
        <v>2283</v>
      </c>
      <c r="AC93" s="869" t="s">
        <v>1750</v>
      </c>
    </row>
    <row r="94" spans="1:29" ht="31.5" thickBot="1">
      <c r="A94" s="871" t="s">
        <v>2106</v>
      </c>
      <c r="B94" s="807" t="s">
        <v>2107</v>
      </c>
      <c r="C94" s="890">
        <v>3.5999999999999999E-3</v>
      </c>
      <c r="D94" s="874" t="s">
        <v>281</v>
      </c>
      <c r="E94" s="847" t="s">
        <v>1750</v>
      </c>
      <c r="F94" s="873" t="s">
        <v>43</v>
      </c>
      <c r="G94" s="819">
        <v>0.3</v>
      </c>
      <c r="H94" s="874" t="s">
        <v>281</v>
      </c>
      <c r="I94" s="847" t="s">
        <v>1750</v>
      </c>
      <c r="J94" s="873" t="s">
        <v>43</v>
      </c>
      <c r="K94" s="873" t="s">
        <v>43</v>
      </c>
      <c r="L94" s="873" t="s">
        <v>43</v>
      </c>
      <c r="M94" s="874">
        <v>1</v>
      </c>
      <c r="N94" s="874">
        <v>0.1</v>
      </c>
      <c r="O94" s="875" t="s">
        <v>1750</v>
      </c>
      <c r="P94" s="876">
        <v>150</v>
      </c>
      <c r="Q94" s="877" t="s">
        <v>2283</v>
      </c>
      <c r="R94" s="876">
        <v>640</v>
      </c>
      <c r="S94" s="877" t="s">
        <v>2283</v>
      </c>
      <c r="T94" s="878" t="s">
        <v>1750</v>
      </c>
      <c r="U94" s="879" t="s">
        <v>43</v>
      </c>
      <c r="V94" s="878" t="s">
        <v>1750</v>
      </c>
      <c r="W94" s="879" t="s">
        <v>43</v>
      </c>
      <c r="X94" s="876">
        <v>3.4</v>
      </c>
      <c r="Y94" s="880" t="s">
        <v>2283</v>
      </c>
      <c r="Z94" s="881" t="s">
        <v>43</v>
      </c>
      <c r="AA94" s="882">
        <v>0.1</v>
      </c>
      <c r="AB94" s="883" t="s">
        <v>2283</v>
      </c>
      <c r="AC94" s="884" t="s">
        <v>1750</v>
      </c>
    </row>
    <row r="95" spans="1:29" ht="15.75">
      <c r="A95" s="856" t="s">
        <v>172</v>
      </c>
      <c r="B95" s="792" t="s">
        <v>1635</v>
      </c>
      <c r="C95" s="857" t="s">
        <v>1750</v>
      </c>
      <c r="D95" s="858" t="s">
        <v>43</v>
      </c>
      <c r="E95" s="843" t="s">
        <v>1750</v>
      </c>
      <c r="F95" s="858" t="s">
        <v>43</v>
      </c>
      <c r="G95" s="804">
        <v>0.05</v>
      </c>
      <c r="H95" s="859" t="s">
        <v>281</v>
      </c>
      <c r="I95" s="843" t="s">
        <v>1750</v>
      </c>
      <c r="J95" s="858" t="s">
        <v>43</v>
      </c>
      <c r="K95" s="859" t="s">
        <v>1634</v>
      </c>
      <c r="L95" s="858" t="s">
        <v>43</v>
      </c>
      <c r="M95" s="859">
        <v>1</v>
      </c>
      <c r="N95" s="870" t="s">
        <v>1750</v>
      </c>
      <c r="O95" s="805">
        <v>108</v>
      </c>
      <c r="P95" s="861">
        <v>3900</v>
      </c>
      <c r="Q95" s="862" t="s">
        <v>2282</v>
      </c>
      <c r="R95" s="861">
        <v>58000</v>
      </c>
      <c r="S95" s="862" t="s">
        <v>2282</v>
      </c>
      <c r="T95" s="863" t="s">
        <v>1750</v>
      </c>
      <c r="U95" s="864" t="s">
        <v>43</v>
      </c>
      <c r="V95" s="863" t="s">
        <v>1750</v>
      </c>
      <c r="W95" s="864" t="s">
        <v>43</v>
      </c>
      <c r="X95" s="861">
        <v>1000</v>
      </c>
      <c r="Y95" s="865" t="s">
        <v>179</v>
      </c>
      <c r="Z95" s="866" t="s">
        <v>43</v>
      </c>
      <c r="AA95" s="867">
        <v>3.2</v>
      </c>
      <c r="AB95" s="868" t="s">
        <v>179</v>
      </c>
      <c r="AC95" s="869" t="s">
        <v>1750</v>
      </c>
    </row>
    <row r="96" spans="1:29" ht="15.75">
      <c r="A96" s="856" t="s">
        <v>176</v>
      </c>
      <c r="B96" s="792" t="s">
        <v>1636</v>
      </c>
      <c r="C96" s="857" t="s">
        <v>1750</v>
      </c>
      <c r="D96" s="858" t="s">
        <v>43</v>
      </c>
      <c r="E96" s="843" t="s">
        <v>1750</v>
      </c>
      <c r="F96" s="858" t="s">
        <v>43</v>
      </c>
      <c r="G96" s="804">
        <v>0.1</v>
      </c>
      <c r="H96" s="859" t="s">
        <v>0</v>
      </c>
      <c r="I96" s="843" t="s">
        <v>1750</v>
      </c>
      <c r="J96" s="858" t="s">
        <v>43</v>
      </c>
      <c r="K96" s="859" t="s">
        <v>1634</v>
      </c>
      <c r="L96" s="858" t="s">
        <v>43</v>
      </c>
      <c r="M96" s="859">
        <v>1</v>
      </c>
      <c r="N96" s="870" t="s">
        <v>1750</v>
      </c>
      <c r="O96" s="805">
        <v>145</v>
      </c>
      <c r="P96" s="861">
        <v>7800</v>
      </c>
      <c r="Q96" s="862" t="s">
        <v>2282</v>
      </c>
      <c r="R96" s="861">
        <v>120000</v>
      </c>
      <c r="S96" s="862" t="s">
        <v>2280</v>
      </c>
      <c r="T96" s="863" t="s">
        <v>1750</v>
      </c>
      <c r="U96" s="864" t="s">
        <v>43</v>
      </c>
      <c r="V96" s="863" t="s">
        <v>1750</v>
      </c>
      <c r="W96" s="864" t="s">
        <v>43</v>
      </c>
      <c r="X96" s="861">
        <v>2000</v>
      </c>
      <c r="Y96" s="865" t="s">
        <v>179</v>
      </c>
      <c r="Z96" s="866" t="s">
        <v>43</v>
      </c>
      <c r="AA96" s="867">
        <v>5.9</v>
      </c>
      <c r="AB96" s="868" t="s">
        <v>179</v>
      </c>
      <c r="AC96" s="869" t="s">
        <v>1750</v>
      </c>
    </row>
    <row r="97" spans="1:29" ht="16.5" thickBot="1">
      <c r="A97" s="871" t="s">
        <v>177</v>
      </c>
      <c r="B97" s="807" t="s">
        <v>1637</v>
      </c>
      <c r="C97" s="872" t="s">
        <v>1750</v>
      </c>
      <c r="D97" s="873" t="s">
        <v>43</v>
      </c>
      <c r="E97" s="847" t="s">
        <v>1750</v>
      </c>
      <c r="F97" s="873" t="s">
        <v>43</v>
      </c>
      <c r="G97" s="819">
        <v>0.1</v>
      </c>
      <c r="H97" s="874" t="s">
        <v>0</v>
      </c>
      <c r="I97" s="847" t="s">
        <v>1750</v>
      </c>
      <c r="J97" s="873" t="s">
        <v>43</v>
      </c>
      <c r="K97" s="874" t="s">
        <v>1634</v>
      </c>
      <c r="L97" s="873" t="s">
        <v>43</v>
      </c>
      <c r="M97" s="874">
        <v>1</v>
      </c>
      <c r="N97" s="888" t="s">
        <v>1750</v>
      </c>
      <c r="O97" s="820">
        <v>183</v>
      </c>
      <c r="P97" s="876">
        <v>7800</v>
      </c>
      <c r="Q97" s="877" t="s">
        <v>2282</v>
      </c>
      <c r="R97" s="876">
        <v>120000</v>
      </c>
      <c r="S97" s="877" t="s">
        <v>2280</v>
      </c>
      <c r="T97" s="878" t="s">
        <v>1750</v>
      </c>
      <c r="U97" s="879" t="s">
        <v>43</v>
      </c>
      <c r="V97" s="878" t="s">
        <v>1750</v>
      </c>
      <c r="W97" s="879" t="s">
        <v>43</v>
      </c>
      <c r="X97" s="876">
        <v>690</v>
      </c>
      <c r="Y97" s="880" t="s">
        <v>179</v>
      </c>
      <c r="Z97" s="881" t="s">
        <v>43</v>
      </c>
      <c r="AA97" s="882">
        <v>1.6</v>
      </c>
      <c r="AB97" s="883" t="s">
        <v>179</v>
      </c>
      <c r="AC97" s="884" t="s">
        <v>1750</v>
      </c>
    </row>
    <row r="98" spans="1:29" ht="15.75">
      <c r="A98" s="856" t="s">
        <v>510</v>
      </c>
      <c r="B98" s="792" t="s">
        <v>511</v>
      </c>
      <c r="C98" s="857" t="s">
        <v>1750</v>
      </c>
      <c r="D98" s="858" t="s">
        <v>43</v>
      </c>
      <c r="E98" s="843" t="s">
        <v>1750</v>
      </c>
      <c r="F98" s="858" t="s">
        <v>43</v>
      </c>
      <c r="G98" s="804">
        <v>0.02</v>
      </c>
      <c r="H98" s="859" t="s">
        <v>18</v>
      </c>
      <c r="I98" s="843" t="s">
        <v>1750</v>
      </c>
      <c r="J98" s="858" t="s">
        <v>43</v>
      </c>
      <c r="K98" s="858" t="s">
        <v>43</v>
      </c>
      <c r="L98" s="858" t="s">
        <v>43</v>
      </c>
      <c r="M98" s="859">
        <v>1</v>
      </c>
      <c r="N98" s="859">
        <v>0.1</v>
      </c>
      <c r="O98" s="860" t="s">
        <v>1750</v>
      </c>
      <c r="P98" s="861">
        <v>1300</v>
      </c>
      <c r="Q98" s="862" t="s">
        <v>179</v>
      </c>
      <c r="R98" s="861">
        <v>16000</v>
      </c>
      <c r="S98" s="862" t="s">
        <v>179</v>
      </c>
      <c r="T98" s="863" t="s">
        <v>1750</v>
      </c>
      <c r="U98" s="864" t="s">
        <v>43</v>
      </c>
      <c r="V98" s="863" t="s">
        <v>1750</v>
      </c>
      <c r="W98" s="864" t="s">
        <v>43</v>
      </c>
      <c r="X98" s="861">
        <v>400</v>
      </c>
      <c r="Y98" s="865" t="s">
        <v>179</v>
      </c>
      <c r="Z98" s="866" t="s">
        <v>43</v>
      </c>
      <c r="AA98" s="867">
        <v>0.11</v>
      </c>
      <c r="AB98" s="868" t="s">
        <v>179</v>
      </c>
      <c r="AC98" s="869" t="s">
        <v>1750</v>
      </c>
    </row>
    <row r="99" spans="1:29" ht="15.75">
      <c r="A99" s="856" t="s">
        <v>512</v>
      </c>
      <c r="B99" s="792" t="s">
        <v>513</v>
      </c>
      <c r="C99" s="857" t="s">
        <v>1750</v>
      </c>
      <c r="D99" s="858" t="s">
        <v>43</v>
      </c>
      <c r="E99" s="804">
        <v>1.8E-3</v>
      </c>
      <c r="F99" s="859" t="s">
        <v>280</v>
      </c>
      <c r="G99" s="804">
        <v>1E-3</v>
      </c>
      <c r="H99" s="859" t="s">
        <v>280</v>
      </c>
      <c r="I99" s="804">
        <v>1.0000000000000001E-5</v>
      </c>
      <c r="J99" s="859" t="s">
        <v>18</v>
      </c>
      <c r="K99" s="858" t="s">
        <v>43</v>
      </c>
      <c r="L99" s="858" t="s">
        <v>43</v>
      </c>
      <c r="M99" s="859">
        <v>2.5000000000000001E-2</v>
      </c>
      <c r="N99" s="859">
        <v>1E-3</v>
      </c>
      <c r="O99" s="860" t="s">
        <v>1750</v>
      </c>
      <c r="P99" s="861">
        <v>71</v>
      </c>
      <c r="Q99" s="862" t="s">
        <v>179</v>
      </c>
      <c r="R99" s="861">
        <v>980</v>
      </c>
      <c r="S99" s="862" t="s">
        <v>179</v>
      </c>
      <c r="T99" s="863" t="s">
        <v>1750</v>
      </c>
      <c r="U99" s="864" t="s">
        <v>43</v>
      </c>
      <c r="V99" s="863" t="s">
        <v>1750</v>
      </c>
      <c r="W99" s="864" t="s">
        <v>43</v>
      </c>
      <c r="X99" s="863" t="s">
        <v>1750</v>
      </c>
      <c r="Y99" s="885" t="s">
        <v>43</v>
      </c>
      <c r="Z99" s="866" t="s">
        <v>43</v>
      </c>
      <c r="AA99" s="886" t="s">
        <v>1750</v>
      </c>
      <c r="AB99" s="887" t="s">
        <v>43</v>
      </c>
      <c r="AC99" s="869" t="s">
        <v>1750</v>
      </c>
    </row>
    <row r="100" spans="1:29" ht="16.5" thickBot="1">
      <c r="A100" s="871" t="s">
        <v>514</v>
      </c>
      <c r="B100" s="807" t="s">
        <v>513</v>
      </c>
      <c r="C100" s="872" t="s">
        <v>1750</v>
      </c>
      <c r="D100" s="873" t="s">
        <v>43</v>
      </c>
      <c r="E100" s="819">
        <v>1.8E-3</v>
      </c>
      <c r="F100" s="874" t="s">
        <v>280</v>
      </c>
      <c r="G100" s="819">
        <v>5.0000000000000001E-4</v>
      </c>
      <c r="H100" s="874" t="s">
        <v>280</v>
      </c>
      <c r="I100" s="819">
        <v>1.0000000000000001E-5</v>
      </c>
      <c r="J100" s="874" t="s">
        <v>18</v>
      </c>
      <c r="K100" s="873" t="s">
        <v>43</v>
      </c>
      <c r="L100" s="873" t="s">
        <v>43</v>
      </c>
      <c r="M100" s="874">
        <v>0.05</v>
      </c>
      <c r="N100" s="874">
        <v>1E-3</v>
      </c>
      <c r="O100" s="875" t="s">
        <v>1750</v>
      </c>
      <c r="P100" s="878" t="s">
        <v>1750</v>
      </c>
      <c r="Q100" s="879" t="s">
        <v>43</v>
      </c>
      <c r="R100" s="878" t="s">
        <v>1750</v>
      </c>
      <c r="S100" s="879" t="s">
        <v>43</v>
      </c>
      <c r="T100" s="876">
        <v>1.6000000000000001E-3</v>
      </c>
      <c r="U100" s="877" t="s">
        <v>2278</v>
      </c>
      <c r="V100" s="876">
        <v>6.7999999999999996E-3</v>
      </c>
      <c r="W100" s="877" t="s">
        <v>2278</v>
      </c>
      <c r="X100" s="876">
        <v>9.1999999999999993</v>
      </c>
      <c r="Y100" s="880" t="s">
        <v>179</v>
      </c>
      <c r="Z100" s="893">
        <v>5</v>
      </c>
      <c r="AA100" s="882">
        <v>0.69</v>
      </c>
      <c r="AB100" s="883" t="s">
        <v>179</v>
      </c>
      <c r="AC100" s="894">
        <v>0.38</v>
      </c>
    </row>
    <row r="101" spans="1:29" ht="30.75">
      <c r="A101" s="856" t="s">
        <v>2213</v>
      </c>
      <c r="B101" s="792" t="s">
        <v>2214</v>
      </c>
      <c r="C101" s="889">
        <v>0.5</v>
      </c>
      <c r="D101" s="859" t="s">
        <v>3</v>
      </c>
      <c r="E101" s="804">
        <v>0.15</v>
      </c>
      <c r="F101" s="859" t="s">
        <v>3</v>
      </c>
      <c r="G101" s="804">
        <v>0.02</v>
      </c>
      <c r="H101" s="859" t="s">
        <v>3</v>
      </c>
      <c r="I101" s="804">
        <v>2.0000000000000001E-4</v>
      </c>
      <c r="J101" s="859" t="s">
        <v>3</v>
      </c>
      <c r="K101" s="858" t="s">
        <v>43</v>
      </c>
      <c r="L101" s="859" t="s">
        <v>247</v>
      </c>
      <c r="M101" s="859">
        <v>2.5000000000000001E-2</v>
      </c>
      <c r="N101" s="870" t="s">
        <v>1750</v>
      </c>
      <c r="O101" s="860" t="s">
        <v>1750</v>
      </c>
      <c r="P101" s="861">
        <v>0.3</v>
      </c>
      <c r="Q101" s="862" t="s">
        <v>2283</v>
      </c>
      <c r="R101" s="861">
        <v>6.2</v>
      </c>
      <c r="S101" s="862" t="s">
        <v>2283</v>
      </c>
      <c r="T101" s="861">
        <v>6.8000000000000001E-6</v>
      </c>
      <c r="U101" s="862" t="s">
        <v>2283</v>
      </c>
      <c r="V101" s="861">
        <v>8.2000000000000001E-5</v>
      </c>
      <c r="W101" s="862" t="s">
        <v>2283</v>
      </c>
      <c r="X101" s="861">
        <v>4.1000000000000002E-2</v>
      </c>
      <c r="Y101" s="865" t="s">
        <v>2283</v>
      </c>
      <c r="Z101" s="866" t="s">
        <v>43</v>
      </c>
      <c r="AA101" s="886" t="s">
        <v>1750</v>
      </c>
      <c r="AB101" s="868" t="s">
        <v>2283</v>
      </c>
      <c r="AC101" s="869" t="s">
        <v>1750</v>
      </c>
    </row>
    <row r="102" spans="1:29" ht="15.75">
      <c r="A102" s="856" t="s">
        <v>515</v>
      </c>
      <c r="B102" s="792" t="s">
        <v>516</v>
      </c>
      <c r="C102" s="857" t="s">
        <v>1750</v>
      </c>
      <c r="D102" s="858" t="s">
        <v>43</v>
      </c>
      <c r="E102" s="843" t="s">
        <v>1750</v>
      </c>
      <c r="F102" s="858" t="s">
        <v>43</v>
      </c>
      <c r="G102" s="804">
        <v>0.5</v>
      </c>
      <c r="H102" s="859" t="s">
        <v>280</v>
      </c>
      <c r="I102" s="804">
        <v>2.2000000000000001E-3</v>
      </c>
      <c r="J102" s="859" t="s">
        <v>3</v>
      </c>
      <c r="K102" s="858" t="s">
        <v>43</v>
      </c>
      <c r="L102" s="858" t="s">
        <v>43</v>
      </c>
      <c r="M102" s="859">
        <v>1</v>
      </c>
      <c r="N102" s="859">
        <v>0.1</v>
      </c>
      <c r="O102" s="860" t="s">
        <v>1750</v>
      </c>
      <c r="P102" s="861">
        <v>31000</v>
      </c>
      <c r="Q102" s="862" t="s">
        <v>179</v>
      </c>
      <c r="R102" s="861">
        <v>400000</v>
      </c>
      <c r="S102" s="862" t="s">
        <v>2281</v>
      </c>
      <c r="T102" s="861">
        <v>2.2999999999999998</v>
      </c>
      <c r="U102" s="862" t="s">
        <v>179</v>
      </c>
      <c r="V102" s="861">
        <v>9.6</v>
      </c>
      <c r="W102" s="862" t="s">
        <v>179</v>
      </c>
      <c r="X102" s="861">
        <v>9900</v>
      </c>
      <c r="Y102" s="865" t="s">
        <v>179</v>
      </c>
      <c r="Z102" s="866" t="s">
        <v>43</v>
      </c>
      <c r="AA102" s="867">
        <v>2.5</v>
      </c>
      <c r="AB102" s="868" t="s">
        <v>179</v>
      </c>
      <c r="AC102" s="869" t="s">
        <v>1750</v>
      </c>
    </row>
    <row r="103" spans="1:29" ht="16.5" thickBot="1">
      <c r="A103" s="871" t="s">
        <v>517</v>
      </c>
      <c r="B103" s="807" t="s">
        <v>518</v>
      </c>
      <c r="C103" s="890">
        <v>0.15</v>
      </c>
      <c r="D103" s="874" t="s">
        <v>3</v>
      </c>
      <c r="E103" s="819">
        <v>4.3000000000000002E-5</v>
      </c>
      <c r="F103" s="874" t="s">
        <v>3</v>
      </c>
      <c r="G103" s="819">
        <v>2E-3</v>
      </c>
      <c r="H103" s="874" t="s">
        <v>280</v>
      </c>
      <c r="I103" s="847" t="s">
        <v>1750</v>
      </c>
      <c r="J103" s="873" t="s">
        <v>43</v>
      </c>
      <c r="K103" s="873" t="s">
        <v>43</v>
      </c>
      <c r="L103" s="873" t="s">
        <v>43</v>
      </c>
      <c r="M103" s="874">
        <v>1</v>
      </c>
      <c r="N103" s="874">
        <v>0.1</v>
      </c>
      <c r="O103" s="875" t="s">
        <v>1750</v>
      </c>
      <c r="P103" s="876">
        <v>3.6</v>
      </c>
      <c r="Q103" s="877" t="s">
        <v>2279</v>
      </c>
      <c r="R103" s="876">
        <v>15</v>
      </c>
      <c r="S103" s="877" t="s">
        <v>2283</v>
      </c>
      <c r="T103" s="876">
        <v>6.5000000000000002E-2</v>
      </c>
      <c r="U103" s="877" t="s">
        <v>2283</v>
      </c>
      <c r="V103" s="876">
        <v>0.28999999999999998</v>
      </c>
      <c r="W103" s="877" t="s">
        <v>2283</v>
      </c>
      <c r="X103" s="876">
        <v>0.4</v>
      </c>
      <c r="Y103" s="880" t="s">
        <v>2279</v>
      </c>
      <c r="Z103" s="881" t="s">
        <v>43</v>
      </c>
      <c r="AA103" s="882">
        <v>7.1000000000000002E-4</v>
      </c>
      <c r="AB103" s="883" t="s">
        <v>2279</v>
      </c>
      <c r="AC103" s="884" t="s">
        <v>1750</v>
      </c>
    </row>
    <row r="104" spans="1:29" ht="15.75">
      <c r="A104" s="856" t="s">
        <v>519</v>
      </c>
      <c r="B104" s="792" t="s">
        <v>520</v>
      </c>
      <c r="C104" s="889">
        <v>2.3E-3</v>
      </c>
      <c r="D104" s="859" t="s">
        <v>3</v>
      </c>
      <c r="E104" s="804">
        <v>6.6000000000000003E-7</v>
      </c>
      <c r="F104" s="859" t="s">
        <v>3</v>
      </c>
      <c r="G104" s="804">
        <v>0.13</v>
      </c>
      <c r="H104" s="859" t="s">
        <v>280</v>
      </c>
      <c r="I104" s="843" t="s">
        <v>1750</v>
      </c>
      <c r="J104" s="858" t="s">
        <v>43</v>
      </c>
      <c r="K104" s="858" t="s">
        <v>43</v>
      </c>
      <c r="L104" s="858" t="s">
        <v>43</v>
      </c>
      <c r="M104" s="859">
        <v>1</v>
      </c>
      <c r="N104" s="859">
        <v>0.1</v>
      </c>
      <c r="O104" s="860" t="s">
        <v>1750</v>
      </c>
      <c r="P104" s="861">
        <v>240</v>
      </c>
      <c r="Q104" s="862" t="s">
        <v>2279</v>
      </c>
      <c r="R104" s="861">
        <v>1000</v>
      </c>
      <c r="S104" s="862" t="s">
        <v>2283</v>
      </c>
      <c r="T104" s="861">
        <v>4.3</v>
      </c>
      <c r="U104" s="862" t="s">
        <v>2283</v>
      </c>
      <c r="V104" s="861">
        <v>19</v>
      </c>
      <c r="W104" s="862" t="s">
        <v>2283</v>
      </c>
      <c r="X104" s="861">
        <v>31</v>
      </c>
      <c r="Y104" s="865" t="s">
        <v>2279</v>
      </c>
      <c r="Z104" s="866" t="s">
        <v>43</v>
      </c>
      <c r="AA104" s="867">
        <v>2.1999999999999999E-2</v>
      </c>
      <c r="AB104" s="868" t="s">
        <v>2279</v>
      </c>
      <c r="AC104" s="869" t="s">
        <v>1750</v>
      </c>
    </row>
    <row r="105" spans="1:29" ht="15.75">
      <c r="A105" s="856" t="s">
        <v>521</v>
      </c>
      <c r="B105" s="792" t="s">
        <v>522</v>
      </c>
      <c r="C105" s="857" t="s">
        <v>1750</v>
      </c>
      <c r="D105" s="858" t="s">
        <v>43</v>
      </c>
      <c r="E105" s="843" t="s">
        <v>1750</v>
      </c>
      <c r="F105" s="858" t="s">
        <v>43</v>
      </c>
      <c r="G105" s="804">
        <v>0.1</v>
      </c>
      <c r="H105" s="859" t="s">
        <v>280</v>
      </c>
      <c r="I105" s="843" t="s">
        <v>1750</v>
      </c>
      <c r="J105" s="858" t="s">
        <v>43</v>
      </c>
      <c r="K105" s="858" t="s">
        <v>43</v>
      </c>
      <c r="L105" s="858" t="s">
        <v>43</v>
      </c>
      <c r="M105" s="859">
        <v>1</v>
      </c>
      <c r="N105" s="859">
        <v>0.1</v>
      </c>
      <c r="O105" s="860" t="s">
        <v>1750</v>
      </c>
      <c r="P105" s="861">
        <v>6300</v>
      </c>
      <c r="Q105" s="862" t="s">
        <v>179</v>
      </c>
      <c r="R105" s="861">
        <v>82000</v>
      </c>
      <c r="S105" s="862" t="s">
        <v>179</v>
      </c>
      <c r="T105" s="863" t="s">
        <v>1750</v>
      </c>
      <c r="U105" s="864" t="s">
        <v>43</v>
      </c>
      <c r="V105" s="863" t="s">
        <v>1750</v>
      </c>
      <c r="W105" s="864" t="s">
        <v>43</v>
      </c>
      <c r="X105" s="861">
        <v>1800</v>
      </c>
      <c r="Y105" s="865" t="s">
        <v>179</v>
      </c>
      <c r="Z105" s="866" t="s">
        <v>43</v>
      </c>
      <c r="AA105" s="867">
        <v>1.7</v>
      </c>
      <c r="AB105" s="868" t="s">
        <v>179</v>
      </c>
      <c r="AC105" s="869" t="s">
        <v>1750</v>
      </c>
    </row>
    <row r="106" spans="1:29" ht="16.5" thickBot="1">
      <c r="A106" s="871" t="s">
        <v>523</v>
      </c>
      <c r="B106" s="807" t="s">
        <v>524</v>
      </c>
      <c r="C106" s="872" t="s">
        <v>1750</v>
      </c>
      <c r="D106" s="873" t="s">
        <v>43</v>
      </c>
      <c r="E106" s="847" t="s">
        <v>1750</v>
      </c>
      <c r="F106" s="873" t="s">
        <v>43</v>
      </c>
      <c r="G106" s="819">
        <v>5.0000000000000001E-3</v>
      </c>
      <c r="H106" s="874" t="s">
        <v>280</v>
      </c>
      <c r="I106" s="847" t="s">
        <v>1750</v>
      </c>
      <c r="J106" s="873" t="s">
        <v>43</v>
      </c>
      <c r="K106" s="873" t="s">
        <v>43</v>
      </c>
      <c r="L106" s="873" t="s">
        <v>43</v>
      </c>
      <c r="M106" s="874">
        <v>1</v>
      </c>
      <c r="N106" s="874">
        <v>0.1</v>
      </c>
      <c r="O106" s="875" t="s">
        <v>1750</v>
      </c>
      <c r="P106" s="876">
        <v>320</v>
      </c>
      <c r="Q106" s="877" t="s">
        <v>179</v>
      </c>
      <c r="R106" s="876">
        <v>4100</v>
      </c>
      <c r="S106" s="877" t="s">
        <v>179</v>
      </c>
      <c r="T106" s="878" t="s">
        <v>1750</v>
      </c>
      <c r="U106" s="879" t="s">
        <v>43</v>
      </c>
      <c r="V106" s="878" t="s">
        <v>1750</v>
      </c>
      <c r="W106" s="879" t="s">
        <v>43</v>
      </c>
      <c r="X106" s="876">
        <v>94</v>
      </c>
      <c r="Y106" s="880" t="s">
        <v>179</v>
      </c>
      <c r="Z106" s="893">
        <v>40</v>
      </c>
      <c r="AA106" s="882">
        <v>3.6999999999999998E-2</v>
      </c>
      <c r="AB106" s="883" t="s">
        <v>179</v>
      </c>
      <c r="AC106" s="894">
        <v>1.6E-2</v>
      </c>
    </row>
    <row r="107" spans="1:29" ht="15.75">
      <c r="A107" s="856" t="s">
        <v>525</v>
      </c>
      <c r="B107" s="792" t="s">
        <v>526</v>
      </c>
      <c r="C107" s="857" t="s">
        <v>1750</v>
      </c>
      <c r="D107" s="858" t="s">
        <v>43</v>
      </c>
      <c r="E107" s="843" t="s">
        <v>1750</v>
      </c>
      <c r="F107" s="858" t="s">
        <v>43</v>
      </c>
      <c r="G107" s="804">
        <v>0.1</v>
      </c>
      <c r="H107" s="859" t="s">
        <v>280</v>
      </c>
      <c r="I107" s="804">
        <v>0.7</v>
      </c>
      <c r="J107" s="859" t="s">
        <v>280</v>
      </c>
      <c r="K107" s="859" t="s">
        <v>1634</v>
      </c>
      <c r="L107" s="858" t="s">
        <v>43</v>
      </c>
      <c r="M107" s="859">
        <v>1</v>
      </c>
      <c r="N107" s="870" t="s">
        <v>1750</v>
      </c>
      <c r="O107" s="805">
        <v>738</v>
      </c>
      <c r="P107" s="861">
        <v>770</v>
      </c>
      <c r="Q107" s="862" t="s">
        <v>2282</v>
      </c>
      <c r="R107" s="861">
        <v>3500</v>
      </c>
      <c r="S107" s="862" t="s">
        <v>2282</v>
      </c>
      <c r="T107" s="861">
        <v>730</v>
      </c>
      <c r="U107" s="862" t="s">
        <v>179</v>
      </c>
      <c r="V107" s="861">
        <v>3100</v>
      </c>
      <c r="W107" s="862" t="s">
        <v>179</v>
      </c>
      <c r="X107" s="861">
        <v>810</v>
      </c>
      <c r="Y107" s="865" t="s">
        <v>179</v>
      </c>
      <c r="Z107" s="866" t="s">
        <v>43</v>
      </c>
      <c r="AA107" s="867">
        <v>0.24</v>
      </c>
      <c r="AB107" s="868" t="s">
        <v>179</v>
      </c>
      <c r="AC107" s="869" t="s">
        <v>1750</v>
      </c>
    </row>
    <row r="108" spans="1:29" ht="30.75">
      <c r="A108" s="856" t="s">
        <v>527</v>
      </c>
      <c r="B108" s="792" t="s">
        <v>528</v>
      </c>
      <c r="C108" s="889">
        <v>7.0000000000000007E-2</v>
      </c>
      <c r="D108" s="859" t="s">
        <v>280</v>
      </c>
      <c r="E108" s="804">
        <v>6.0000000000000002E-6</v>
      </c>
      <c r="F108" s="859" t="s">
        <v>280</v>
      </c>
      <c r="G108" s="804">
        <v>4.0000000000000001E-3</v>
      </c>
      <c r="H108" s="859" t="s">
        <v>280</v>
      </c>
      <c r="I108" s="804">
        <v>0.1</v>
      </c>
      <c r="J108" s="859" t="s">
        <v>280</v>
      </c>
      <c r="K108" s="859" t="s">
        <v>1634</v>
      </c>
      <c r="L108" s="858" t="s">
        <v>43</v>
      </c>
      <c r="M108" s="859">
        <v>1</v>
      </c>
      <c r="N108" s="870" t="s">
        <v>1750</v>
      </c>
      <c r="O108" s="805">
        <v>458</v>
      </c>
      <c r="P108" s="861">
        <v>0.65</v>
      </c>
      <c r="Q108" s="862" t="s">
        <v>2283</v>
      </c>
      <c r="R108" s="861">
        <v>2.9</v>
      </c>
      <c r="S108" s="862" t="s">
        <v>2283</v>
      </c>
      <c r="T108" s="861">
        <v>0.47</v>
      </c>
      <c r="U108" s="862" t="s">
        <v>2283</v>
      </c>
      <c r="V108" s="861">
        <v>2</v>
      </c>
      <c r="W108" s="862" t="s">
        <v>2283</v>
      </c>
      <c r="X108" s="861">
        <v>0.46</v>
      </c>
      <c r="Y108" s="865" t="s">
        <v>2283</v>
      </c>
      <c r="Z108" s="891">
        <v>5</v>
      </c>
      <c r="AA108" s="867">
        <v>1.8000000000000001E-4</v>
      </c>
      <c r="AB108" s="868" t="s">
        <v>2283</v>
      </c>
      <c r="AC108" s="892">
        <v>1.9E-3</v>
      </c>
    </row>
    <row r="109" spans="1:29" ht="16.5" thickBot="1">
      <c r="A109" s="871" t="s">
        <v>2193</v>
      </c>
      <c r="B109" s="807" t="s">
        <v>2198</v>
      </c>
      <c r="C109" s="872" t="s">
        <v>1750</v>
      </c>
      <c r="D109" s="873" t="s">
        <v>43</v>
      </c>
      <c r="E109" s="847" t="s">
        <v>1750</v>
      </c>
      <c r="F109" s="873" t="s">
        <v>43</v>
      </c>
      <c r="G109" s="847" t="s">
        <v>1750</v>
      </c>
      <c r="H109" s="873" t="s">
        <v>43</v>
      </c>
      <c r="I109" s="819">
        <v>0.1</v>
      </c>
      <c r="J109" s="874" t="s">
        <v>281</v>
      </c>
      <c r="K109" s="874" t="s">
        <v>1634</v>
      </c>
      <c r="L109" s="873" t="s">
        <v>43</v>
      </c>
      <c r="M109" s="874">
        <v>1</v>
      </c>
      <c r="N109" s="888" t="s">
        <v>1750</v>
      </c>
      <c r="O109" s="820">
        <v>5890</v>
      </c>
      <c r="P109" s="876">
        <v>67</v>
      </c>
      <c r="Q109" s="877" t="s">
        <v>179</v>
      </c>
      <c r="R109" s="876">
        <v>280</v>
      </c>
      <c r="S109" s="877" t="s">
        <v>179</v>
      </c>
      <c r="T109" s="876">
        <v>100</v>
      </c>
      <c r="U109" s="877" t="s">
        <v>179</v>
      </c>
      <c r="V109" s="876">
        <v>440</v>
      </c>
      <c r="W109" s="877" t="s">
        <v>179</v>
      </c>
      <c r="X109" s="876">
        <v>210</v>
      </c>
      <c r="Y109" s="880" t="s">
        <v>179</v>
      </c>
      <c r="Z109" s="881" t="s">
        <v>43</v>
      </c>
      <c r="AA109" s="882">
        <v>0.51</v>
      </c>
      <c r="AB109" s="883" t="s">
        <v>179</v>
      </c>
      <c r="AC109" s="884" t="s">
        <v>1750</v>
      </c>
    </row>
    <row r="110" spans="1:29" ht="30.75">
      <c r="A110" s="856" t="s">
        <v>529</v>
      </c>
      <c r="B110" s="792" t="s">
        <v>530</v>
      </c>
      <c r="C110" s="857" t="s">
        <v>1750</v>
      </c>
      <c r="D110" s="858" t="s">
        <v>43</v>
      </c>
      <c r="E110" s="843" t="s">
        <v>1750</v>
      </c>
      <c r="F110" s="858" t="s">
        <v>43</v>
      </c>
      <c r="G110" s="804">
        <v>0.01</v>
      </c>
      <c r="H110" s="859" t="s">
        <v>280</v>
      </c>
      <c r="I110" s="843" t="s">
        <v>1750</v>
      </c>
      <c r="J110" s="858" t="s">
        <v>43</v>
      </c>
      <c r="K110" s="858" t="s">
        <v>43</v>
      </c>
      <c r="L110" s="858" t="s">
        <v>43</v>
      </c>
      <c r="M110" s="859">
        <v>1</v>
      </c>
      <c r="N110" s="859">
        <v>0.1</v>
      </c>
      <c r="O110" s="860" t="s">
        <v>1750</v>
      </c>
      <c r="P110" s="861">
        <v>630</v>
      </c>
      <c r="Q110" s="862" t="s">
        <v>179</v>
      </c>
      <c r="R110" s="861">
        <v>8200</v>
      </c>
      <c r="S110" s="862" t="s">
        <v>179</v>
      </c>
      <c r="T110" s="863" t="s">
        <v>1750</v>
      </c>
      <c r="U110" s="864" t="s">
        <v>43</v>
      </c>
      <c r="V110" s="863" t="s">
        <v>1750</v>
      </c>
      <c r="W110" s="864" t="s">
        <v>43</v>
      </c>
      <c r="X110" s="861">
        <v>51</v>
      </c>
      <c r="Y110" s="865" t="s">
        <v>179</v>
      </c>
      <c r="Z110" s="866" t="s">
        <v>43</v>
      </c>
      <c r="AA110" s="867">
        <v>1.2</v>
      </c>
      <c r="AB110" s="868" t="s">
        <v>179</v>
      </c>
      <c r="AC110" s="869" t="s">
        <v>1750</v>
      </c>
    </row>
    <row r="111" spans="1:29" ht="15.75">
      <c r="A111" s="856" t="s">
        <v>531</v>
      </c>
      <c r="B111" s="792" t="s">
        <v>532</v>
      </c>
      <c r="C111" s="857" t="s">
        <v>1750</v>
      </c>
      <c r="D111" s="858" t="s">
        <v>43</v>
      </c>
      <c r="E111" s="843" t="s">
        <v>1750</v>
      </c>
      <c r="F111" s="858" t="s">
        <v>43</v>
      </c>
      <c r="G111" s="804">
        <v>0.1</v>
      </c>
      <c r="H111" s="859" t="s">
        <v>280</v>
      </c>
      <c r="I111" s="843" t="s">
        <v>1750</v>
      </c>
      <c r="J111" s="858" t="s">
        <v>43</v>
      </c>
      <c r="K111" s="858" t="s">
        <v>43</v>
      </c>
      <c r="L111" s="858" t="s">
        <v>43</v>
      </c>
      <c r="M111" s="859">
        <v>1</v>
      </c>
      <c r="N111" s="859">
        <v>0.1</v>
      </c>
      <c r="O111" s="860" t="s">
        <v>1750</v>
      </c>
      <c r="P111" s="861">
        <v>6300</v>
      </c>
      <c r="Q111" s="862" t="s">
        <v>179</v>
      </c>
      <c r="R111" s="861">
        <v>82000</v>
      </c>
      <c r="S111" s="862" t="s">
        <v>179</v>
      </c>
      <c r="T111" s="863" t="s">
        <v>1750</v>
      </c>
      <c r="U111" s="864" t="s">
        <v>43</v>
      </c>
      <c r="V111" s="863" t="s">
        <v>1750</v>
      </c>
      <c r="W111" s="864" t="s">
        <v>43</v>
      </c>
      <c r="X111" s="861">
        <v>1900</v>
      </c>
      <c r="Y111" s="865" t="s">
        <v>179</v>
      </c>
      <c r="Z111" s="866" t="s">
        <v>43</v>
      </c>
      <c r="AA111" s="867">
        <v>1</v>
      </c>
      <c r="AB111" s="868" t="s">
        <v>179</v>
      </c>
      <c r="AC111" s="869" t="s">
        <v>1750</v>
      </c>
    </row>
    <row r="112" spans="1:29" ht="16.5" thickBot="1">
      <c r="A112" s="871" t="s">
        <v>533</v>
      </c>
      <c r="B112" s="807" t="s">
        <v>534</v>
      </c>
      <c r="C112" s="872" t="s">
        <v>1750</v>
      </c>
      <c r="D112" s="873" t="s">
        <v>43</v>
      </c>
      <c r="E112" s="847" t="s">
        <v>1750</v>
      </c>
      <c r="F112" s="873" t="s">
        <v>43</v>
      </c>
      <c r="G112" s="847" t="s">
        <v>1750</v>
      </c>
      <c r="H112" s="873" t="s">
        <v>43</v>
      </c>
      <c r="I112" s="819">
        <v>8.9999999999999998E-4</v>
      </c>
      <c r="J112" s="874" t="s">
        <v>280</v>
      </c>
      <c r="K112" s="873" t="s">
        <v>43</v>
      </c>
      <c r="L112" s="873" t="s">
        <v>43</v>
      </c>
      <c r="M112" s="874">
        <v>1</v>
      </c>
      <c r="N112" s="888" t="s">
        <v>1750</v>
      </c>
      <c r="O112" s="875" t="s">
        <v>1750</v>
      </c>
      <c r="P112" s="876">
        <v>1300000</v>
      </c>
      <c r="Q112" s="877" t="s">
        <v>2281</v>
      </c>
      <c r="R112" s="876">
        <v>5400000</v>
      </c>
      <c r="S112" s="877" t="s">
        <v>2281</v>
      </c>
      <c r="T112" s="876">
        <v>0.94</v>
      </c>
      <c r="U112" s="877" t="s">
        <v>179</v>
      </c>
      <c r="V112" s="876">
        <v>3.9</v>
      </c>
      <c r="W112" s="877" t="s">
        <v>179</v>
      </c>
      <c r="X112" s="878" t="s">
        <v>1750</v>
      </c>
      <c r="Y112" s="896" t="s">
        <v>43</v>
      </c>
      <c r="Z112" s="881" t="s">
        <v>43</v>
      </c>
      <c r="AA112" s="895" t="s">
        <v>1750</v>
      </c>
      <c r="AB112" s="897" t="s">
        <v>43</v>
      </c>
      <c r="AC112" s="884" t="s">
        <v>1750</v>
      </c>
    </row>
    <row r="113" spans="1:29" ht="15.75">
      <c r="A113" s="856" t="s">
        <v>535</v>
      </c>
      <c r="B113" s="792" t="s">
        <v>536</v>
      </c>
      <c r="C113" s="857" t="s">
        <v>1750</v>
      </c>
      <c r="D113" s="858" t="s">
        <v>43</v>
      </c>
      <c r="E113" s="843" t="s">
        <v>1750</v>
      </c>
      <c r="F113" s="858" t="s">
        <v>43</v>
      </c>
      <c r="G113" s="804">
        <v>0.1</v>
      </c>
      <c r="H113" s="859" t="s">
        <v>280</v>
      </c>
      <c r="I113" s="843" t="s">
        <v>1750</v>
      </c>
      <c r="J113" s="858" t="s">
        <v>43</v>
      </c>
      <c r="K113" s="859" t="s">
        <v>1634</v>
      </c>
      <c r="L113" s="858" t="s">
        <v>43</v>
      </c>
      <c r="M113" s="859">
        <v>1</v>
      </c>
      <c r="N113" s="870" t="s">
        <v>1750</v>
      </c>
      <c r="O113" s="860" t="s">
        <v>1750</v>
      </c>
      <c r="P113" s="861">
        <v>7800</v>
      </c>
      <c r="Q113" s="862" t="s">
        <v>179</v>
      </c>
      <c r="R113" s="861">
        <v>120000</v>
      </c>
      <c r="S113" s="862" t="s">
        <v>2281</v>
      </c>
      <c r="T113" s="863" t="s">
        <v>1750</v>
      </c>
      <c r="U113" s="864" t="s">
        <v>43</v>
      </c>
      <c r="V113" s="863" t="s">
        <v>1750</v>
      </c>
      <c r="W113" s="864" t="s">
        <v>43</v>
      </c>
      <c r="X113" s="861">
        <v>2000</v>
      </c>
      <c r="Y113" s="865" t="s">
        <v>179</v>
      </c>
      <c r="Z113" s="866" t="s">
        <v>43</v>
      </c>
      <c r="AA113" s="867">
        <v>0.4</v>
      </c>
      <c r="AB113" s="868" t="s">
        <v>179</v>
      </c>
      <c r="AC113" s="869" t="s">
        <v>1750</v>
      </c>
    </row>
    <row r="114" spans="1:29" ht="15.75">
      <c r="A114" s="856" t="s">
        <v>537</v>
      </c>
      <c r="B114" s="792" t="s">
        <v>538</v>
      </c>
      <c r="C114" s="857" t="s">
        <v>1750</v>
      </c>
      <c r="D114" s="858" t="s">
        <v>43</v>
      </c>
      <c r="E114" s="843" t="s">
        <v>1750</v>
      </c>
      <c r="F114" s="858" t="s">
        <v>43</v>
      </c>
      <c r="G114" s="804">
        <v>1.4999999999999999E-2</v>
      </c>
      <c r="H114" s="859" t="s">
        <v>280</v>
      </c>
      <c r="I114" s="843" t="s">
        <v>1750</v>
      </c>
      <c r="J114" s="858" t="s">
        <v>43</v>
      </c>
      <c r="K114" s="858" t="s">
        <v>43</v>
      </c>
      <c r="L114" s="858" t="s">
        <v>43</v>
      </c>
      <c r="M114" s="859">
        <v>1</v>
      </c>
      <c r="N114" s="859">
        <v>0.1</v>
      </c>
      <c r="O114" s="860" t="s">
        <v>1750</v>
      </c>
      <c r="P114" s="861">
        <v>950</v>
      </c>
      <c r="Q114" s="862" t="s">
        <v>179</v>
      </c>
      <c r="R114" s="861">
        <v>12000</v>
      </c>
      <c r="S114" s="862" t="s">
        <v>179</v>
      </c>
      <c r="T114" s="863" t="s">
        <v>1750</v>
      </c>
      <c r="U114" s="864" t="s">
        <v>43</v>
      </c>
      <c r="V114" s="863" t="s">
        <v>1750</v>
      </c>
      <c r="W114" s="864" t="s">
        <v>43</v>
      </c>
      <c r="X114" s="861">
        <v>290</v>
      </c>
      <c r="Y114" s="865" t="s">
        <v>179</v>
      </c>
      <c r="Z114" s="866" t="s">
        <v>43</v>
      </c>
      <c r="AA114" s="867">
        <v>7.0000000000000007E-2</v>
      </c>
      <c r="AB114" s="868" t="s">
        <v>179</v>
      </c>
      <c r="AC114" s="869" t="s">
        <v>1750</v>
      </c>
    </row>
    <row r="115" spans="1:29" ht="16.5" thickBot="1">
      <c r="A115" s="871" t="s">
        <v>539</v>
      </c>
      <c r="B115" s="807" t="s">
        <v>540</v>
      </c>
      <c r="C115" s="890">
        <v>0.4</v>
      </c>
      <c r="D115" s="874" t="s">
        <v>13</v>
      </c>
      <c r="E115" s="847" t="s">
        <v>1750</v>
      </c>
      <c r="F115" s="873" t="s">
        <v>43</v>
      </c>
      <c r="G115" s="847" t="s">
        <v>1750</v>
      </c>
      <c r="H115" s="873" t="s">
        <v>43</v>
      </c>
      <c r="I115" s="847" t="s">
        <v>1750</v>
      </c>
      <c r="J115" s="873" t="s">
        <v>43</v>
      </c>
      <c r="K115" s="873" t="s">
        <v>43</v>
      </c>
      <c r="L115" s="873" t="s">
        <v>43</v>
      </c>
      <c r="M115" s="874">
        <v>1</v>
      </c>
      <c r="N115" s="874">
        <v>0.1</v>
      </c>
      <c r="O115" s="875" t="s">
        <v>1750</v>
      </c>
      <c r="P115" s="876">
        <v>1.3</v>
      </c>
      <c r="Q115" s="877" t="s">
        <v>2283</v>
      </c>
      <c r="R115" s="876">
        <v>5.7</v>
      </c>
      <c r="S115" s="877" t="s">
        <v>2283</v>
      </c>
      <c r="T115" s="878" t="s">
        <v>1750</v>
      </c>
      <c r="U115" s="879" t="s">
        <v>43</v>
      </c>
      <c r="V115" s="878" t="s">
        <v>1750</v>
      </c>
      <c r="W115" s="879" t="s">
        <v>43</v>
      </c>
      <c r="X115" s="876">
        <v>0.18</v>
      </c>
      <c r="Y115" s="880" t="s">
        <v>2283</v>
      </c>
      <c r="Z115" s="881" t="s">
        <v>43</v>
      </c>
      <c r="AA115" s="882">
        <v>1.4999999999999999E-4</v>
      </c>
      <c r="AB115" s="883" t="s">
        <v>2283</v>
      </c>
      <c r="AC115" s="884" t="s">
        <v>1750</v>
      </c>
    </row>
    <row r="116" spans="1:29" ht="30.75">
      <c r="A116" s="856" t="s">
        <v>44</v>
      </c>
      <c r="B116" s="792" t="s">
        <v>541</v>
      </c>
      <c r="C116" s="889">
        <v>0.35</v>
      </c>
      <c r="D116" s="859" t="s">
        <v>280</v>
      </c>
      <c r="E116" s="804">
        <v>1E-4</v>
      </c>
      <c r="F116" s="859" t="s">
        <v>280</v>
      </c>
      <c r="G116" s="804">
        <v>5.0000000000000001E-4</v>
      </c>
      <c r="H116" s="859" t="s">
        <v>280</v>
      </c>
      <c r="I116" s="804">
        <v>6.9999999999999999E-4</v>
      </c>
      <c r="J116" s="859" t="s">
        <v>280</v>
      </c>
      <c r="K116" s="859" t="s">
        <v>1634</v>
      </c>
      <c r="L116" s="858" t="s">
        <v>43</v>
      </c>
      <c r="M116" s="859">
        <v>1</v>
      </c>
      <c r="N116" s="859">
        <v>0.04</v>
      </c>
      <c r="O116" s="860" t="s">
        <v>1750</v>
      </c>
      <c r="P116" s="861">
        <v>1.7</v>
      </c>
      <c r="Q116" s="862" t="s">
        <v>2279</v>
      </c>
      <c r="R116" s="861">
        <v>7.7</v>
      </c>
      <c r="S116" s="862" t="s">
        <v>2279</v>
      </c>
      <c r="T116" s="861">
        <v>2.8000000000000001E-2</v>
      </c>
      <c r="U116" s="862" t="s">
        <v>2279</v>
      </c>
      <c r="V116" s="861">
        <v>0.12</v>
      </c>
      <c r="W116" s="862" t="s">
        <v>2279</v>
      </c>
      <c r="X116" s="861">
        <v>0.02</v>
      </c>
      <c r="Y116" s="865" t="s">
        <v>2279</v>
      </c>
      <c r="Z116" s="891">
        <v>2</v>
      </c>
      <c r="AA116" s="867">
        <v>2.7000000000000001E-3</v>
      </c>
      <c r="AB116" s="868" t="s">
        <v>2279</v>
      </c>
      <c r="AC116" s="892">
        <v>0.27</v>
      </c>
    </row>
    <row r="117" spans="1:29" ht="30.75">
      <c r="A117" s="856" t="s">
        <v>542</v>
      </c>
      <c r="B117" s="792" t="s">
        <v>543</v>
      </c>
      <c r="C117" s="889">
        <v>10</v>
      </c>
      <c r="D117" s="859" t="s">
        <v>280</v>
      </c>
      <c r="E117" s="804">
        <v>4.5999999999999999E-3</v>
      </c>
      <c r="F117" s="859" t="s">
        <v>3</v>
      </c>
      <c r="G117" s="804">
        <v>2.9999999999999997E-4</v>
      </c>
      <c r="H117" s="859" t="s">
        <v>280</v>
      </c>
      <c r="I117" s="843" t="s">
        <v>1750</v>
      </c>
      <c r="J117" s="858" t="s">
        <v>43</v>
      </c>
      <c r="K117" s="858" t="s">
        <v>43</v>
      </c>
      <c r="L117" s="858" t="s">
        <v>43</v>
      </c>
      <c r="M117" s="859">
        <v>1</v>
      </c>
      <c r="N117" s="859">
        <v>0.1</v>
      </c>
      <c r="O117" s="860" t="s">
        <v>1750</v>
      </c>
      <c r="P117" s="861">
        <v>5.3999999999999999E-2</v>
      </c>
      <c r="Q117" s="862" t="s">
        <v>2283</v>
      </c>
      <c r="R117" s="861">
        <v>0.23</v>
      </c>
      <c r="S117" s="862" t="s">
        <v>2283</v>
      </c>
      <c r="T117" s="861">
        <v>6.0999999999999997E-4</v>
      </c>
      <c r="U117" s="862" t="s">
        <v>2283</v>
      </c>
      <c r="V117" s="861">
        <v>2.7000000000000001E-3</v>
      </c>
      <c r="W117" s="862" t="s">
        <v>2283</v>
      </c>
      <c r="X117" s="861">
        <v>3.5000000000000001E-3</v>
      </c>
      <c r="Y117" s="865" t="s">
        <v>2283</v>
      </c>
      <c r="Z117" s="866" t="s">
        <v>43</v>
      </c>
      <c r="AA117" s="867">
        <v>1.2E-4</v>
      </c>
      <c r="AB117" s="868" t="s">
        <v>2283</v>
      </c>
      <c r="AC117" s="869" t="s">
        <v>1750</v>
      </c>
    </row>
    <row r="118" spans="1:29" ht="16.5" thickBot="1">
      <c r="A118" s="871" t="s">
        <v>544</v>
      </c>
      <c r="B118" s="807" t="s">
        <v>545</v>
      </c>
      <c r="C118" s="872" t="s">
        <v>1750</v>
      </c>
      <c r="D118" s="873" t="s">
        <v>43</v>
      </c>
      <c r="E118" s="847" t="s">
        <v>1750</v>
      </c>
      <c r="F118" s="873" t="s">
        <v>43</v>
      </c>
      <c r="G118" s="819">
        <v>6.9999999999999999E-4</v>
      </c>
      <c r="H118" s="874" t="s">
        <v>18</v>
      </c>
      <c r="I118" s="847" t="s">
        <v>1750</v>
      </c>
      <c r="J118" s="873" t="s">
        <v>43</v>
      </c>
      <c r="K118" s="873" t="s">
        <v>43</v>
      </c>
      <c r="L118" s="873" t="s">
        <v>43</v>
      </c>
      <c r="M118" s="874">
        <v>1</v>
      </c>
      <c r="N118" s="874">
        <v>0.1</v>
      </c>
      <c r="O118" s="875" t="s">
        <v>1750</v>
      </c>
      <c r="P118" s="876">
        <v>44</v>
      </c>
      <c r="Q118" s="877" t="s">
        <v>179</v>
      </c>
      <c r="R118" s="876">
        <v>570</v>
      </c>
      <c r="S118" s="877" t="s">
        <v>179</v>
      </c>
      <c r="T118" s="878" t="s">
        <v>1750</v>
      </c>
      <c r="U118" s="879" t="s">
        <v>43</v>
      </c>
      <c r="V118" s="878" t="s">
        <v>1750</v>
      </c>
      <c r="W118" s="879" t="s">
        <v>43</v>
      </c>
      <c r="X118" s="876">
        <v>11</v>
      </c>
      <c r="Y118" s="880" t="s">
        <v>179</v>
      </c>
      <c r="Z118" s="881" t="s">
        <v>43</v>
      </c>
      <c r="AA118" s="882">
        <v>3.1E-2</v>
      </c>
      <c r="AB118" s="883" t="s">
        <v>179</v>
      </c>
      <c r="AC118" s="884" t="s">
        <v>1750</v>
      </c>
    </row>
    <row r="119" spans="1:29" ht="30.75">
      <c r="A119" s="856" t="s">
        <v>546</v>
      </c>
      <c r="B119" s="792" t="s">
        <v>547</v>
      </c>
      <c r="C119" s="857" t="s">
        <v>1750</v>
      </c>
      <c r="D119" s="858" t="s">
        <v>43</v>
      </c>
      <c r="E119" s="843" t="s">
        <v>1750</v>
      </c>
      <c r="F119" s="858" t="s">
        <v>43</v>
      </c>
      <c r="G119" s="804">
        <v>0.09</v>
      </c>
      <c r="H119" s="859" t="s">
        <v>2463</v>
      </c>
      <c r="I119" s="843" t="s">
        <v>1750</v>
      </c>
      <c r="J119" s="858" t="s">
        <v>43</v>
      </c>
      <c r="K119" s="858" t="s">
        <v>43</v>
      </c>
      <c r="L119" s="858" t="s">
        <v>43</v>
      </c>
      <c r="M119" s="859">
        <v>1</v>
      </c>
      <c r="N119" s="859">
        <v>0.1</v>
      </c>
      <c r="O119" s="860" t="s">
        <v>1750</v>
      </c>
      <c r="P119" s="861">
        <v>5700</v>
      </c>
      <c r="Q119" s="862" t="s">
        <v>179</v>
      </c>
      <c r="R119" s="861">
        <v>74000</v>
      </c>
      <c r="S119" s="862" t="s">
        <v>179</v>
      </c>
      <c r="T119" s="863" t="s">
        <v>1750</v>
      </c>
      <c r="U119" s="864" t="s">
        <v>43</v>
      </c>
      <c r="V119" s="863" t="s">
        <v>1750</v>
      </c>
      <c r="W119" s="864" t="s">
        <v>43</v>
      </c>
      <c r="X119" s="861">
        <v>1800</v>
      </c>
      <c r="Y119" s="865" t="s">
        <v>179</v>
      </c>
      <c r="Z119" s="866" t="s">
        <v>43</v>
      </c>
      <c r="AA119" s="867">
        <v>0.6</v>
      </c>
      <c r="AB119" s="868" t="s">
        <v>179</v>
      </c>
      <c r="AC119" s="869" t="s">
        <v>1750</v>
      </c>
    </row>
    <row r="120" spans="1:29" ht="15.75">
      <c r="A120" s="856" t="s">
        <v>548</v>
      </c>
      <c r="B120" s="792" t="s">
        <v>549</v>
      </c>
      <c r="C120" s="857" t="s">
        <v>1750</v>
      </c>
      <c r="D120" s="858" t="s">
        <v>43</v>
      </c>
      <c r="E120" s="843" t="s">
        <v>1750</v>
      </c>
      <c r="F120" s="858" t="s">
        <v>43</v>
      </c>
      <c r="G120" s="804">
        <v>0.1</v>
      </c>
      <c r="H120" s="859" t="s">
        <v>280</v>
      </c>
      <c r="I120" s="804">
        <v>1.4999999999999999E-4</v>
      </c>
      <c r="J120" s="859" t="s">
        <v>18</v>
      </c>
      <c r="K120" s="859" t="s">
        <v>1634</v>
      </c>
      <c r="L120" s="858" t="s">
        <v>43</v>
      </c>
      <c r="M120" s="859">
        <v>1</v>
      </c>
      <c r="N120" s="870" t="s">
        <v>1750</v>
      </c>
      <c r="O120" s="805">
        <v>2780</v>
      </c>
      <c r="P120" s="861">
        <v>0.18</v>
      </c>
      <c r="Q120" s="862" t="s">
        <v>179</v>
      </c>
      <c r="R120" s="861">
        <v>0.78</v>
      </c>
      <c r="S120" s="862" t="s">
        <v>179</v>
      </c>
      <c r="T120" s="861">
        <v>0.15</v>
      </c>
      <c r="U120" s="862" t="s">
        <v>179</v>
      </c>
      <c r="V120" s="861">
        <v>0.64</v>
      </c>
      <c r="W120" s="862" t="s">
        <v>179</v>
      </c>
      <c r="X120" s="861">
        <v>0.3</v>
      </c>
      <c r="Y120" s="865" t="s">
        <v>179</v>
      </c>
      <c r="Z120" s="866" t="s">
        <v>43</v>
      </c>
      <c r="AA120" s="867">
        <v>1.3999999999999999E-4</v>
      </c>
      <c r="AB120" s="868" t="s">
        <v>179</v>
      </c>
      <c r="AC120" s="869" t="s">
        <v>1750</v>
      </c>
    </row>
    <row r="121" spans="1:29" ht="31.5" thickBot="1">
      <c r="A121" s="871" t="s">
        <v>550</v>
      </c>
      <c r="B121" s="807" t="s">
        <v>551</v>
      </c>
      <c r="C121" s="872" t="s">
        <v>1750</v>
      </c>
      <c r="D121" s="873" t="s">
        <v>43</v>
      </c>
      <c r="E121" s="847" t="s">
        <v>1750</v>
      </c>
      <c r="F121" s="873" t="s">
        <v>43</v>
      </c>
      <c r="G121" s="819">
        <v>0.03</v>
      </c>
      <c r="H121" s="874" t="s">
        <v>280</v>
      </c>
      <c r="I121" s="819">
        <v>2.0000000000000001E-4</v>
      </c>
      <c r="J121" s="874" t="s">
        <v>280</v>
      </c>
      <c r="K121" s="874" t="s">
        <v>1634</v>
      </c>
      <c r="L121" s="873" t="s">
        <v>43</v>
      </c>
      <c r="M121" s="874">
        <v>1</v>
      </c>
      <c r="N121" s="888" t="s">
        <v>1750</v>
      </c>
      <c r="O121" s="875" t="s">
        <v>1750</v>
      </c>
      <c r="P121" s="876">
        <v>2300</v>
      </c>
      <c r="Q121" s="877" t="s">
        <v>179</v>
      </c>
      <c r="R121" s="876">
        <v>34000</v>
      </c>
      <c r="S121" s="877" t="s">
        <v>179</v>
      </c>
      <c r="T121" s="876">
        <v>0.21</v>
      </c>
      <c r="U121" s="877" t="s">
        <v>179</v>
      </c>
      <c r="V121" s="876">
        <v>0.88</v>
      </c>
      <c r="W121" s="877" t="s">
        <v>179</v>
      </c>
      <c r="X121" s="876">
        <v>0.42</v>
      </c>
      <c r="Y121" s="880" t="s">
        <v>179</v>
      </c>
      <c r="Z121" s="881" t="s">
        <v>43</v>
      </c>
      <c r="AA121" s="895" t="s">
        <v>1750</v>
      </c>
      <c r="AB121" s="883" t="s">
        <v>179</v>
      </c>
      <c r="AC121" s="884" t="s">
        <v>1750</v>
      </c>
    </row>
    <row r="122" spans="1:29" ht="30.75">
      <c r="A122" s="856" t="s">
        <v>552</v>
      </c>
      <c r="B122" s="792" t="s">
        <v>553</v>
      </c>
      <c r="C122" s="857" t="s">
        <v>1750</v>
      </c>
      <c r="D122" s="858" t="s">
        <v>43</v>
      </c>
      <c r="E122" s="843" t="s">
        <v>1750</v>
      </c>
      <c r="F122" s="858" t="s">
        <v>43</v>
      </c>
      <c r="G122" s="804">
        <v>0.03</v>
      </c>
      <c r="H122" s="859" t="s">
        <v>280</v>
      </c>
      <c r="I122" s="843" t="s">
        <v>1750</v>
      </c>
      <c r="J122" s="858" t="s">
        <v>43</v>
      </c>
      <c r="K122" s="858" t="s">
        <v>43</v>
      </c>
      <c r="L122" s="858" t="s">
        <v>43</v>
      </c>
      <c r="M122" s="859">
        <v>1</v>
      </c>
      <c r="N122" s="870" t="s">
        <v>1750</v>
      </c>
      <c r="O122" s="860" t="s">
        <v>1750</v>
      </c>
      <c r="P122" s="861">
        <v>2300</v>
      </c>
      <c r="Q122" s="862" t="s">
        <v>179</v>
      </c>
      <c r="R122" s="861">
        <v>35000</v>
      </c>
      <c r="S122" s="862" t="s">
        <v>179</v>
      </c>
      <c r="T122" s="863" t="s">
        <v>1750</v>
      </c>
      <c r="U122" s="864" t="s">
        <v>43</v>
      </c>
      <c r="V122" s="863" t="s">
        <v>1750</v>
      </c>
      <c r="W122" s="864" t="s">
        <v>43</v>
      </c>
      <c r="X122" s="861">
        <v>600</v>
      </c>
      <c r="Y122" s="865" t="s">
        <v>179</v>
      </c>
      <c r="Z122" s="891">
        <v>1000</v>
      </c>
      <c r="AA122" s="886" t="s">
        <v>1750</v>
      </c>
      <c r="AB122" s="868" t="s">
        <v>179</v>
      </c>
      <c r="AC122" s="869" t="s">
        <v>1750</v>
      </c>
    </row>
    <row r="123" spans="1:29" ht="30.75">
      <c r="A123" s="856" t="s">
        <v>554</v>
      </c>
      <c r="B123" s="792" t="s">
        <v>555</v>
      </c>
      <c r="C123" s="857" t="s">
        <v>1750</v>
      </c>
      <c r="D123" s="858" t="s">
        <v>43</v>
      </c>
      <c r="E123" s="843" t="s">
        <v>1750</v>
      </c>
      <c r="F123" s="858" t="s">
        <v>43</v>
      </c>
      <c r="G123" s="843" t="s">
        <v>1750</v>
      </c>
      <c r="H123" s="858" t="s">
        <v>43</v>
      </c>
      <c r="I123" s="804">
        <v>50</v>
      </c>
      <c r="J123" s="859" t="s">
        <v>280</v>
      </c>
      <c r="K123" s="859" t="s">
        <v>1634</v>
      </c>
      <c r="L123" s="858" t="s">
        <v>43</v>
      </c>
      <c r="M123" s="859">
        <v>1</v>
      </c>
      <c r="N123" s="870" t="s">
        <v>1750</v>
      </c>
      <c r="O123" s="805">
        <v>1150</v>
      </c>
      <c r="P123" s="861">
        <v>54000</v>
      </c>
      <c r="Q123" s="862" t="s">
        <v>2282</v>
      </c>
      <c r="R123" s="861">
        <v>230000</v>
      </c>
      <c r="S123" s="862" t="s">
        <v>2280</v>
      </c>
      <c r="T123" s="861">
        <v>52000</v>
      </c>
      <c r="U123" s="862" t="s">
        <v>179</v>
      </c>
      <c r="V123" s="861">
        <v>220000</v>
      </c>
      <c r="W123" s="862" t="s">
        <v>179</v>
      </c>
      <c r="X123" s="861">
        <v>100000</v>
      </c>
      <c r="Y123" s="865" t="s">
        <v>179</v>
      </c>
      <c r="Z123" s="866" t="s">
        <v>43</v>
      </c>
      <c r="AA123" s="867">
        <v>52</v>
      </c>
      <c r="AB123" s="868" t="s">
        <v>179</v>
      </c>
      <c r="AC123" s="869" t="s">
        <v>1750</v>
      </c>
    </row>
    <row r="124" spans="1:29" ht="31.5" thickBot="1">
      <c r="A124" s="871" t="s">
        <v>556</v>
      </c>
      <c r="B124" s="807" t="s">
        <v>557</v>
      </c>
      <c r="C124" s="872" t="s">
        <v>1750</v>
      </c>
      <c r="D124" s="873" t="s">
        <v>43</v>
      </c>
      <c r="E124" s="819">
        <v>2.9999999999999997E-4</v>
      </c>
      <c r="F124" s="874" t="s">
        <v>280</v>
      </c>
      <c r="G124" s="819">
        <v>0.02</v>
      </c>
      <c r="H124" s="874" t="s">
        <v>13</v>
      </c>
      <c r="I124" s="819">
        <v>0.02</v>
      </c>
      <c r="J124" s="874" t="s">
        <v>280</v>
      </c>
      <c r="K124" s="874" t="s">
        <v>1634</v>
      </c>
      <c r="L124" s="873" t="s">
        <v>43</v>
      </c>
      <c r="M124" s="874">
        <v>1</v>
      </c>
      <c r="N124" s="888" t="s">
        <v>1750</v>
      </c>
      <c r="O124" s="820">
        <v>786</v>
      </c>
      <c r="P124" s="876">
        <v>0.01</v>
      </c>
      <c r="Q124" s="877" t="s">
        <v>2283</v>
      </c>
      <c r="R124" s="876">
        <v>4.3999999999999997E-2</v>
      </c>
      <c r="S124" s="877" t="s">
        <v>2283</v>
      </c>
      <c r="T124" s="876">
        <v>9.4000000000000004E-3</v>
      </c>
      <c r="U124" s="877" t="s">
        <v>2283</v>
      </c>
      <c r="V124" s="876">
        <v>4.1000000000000002E-2</v>
      </c>
      <c r="W124" s="877" t="s">
        <v>2283</v>
      </c>
      <c r="X124" s="876">
        <v>1.9E-2</v>
      </c>
      <c r="Y124" s="880" t="s">
        <v>2283</v>
      </c>
      <c r="Z124" s="881" t="s">
        <v>43</v>
      </c>
      <c r="AA124" s="882">
        <v>9.7999999999999993E-6</v>
      </c>
      <c r="AB124" s="883" t="s">
        <v>2283</v>
      </c>
      <c r="AC124" s="884" t="s">
        <v>1750</v>
      </c>
    </row>
    <row r="125" spans="1:29" ht="45.75">
      <c r="A125" s="856" t="s">
        <v>558</v>
      </c>
      <c r="B125" s="792" t="s">
        <v>559</v>
      </c>
      <c r="C125" s="889">
        <v>0.46</v>
      </c>
      <c r="D125" s="859" t="s">
        <v>13</v>
      </c>
      <c r="E125" s="843" t="s">
        <v>1750</v>
      </c>
      <c r="F125" s="858" t="s">
        <v>43</v>
      </c>
      <c r="G125" s="843" t="s">
        <v>1750</v>
      </c>
      <c r="H125" s="858" t="s">
        <v>43</v>
      </c>
      <c r="I125" s="843" t="s">
        <v>1750</v>
      </c>
      <c r="J125" s="858" t="s">
        <v>43</v>
      </c>
      <c r="K125" s="858" t="s">
        <v>43</v>
      </c>
      <c r="L125" s="858" t="s">
        <v>43</v>
      </c>
      <c r="M125" s="859">
        <v>1</v>
      </c>
      <c r="N125" s="859">
        <v>0.1</v>
      </c>
      <c r="O125" s="860" t="s">
        <v>1750</v>
      </c>
      <c r="P125" s="861">
        <v>1.2</v>
      </c>
      <c r="Q125" s="862" t="s">
        <v>2283</v>
      </c>
      <c r="R125" s="861">
        <v>5</v>
      </c>
      <c r="S125" s="862" t="s">
        <v>2283</v>
      </c>
      <c r="T125" s="863" t="s">
        <v>1750</v>
      </c>
      <c r="U125" s="864" t="s">
        <v>43</v>
      </c>
      <c r="V125" s="863" t="s">
        <v>1750</v>
      </c>
      <c r="W125" s="864" t="s">
        <v>43</v>
      </c>
      <c r="X125" s="861">
        <v>0.17</v>
      </c>
      <c r="Y125" s="865" t="s">
        <v>2283</v>
      </c>
      <c r="Z125" s="866" t="s">
        <v>43</v>
      </c>
      <c r="AA125" s="867">
        <v>1.4999999999999999E-4</v>
      </c>
      <c r="AB125" s="868" t="s">
        <v>2283</v>
      </c>
      <c r="AC125" s="869" t="s">
        <v>1750</v>
      </c>
    </row>
    <row r="126" spans="1:29" ht="30.75">
      <c r="A126" s="856" t="s">
        <v>1812</v>
      </c>
      <c r="B126" s="792" t="s">
        <v>1813</v>
      </c>
      <c r="C126" s="889">
        <v>0.1</v>
      </c>
      <c r="D126" s="859" t="s">
        <v>281</v>
      </c>
      <c r="E126" s="804">
        <v>7.7000000000000001E-5</v>
      </c>
      <c r="F126" s="859" t="s">
        <v>3</v>
      </c>
      <c r="G126" s="804">
        <v>3.0000000000000001E-3</v>
      </c>
      <c r="H126" s="859" t="s">
        <v>0</v>
      </c>
      <c r="I126" s="843" t="s">
        <v>1750</v>
      </c>
      <c r="J126" s="858" t="s">
        <v>43</v>
      </c>
      <c r="K126" s="858" t="s">
        <v>43</v>
      </c>
      <c r="L126" s="858" t="s">
        <v>43</v>
      </c>
      <c r="M126" s="859">
        <v>1</v>
      </c>
      <c r="N126" s="859">
        <v>0.1</v>
      </c>
      <c r="O126" s="860" t="s">
        <v>1750</v>
      </c>
      <c r="P126" s="861">
        <v>5.4</v>
      </c>
      <c r="Q126" s="862" t="s">
        <v>2279</v>
      </c>
      <c r="R126" s="861">
        <v>23</v>
      </c>
      <c r="S126" s="862" t="s">
        <v>2283</v>
      </c>
      <c r="T126" s="861">
        <v>3.5999999999999997E-2</v>
      </c>
      <c r="U126" s="862" t="s">
        <v>2283</v>
      </c>
      <c r="V126" s="861">
        <v>0.16</v>
      </c>
      <c r="W126" s="862" t="s">
        <v>2283</v>
      </c>
      <c r="X126" s="861">
        <v>0.7</v>
      </c>
      <c r="Y126" s="865" t="s">
        <v>2279</v>
      </c>
      <c r="Z126" s="866" t="s">
        <v>43</v>
      </c>
      <c r="AA126" s="867">
        <v>4.0000000000000002E-4</v>
      </c>
      <c r="AB126" s="868" t="s">
        <v>2279</v>
      </c>
      <c r="AC126" s="869" t="s">
        <v>1750</v>
      </c>
    </row>
    <row r="127" spans="1:29" ht="31.5" thickBot="1">
      <c r="A127" s="871" t="s">
        <v>560</v>
      </c>
      <c r="B127" s="807" t="s">
        <v>561</v>
      </c>
      <c r="C127" s="890">
        <v>0.27</v>
      </c>
      <c r="D127" s="874" t="s">
        <v>0</v>
      </c>
      <c r="E127" s="847" t="s">
        <v>1750</v>
      </c>
      <c r="F127" s="873" t="s">
        <v>43</v>
      </c>
      <c r="G127" s="847" t="s">
        <v>1750</v>
      </c>
      <c r="H127" s="873" t="s">
        <v>43</v>
      </c>
      <c r="I127" s="847" t="s">
        <v>1750</v>
      </c>
      <c r="J127" s="873" t="s">
        <v>43</v>
      </c>
      <c r="K127" s="874" t="s">
        <v>1634</v>
      </c>
      <c r="L127" s="873" t="s">
        <v>43</v>
      </c>
      <c r="M127" s="874">
        <v>1</v>
      </c>
      <c r="N127" s="888" t="s">
        <v>1750</v>
      </c>
      <c r="O127" s="820">
        <v>11800</v>
      </c>
      <c r="P127" s="876">
        <v>2.6</v>
      </c>
      <c r="Q127" s="877" t="s">
        <v>2283</v>
      </c>
      <c r="R127" s="876">
        <v>12</v>
      </c>
      <c r="S127" s="877" t="s">
        <v>2283</v>
      </c>
      <c r="T127" s="878" t="s">
        <v>1750</v>
      </c>
      <c r="U127" s="879" t="s">
        <v>43</v>
      </c>
      <c r="V127" s="878" t="s">
        <v>1750</v>
      </c>
      <c r="W127" s="879" t="s">
        <v>43</v>
      </c>
      <c r="X127" s="876">
        <v>0.28999999999999998</v>
      </c>
      <c r="Y127" s="880" t="s">
        <v>2283</v>
      </c>
      <c r="Z127" s="881" t="s">
        <v>43</v>
      </c>
      <c r="AA127" s="882">
        <v>5.8E-5</v>
      </c>
      <c r="AB127" s="883" t="s">
        <v>2283</v>
      </c>
      <c r="AC127" s="884" t="s">
        <v>1750</v>
      </c>
    </row>
    <row r="128" spans="1:29" ht="15.75">
      <c r="A128" s="856" t="s">
        <v>562</v>
      </c>
      <c r="B128" s="792" t="s">
        <v>563</v>
      </c>
      <c r="C128" s="857" t="s">
        <v>1750</v>
      </c>
      <c r="D128" s="858" t="s">
        <v>43</v>
      </c>
      <c r="E128" s="843" t="s">
        <v>1750</v>
      </c>
      <c r="F128" s="858" t="s">
        <v>43</v>
      </c>
      <c r="G128" s="843" t="s">
        <v>1750</v>
      </c>
      <c r="H128" s="858" t="s">
        <v>43</v>
      </c>
      <c r="I128" s="843" t="s">
        <v>1750</v>
      </c>
      <c r="J128" s="858" t="s">
        <v>43</v>
      </c>
      <c r="K128" s="858" t="s">
        <v>43</v>
      </c>
      <c r="L128" s="858" t="s">
        <v>43</v>
      </c>
      <c r="M128" s="859">
        <v>1</v>
      </c>
      <c r="N128" s="859">
        <v>0.1</v>
      </c>
      <c r="O128" s="860" t="s">
        <v>1750</v>
      </c>
      <c r="P128" s="863" t="s">
        <v>1750</v>
      </c>
      <c r="Q128" s="864" t="s">
        <v>43</v>
      </c>
      <c r="R128" s="863" t="s">
        <v>1750</v>
      </c>
      <c r="S128" s="864" t="s">
        <v>43</v>
      </c>
      <c r="T128" s="863" t="s">
        <v>1750</v>
      </c>
      <c r="U128" s="864" t="s">
        <v>43</v>
      </c>
      <c r="V128" s="863" t="s">
        <v>1750</v>
      </c>
      <c r="W128" s="864" t="s">
        <v>43</v>
      </c>
      <c r="X128" s="863" t="s">
        <v>1750</v>
      </c>
      <c r="Y128" s="885" t="s">
        <v>43</v>
      </c>
      <c r="Z128" s="891">
        <v>60</v>
      </c>
      <c r="AA128" s="886" t="s">
        <v>1750</v>
      </c>
      <c r="AB128" s="887" t="s">
        <v>43</v>
      </c>
      <c r="AC128" s="892">
        <v>1.2E-2</v>
      </c>
    </row>
    <row r="129" spans="1:29" ht="30.75">
      <c r="A129" s="856" t="s">
        <v>564</v>
      </c>
      <c r="B129" s="792" t="s">
        <v>565</v>
      </c>
      <c r="C129" s="857" t="s">
        <v>1750</v>
      </c>
      <c r="D129" s="858" t="s">
        <v>43</v>
      </c>
      <c r="E129" s="843" t="s">
        <v>1750</v>
      </c>
      <c r="F129" s="858" t="s">
        <v>43</v>
      </c>
      <c r="G129" s="843" t="s">
        <v>1750</v>
      </c>
      <c r="H129" s="858" t="s">
        <v>43</v>
      </c>
      <c r="I129" s="804">
        <v>3.0000000000000001E-5</v>
      </c>
      <c r="J129" s="859" t="s">
        <v>280</v>
      </c>
      <c r="K129" s="858" t="s">
        <v>43</v>
      </c>
      <c r="L129" s="858" t="s">
        <v>43</v>
      </c>
      <c r="M129" s="859">
        <v>1</v>
      </c>
      <c r="N129" s="859">
        <v>0.1</v>
      </c>
      <c r="O129" s="860" t="s">
        <v>1750</v>
      </c>
      <c r="P129" s="861">
        <v>43000</v>
      </c>
      <c r="Q129" s="862" t="s">
        <v>179</v>
      </c>
      <c r="R129" s="861">
        <v>180000</v>
      </c>
      <c r="S129" s="862" t="s">
        <v>2281</v>
      </c>
      <c r="T129" s="861">
        <v>3.1E-2</v>
      </c>
      <c r="U129" s="862" t="s">
        <v>179</v>
      </c>
      <c r="V129" s="861">
        <v>0.13</v>
      </c>
      <c r="W129" s="862" t="s">
        <v>179</v>
      </c>
      <c r="X129" s="863" t="s">
        <v>1750</v>
      </c>
      <c r="Y129" s="885" t="s">
        <v>43</v>
      </c>
      <c r="Z129" s="866" t="s">
        <v>43</v>
      </c>
      <c r="AA129" s="886" t="s">
        <v>1750</v>
      </c>
      <c r="AB129" s="887" t="s">
        <v>43</v>
      </c>
      <c r="AC129" s="869" t="s">
        <v>1750</v>
      </c>
    </row>
    <row r="130" spans="1:29" ht="16.5" thickBot="1">
      <c r="A130" s="871" t="s">
        <v>566</v>
      </c>
      <c r="B130" s="807" t="s">
        <v>567</v>
      </c>
      <c r="C130" s="890">
        <v>0.2</v>
      </c>
      <c r="D130" s="874" t="s">
        <v>281</v>
      </c>
      <c r="E130" s="847" t="s">
        <v>1750</v>
      </c>
      <c r="F130" s="873" t="s">
        <v>43</v>
      </c>
      <c r="G130" s="819">
        <v>4.0000000000000001E-3</v>
      </c>
      <c r="H130" s="874" t="s">
        <v>280</v>
      </c>
      <c r="I130" s="847" t="s">
        <v>1750</v>
      </c>
      <c r="J130" s="873" t="s">
        <v>43</v>
      </c>
      <c r="K130" s="873" t="s">
        <v>43</v>
      </c>
      <c r="L130" s="873" t="s">
        <v>43</v>
      </c>
      <c r="M130" s="874">
        <v>1</v>
      </c>
      <c r="N130" s="874">
        <v>0.1</v>
      </c>
      <c r="O130" s="875" t="s">
        <v>1750</v>
      </c>
      <c r="P130" s="876">
        <v>2.7</v>
      </c>
      <c r="Q130" s="877" t="s">
        <v>2279</v>
      </c>
      <c r="R130" s="876">
        <v>11</v>
      </c>
      <c r="S130" s="877" t="s">
        <v>2283</v>
      </c>
      <c r="T130" s="878" t="s">
        <v>1750</v>
      </c>
      <c r="U130" s="879" t="s">
        <v>43</v>
      </c>
      <c r="V130" s="878" t="s">
        <v>1750</v>
      </c>
      <c r="W130" s="879" t="s">
        <v>43</v>
      </c>
      <c r="X130" s="876">
        <v>0.37</v>
      </c>
      <c r="Y130" s="880" t="s">
        <v>2283</v>
      </c>
      <c r="Z130" s="881" t="s">
        <v>43</v>
      </c>
      <c r="AA130" s="882">
        <v>1.6000000000000001E-4</v>
      </c>
      <c r="AB130" s="883" t="s">
        <v>2283</v>
      </c>
      <c r="AC130" s="884" t="s">
        <v>1750</v>
      </c>
    </row>
    <row r="131" spans="1:29" ht="15.75">
      <c r="A131" s="856" t="s">
        <v>96</v>
      </c>
      <c r="B131" s="792" t="s">
        <v>568</v>
      </c>
      <c r="C131" s="857" t="s">
        <v>1750</v>
      </c>
      <c r="D131" s="858" t="s">
        <v>43</v>
      </c>
      <c r="E131" s="843" t="s">
        <v>1750</v>
      </c>
      <c r="F131" s="858" t="s">
        <v>43</v>
      </c>
      <c r="G131" s="804">
        <v>0.02</v>
      </c>
      <c r="H131" s="859" t="s">
        <v>280</v>
      </c>
      <c r="I131" s="804">
        <v>0.05</v>
      </c>
      <c r="J131" s="859" t="s">
        <v>281</v>
      </c>
      <c r="K131" s="859" t="s">
        <v>1634</v>
      </c>
      <c r="L131" s="858" t="s">
        <v>43</v>
      </c>
      <c r="M131" s="859">
        <v>1</v>
      </c>
      <c r="N131" s="870" t="s">
        <v>1750</v>
      </c>
      <c r="O131" s="805">
        <v>761</v>
      </c>
      <c r="P131" s="861">
        <v>280</v>
      </c>
      <c r="Q131" s="862" t="s">
        <v>179</v>
      </c>
      <c r="R131" s="861">
        <v>1300</v>
      </c>
      <c r="S131" s="862" t="s">
        <v>2282</v>
      </c>
      <c r="T131" s="861">
        <v>52</v>
      </c>
      <c r="U131" s="862" t="s">
        <v>179</v>
      </c>
      <c r="V131" s="861">
        <v>220</v>
      </c>
      <c r="W131" s="862" t="s">
        <v>179</v>
      </c>
      <c r="X131" s="861">
        <v>78</v>
      </c>
      <c r="Y131" s="865" t="s">
        <v>179</v>
      </c>
      <c r="Z131" s="891">
        <v>100</v>
      </c>
      <c r="AA131" s="867">
        <v>5.2999999999999999E-2</v>
      </c>
      <c r="AB131" s="868" t="s">
        <v>179</v>
      </c>
      <c r="AC131" s="892">
        <v>6.8000000000000005E-2</v>
      </c>
    </row>
    <row r="132" spans="1:29" ht="30.75">
      <c r="A132" s="856" t="s">
        <v>2402</v>
      </c>
      <c r="B132" s="792" t="s">
        <v>2403</v>
      </c>
      <c r="C132" s="857" t="s">
        <v>1750</v>
      </c>
      <c r="D132" s="858" t="s">
        <v>43</v>
      </c>
      <c r="E132" s="843" t="s">
        <v>1750</v>
      </c>
      <c r="F132" s="858" t="s">
        <v>43</v>
      </c>
      <c r="G132" s="804">
        <v>0.1</v>
      </c>
      <c r="H132" s="859" t="s">
        <v>0</v>
      </c>
      <c r="I132" s="843" t="s">
        <v>1750</v>
      </c>
      <c r="J132" s="858" t="s">
        <v>43</v>
      </c>
      <c r="K132" s="858" t="s">
        <v>43</v>
      </c>
      <c r="L132" s="858" t="s">
        <v>43</v>
      </c>
      <c r="M132" s="859">
        <v>1</v>
      </c>
      <c r="N132" s="859">
        <v>0.1</v>
      </c>
      <c r="O132" s="860" t="s">
        <v>1750</v>
      </c>
      <c r="P132" s="861">
        <v>6300</v>
      </c>
      <c r="Q132" s="862" t="s">
        <v>179</v>
      </c>
      <c r="R132" s="861">
        <v>82000</v>
      </c>
      <c r="S132" s="862" t="s">
        <v>179</v>
      </c>
      <c r="T132" s="863" t="s">
        <v>1750</v>
      </c>
      <c r="U132" s="864" t="s">
        <v>43</v>
      </c>
      <c r="V132" s="863" t="s">
        <v>1750</v>
      </c>
      <c r="W132" s="864" t="s">
        <v>43</v>
      </c>
      <c r="X132" s="861">
        <v>2000</v>
      </c>
      <c r="Y132" s="865" t="s">
        <v>179</v>
      </c>
      <c r="Z132" s="866" t="s">
        <v>43</v>
      </c>
      <c r="AA132" s="867">
        <v>0.47</v>
      </c>
      <c r="AB132" s="868" t="s">
        <v>179</v>
      </c>
      <c r="AC132" s="869" t="s">
        <v>1750</v>
      </c>
    </row>
    <row r="133" spans="1:29" ht="16.5" thickBot="1">
      <c r="A133" s="871" t="s">
        <v>569</v>
      </c>
      <c r="B133" s="807" t="s">
        <v>570</v>
      </c>
      <c r="C133" s="890">
        <v>0.11</v>
      </c>
      <c r="D133" s="874" t="s">
        <v>3</v>
      </c>
      <c r="E133" s="819">
        <v>3.1000000000000001E-5</v>
      </c>
      <c r="F133" s="874" t="s">
        <v>3</v>
      </c>
      <c r="G133" s="819">
        <v>0.02</v>
      </c>
      <c r="H133" s="874" t="s">
        <v>280</v>
      </c>
      <c r="I133" s="847" t="s">
        <v>1750</v>
      </c>
      <c r="J133" s="873" t="s">
        <v>43</v>
      </c>
      <c r="K133" s="873" t="s">
        <v>43</v>
      </c>
      <c r="L133" s="873" t="s">
        <v>43</v>
      </c>
      <c r="M133" s="874">
        <v>1</v>
      </c>
      <c r="N133" s="874">
        <v>0.1</v>
      </c>
      <c r="O133" s="875" t="s">
        <v>1750</v>
      </c>
      <c r="P133" s="876">
        <v>4.9000000000000004</v>
      </c>
      <c r="Q133" s="877" t="s">
        <v>2283</v>
      </c>
      <c r="R133" s="876">
        <v>21</v>
      </c>
      <c r="S133" s="877" t="s">
        <v>2283</v>
      </c>
      <c r="T133" s="876">
        <v>9.0999999999999998E-2</v>
      </c>
      <c r="U133" s="877" t="s">
        <v>2283</v>
      </c>
      <c r="V133" s="876">
        <v>0.4</v>
      </c>
      <c r="W133" s="877" t="s">
        <v>2283</v>
      </c>
      <c r="X133" s="876">
        <v>0.31</v>
      </c>
      <c r="Y133" s="880" t="s">
        <v>2283</v>
      </c>
      <c r="Z133" s="881" t="s">
        <v>43</v>
      </c>
      <c r="AA133" s="882">
        <v>1E-3</v>
      </c>
      <c r="AB133" s="883" t="s">
        <v>2283</v>
      </c>
      <c r="AC133" s="884" t="s">
        <v>1750</v>
      </c>
    </row>
    <row r="134" spans="1:29" ht="30.75">
      <c r="A134" s="856" t="s">
        <v>571</v>
      </c>
      <c r="B134" s="792" t="s">
        <v>572</v>
      </c>
      <c r="C134" s="857" t="s">
        <v>1750</v>
      </c>
      <c r="D134" s="858" t="s">
        <v>43</v>
      </c>
      <c r="E134" s="843" t="s">
        <v>1750</v>
      </c>
      <c r="F134" s="858" t="s">
        <v>43</v>
      </c>
      <c r="G134" s="804">
        <v>0.03</v>
      </c>
      <c r="H134" s="859" t="s">
        <v>0</v>
      </c>
      <c r="I134" s="843" t="s">
        <v>1750</v>
      </c>
      <c r="J134" s="858" t="s">
        <v>43</v>
      </c>
      <c r="K134" s="858" t="s">
        <v>43</v>
      </c>
      <c r="L134" s="858" t="s">
        <v>43</v>
      </c>
      <c r="M134" s="859">
        <v>1</v>
      </c>
      <c r="N134" s="859">
        <v>0.1</v>
      </c>
      <c r="O134" s="860" t="s">
        <v>1750</v>
      </c>
      <c r="P134" s="861">
        <v>1900</v>
      </c>
      <c r="Q134" s="862" t="s">
        <v>179</v>
      </c>
      <c r="R134" s="861">
        <v>25000</v>
      </c>
      <c r="S134" s="862" t="s">
        <v>179</v>
      </c>
      <c r="T134" s="863" t="s">
        <v>1750</v>
      </c>
      <c r="U134" s="864" t="s">
        <v>43</v>
      </c>
      <c r="V134" s="863" t="s">
        <v>1750</v>
      </c>
      <c r="W134" s="864" t="s">
        <v>43</v>
      </c>
      <c r="X134" s="861">
        <v>510</v>
      </c>
      <c r="Y134" s="865" t="s">
        <v>179</v>
      </c>
      <c r="Z134" s="866" t="s">
        <v>43</v>
      </c>
      <c r="AA134" s="867">
        <v>0.13</v>
      </c>
      <c r="AB134" s="868" t="s">
        <v>179</v>
      </c>
      <c r="AC134" s="869" t="s">
        <v>1750</v>
      </c>
    </row>
    <row r="135" spans="1:29" ht="30.75">
      <c r="A135" s="856" t="s">
        <v>573</v>
      </c>
      <c r="B135" s="792" t="s">
        <v>574</v>
      </c>
      <c r="C135" s="857" t="s">
        <v>1750</v>
      </c>
      <c r="D135" s="858" t="s">
        <v>43</v>
      </c>
      <c r="E135" s="843" t="s">
        <v>1750</v>
      </c>
      <c r="F135" s="858" t="s">
        <v>43</v>
      </c>
      <c r="G135" s="804">
        <v>3.0000000000000001E-3</v>
      </c>
      <c r="H135" s="859" t="s">
        <v>281</v>
      </c>
      <c r="I135" s="804">
        <v>0.3</v>
      </c>
      <c r="J135" s="859" t="s">
        <v>281</v>
      </c>
      <c r="K135" s="859" t="s">
        <v>1634</v>
      </c>
      <c r="L135" s="858" t="s">
        <v>43</v>
      </c>
      <c r="M135" s="859">
        <v>1</v>
      </c>
      <c r="N135" s="870" t="s">
        <v>1750</v>
      </c>
      <c r="O135" s="805">
        <v>290</v>
      </c>
      <c r="P135" s="861">
        <v>210</v>
      </c>
      <c r="Q135" s="862" t="s">
        <v>179</v>
      </c>
      <c r="R135" s="861">
        <v>2500</v>
      </c>
      <c r="S135" s="862" t="s">
        <v>2282</v>
      </c>
      <c r="T135" s="861">
        <v>310</v>
      </c>
      <c r="U135" s="862" t="s">
        <v>179</v>
      </c>
      <c r="V135" s="861">
        <v>1300</v>
      </c>
      <c r="W135" s="862" t="s">
        <v>179</v>
      </c>
      <c r="X135" s="861">
        <v>35</v>
      </c>
      <c r="Y135" s="865" t="s">
        <v>179</v>
      </c>
      <c r="Z135" s="866" t="s">
        <v>43</v>
      </c>
      <c r="AA135" s="867">
        <v>0.12</v>
      </c>
      <c r="AB135" s="868" t="s">
        <v>179</v>
      </c>
      <c r="AC135" s="869" t="s">
        <v>1750</v>
      </c>
    </row>
    <row r="136" spans="1:29" ht="16.5" thickBot="1">
      <c r="A136" s="871" t="s">
        <v>167</v>
      </c>
      <c r="B136" s="807" t="s">
        <v>575</v>
      </c>
      <c r="C136" s="872" t="s">
        <v>1750</v>
      </c>
      <c r="D136" s="873" t="s">
        <v>43</v>
      </c>
      <c r="E136" s="847" t="s">
        <v>1750</v>
      </c>
      <c r="F136" s="873" t="s">
        <v>43</v>
      </c>
      <c r="G136" s="819">
        <v>0.04</v>
      </c>
      <c r="H136" s="874" t="s">
        <v>281</v>
      </c>
      <c r="I136" s="847" t="s">
        <v>1750</v>
      </c>
      <c r="J136" s="873" t="s">
        <v>43</v>
      </c>
      <c r="K136" s="874" t="s">
        <v>1634</v>
      </c>
      <c r="L136" s="873" t="s">
        <v>43</v>
      </c>
      <c r="M136" s="874">
        <v>1</v>
      </c>
      <c r="N136" s="888" t="s">
        <v>1750</v>
      </c>
      <c r="O136" s="820">
        <v>728</v>
      </c>
      <c r="P136" s="876">
        <v>3100</v>
      </c>
      <c r="Q136" s="877" t="s">
        <v>2282</v>
      </c>
      <c r="R136" s="876">
        <v>47000</v>
      </c>
      <c r="S136" s="877" t="s">
        <v>2282</v>
      </c>
      <c r="T136" s="878" t="s">
        <v>1750</v>
      </c>
      <c r="U136" s="879" t="s">
        <v>43</v>
      </c>
      <c r="V136" s="878" t="s">
        <v>1750</v>
      </c>
      <c r="W136" s="879" t="s">
        <v>43</v>
      </c>
      <c r="X136" s="876">
        <v>640</v>
      </c>
      <c r="Y136" s="880" t="s">
        <v>179</v>
      </c>
      <c r="Z136" s="881" t="s">
        <v>43</v>
      </c>
      <c r="AA136" s="882">
        <v>0.26</v>
      </c>
      <c r="AB136" s="883" t="s">
        <v>179</v>
      </c>
      <c r="AC136" s="884" t="s">
        <v>1750</v>
      </c>
    </row>
    <row r="137" spans="1:29" ht="30.75">
      <c r="A137" s="856" t="s">
        <v>60</v>
      </c>
      <c r="B137" s="792" t="s">
        <v>576</v>
      </c>
      <c r="C137" s="857" t="s">
        <v>1750</v>
      </c>
      <c r="D137" s="858" t="s">
        <v>43</v>
      </c>
      <c r="E137" s="843" t="s">
        <v>1750</v>
      </c>
      <c r="F137" s="858" t="s">
        <v>43</v>
      </c>
      <c r="G137" s="843" t="s">
        <v>1750</v>
      </c>
      <c r="H137" s="858" t="s">
        <v>43</v>
      </c>
      <c r="I137" s="804">
        <v>50</v>
      </c>
      <c r="J137" s="859" t="s">
        <v>280</v>
      </c>
      <c r="K137" s="859" t="s">
        <v>1634</v>
      </c>
      <c r="L137" s="858" t="s">
        <v>43</v>
      </c>
      <c r="M137" s="859">
        <v>1</v>
      </c>
      <c r="N137" s="870" t="s">
        <v>1750</v>
      </c>
      <c r="O137" s="805">
        <v>1680</v>
      </c>
      <c r="P137" s="861">
        <v>49000</v>
      </c>
      <c r="Q137" s="862" t="s">
        <v>2282</v>
      </c>
      <c r="R137" s="861">
        <v>210000</v>
      </c>
      <c r="S137" s="862" t="s">
        <v>2280</v>
      </c>
      <c r="T137" s="861">
        <v>52000</v>
      </c>
      <c r="U137" s="862" t="s">
        <v>179</v>
      </c>
      <c r="V137" s="861">
        <v>220000</v>
      </c>
      <c r="W137" s="862" t="s">
        <v>179</v>
      </c>
      <c r="X137" s="861">
        <v>100000</v>
      </c>
      <c r="Y137" s="865" t="s">
        <v>179</v>
      </c>
      <c r="Z137" s="866" t="s">
        <v>43</v>
      </c>
      <c r="AA137" s="867">
        <v>43</v>
      </c>
      <c r="AB137" s="868" t="s">
        <v>179</v>
      </c>
      <c r="AC137" s="869" t="s">
        <v>1750</v>
      </c>
    </row>
    <row r="138" spans="1:29" ht="15.75">
      <c r="A138" s="856" t="s">
        <v>1814</v>
      </c>
      <c r="B138" s="792" t="s">
        <v>1815</v>
      </c>
      <c r="C138" s="857" t="s">
        <v>1750</v>
      </c>
      <c r="D138" s="858" t="s">
        <v>43</v>
      </c>
      <c r="E138" s="843" t="s">
        <v>1750</v>
      </c>
      <c r="F138" s="858" t="s">
        <v>43</v>
      </c>
      <c r="G138" s="804">
        <v>0.02</v>
      </c>
      <c r="H138" s="859" t="s">
        <v>281</v>
      </c>
      <c r="I138" s="843" t="s">
        <v>1750</v>
      </c>
      <c r="J138" s="858" t="s">
        <v>43</v>
      </c>
      <c r="K138" s="859" t="s">
        <v>1634</v>
      </c>
      <c r="L138" s="858" t="s">
        <v>43</v>
      </c>
      <c r="M138" s="859">
        <v>1</v>
      </c>
      <c r="N138" s="870" t="s">
        <v>1750</v>
      </c>
      <c r="O138" s="805">
        <v>111000</v>
      </c>
      <c r="P138" s="861">
        <v>1600</v>
      </c>
      <c r="Q138" s="862" t="s">
        <v>179</v>
      </c>
      <c r="R138" s="861">
        <v>23000</v>
      </c>
      <c r="S138" s="862" t="s">
        <v>179</v>
      </c>
      <c r="T138" s="863" t="s">
        <v>1750</v>
      </c>
      <c r="U138" s="864" t="s">
        <v>43</v>
      </c>
      <c r="V138" s="863" t="s">
        <v>1750</v>
      </c>
      <c r="W138" s="864" t="s">
        <v>43</v>
      </c>
      <c r="X138" s="861">
        <v>400</v>
      </c>
      <c r="Y138" s="865" t="s">
        <v>179</v>
      </c>
      <c r="Z138" s="866" t="s">
        <v>43</v>
      </c>
      <c r="AA138" s="867">
        <v>8.1000000000000003E-2</v>
      </c>
      <c r="AB138" s="868" t="s">
        <v>179</v>
      </c>
      <c r="AC138" s="869" t="s">
        <v>1750</v>
      </c>
    </row>
    <row r="139" spans="1:29" ht="31.5" thickBot="1">
      <c r="A139" s="871" t="s">
        <v>47</v>
      </c>
      <c r="B139" s="807" t="s">
        <v>577</v>
      </c>
      <c r="C139" s="890">
        <v>3.1E-2</v>
      </c>
      <c r="D139" s="874" t="s">
        <v>3</v>
      </c>
      <c r="E139" s="819">
        <v>2.3E-5</v>
      </c>
      <c r="F139" s="874" t="s">
        <v>280</v>
      </c>
      <c r="G139" s="819">
        <v>0.01</v>
      </c>
      <c r="H139" s="874" t="s">
        <v>280</v>
      </c>
      <c r="I139" s="819">
        <v>9.8000000000000004E-2</v>
      </c>
      <c r="J139" s="874" t="s">
        <v>18</v>
      </c>
      <c r="K139" s="874" t="s">
        <v>1634</v>
      </c>
      <c r="L139" s="873" t="s">
        <v>43</v>
      </c>
      <c r="M139" s="874">
        <v>1</v>
      </c>
      <c r="N139" s="888" t="s">
        <v>1750</v>
      </c>
      <c r="O139" s="820">
        <v>2540</v>
      </c>
      <c r="P139" s="876">
        <v>0.32</v>
      </c>
      <c r="Q139" s="877" t="s">
        <v>2283</v>
      </c>
      <c r="R139" s="876">
        <v>1.4</v>
      </c>
      <c r="S139" s="877" t="s">
        <v>2283</v>
      </c>
      <c r="T139" s="876">
        <v>0.12</v>
      </c>
      <c r="U139" s="877" t="s">
        <v>2283</v>
      </c>
      <c r="V139" s="876">
        <v>0.53</v>
      </c>
      <c r="W139" s="877" t="s">
        <v>2283</v>
      </c>
      <c r="X139" s="876">
        <v>0.22</v>
      </c>
      <c r="Y139" s="880" t="s">
        <v>2283</v>
      </c>
      <c r="Z139" s="893" t="s">
        <v>2286</v>
      </c>
      <c r="AA139" s="882">
        <v>6.0999999999999999E-5</v>
      </c>
      <c r="AB139" s="883" t="s">
        <v>2283</v>
      </c>
      <c r="AC139" s="894">
        <v>2.1999999999999999E-2</v>
      </c>
    </row>
    <row r="140" spans="1:29" ht="15.75">
      <c r="A140" s="856" t="s">
        <v>578</v>
      </c>
      <c r="B140" s="792" t="s">
        <v>579</v>
      </c>
      <c r="C140" s="857" t="s">
        <v>1750</v>
      </c>
      <c r="D140" s="858" t="s">
        <v>43</v>
      </c>
      <c r="E140" s="843" t="s">
        <v>1750</v>
      </c>
      <c r="F140" s="858" t="s">
        <v>43</v>
      </c>
      <c r="G140" s="843" t="s">
        <v>1750</v>
      </c>
      <c r="H140" s="858" t="s">
        <v>43</v>
      </c>
      <c r="I140" s="804">
        <v>0.09</v>
      </c>
      <c r="J140" s="859" t="s">
        <v>280</v>
      </c>
      <c r="K140" s="859" t="s">
        <v>1634</v>
      </c>
      <c r="L140" s="858" t="s">
        <v>43</v>
      </c>
      <c r="M140" s="859">
        <v>1</v>
      </c>
      <c r="N140" s="870" t="s">
        <v>1750</v>
      </c>
      <c r="O140" s="805">
        <v>1320</v>
      </c>
      <c r="P140" s="861">
        <v>110</v>
      </c>
      <c r="Q140" s="862" t="s">
        <v>179</v>
      </c>
      <c r="R140" s="861">
        <v>460</v>
      </c>
      <c r="S140" s="862" t="s">
        <v>179</v>
      </c>
      <c r="T140" s="861">
        <v>94</v>
      </c>
      <c r="U140" s="862" t="s">
        <v>179</v>
      </c>
      <c r="V140" s="861">
        <v>390</v>
      </c>
      <c r="W140" s="862" t="s">
        <v>179</v>
      </c>
      <c r="X140" s="861">
        <v>190</v>
      </c>
      <c r="Y140" s="865" t="s">
        <v>179</v>
      </c>
      <c r="Z140" s="866" t="s">
        <v>43</v>
      </c>
      <c r="AA140" s="867">
        <v>4.9000000000000002E-2</v>
      </c>
      <c r="AB140" s="868" t="s">
        <v>179</v>
      </c>
      <c r="AC140" s="869" t="s">
        <v>1750</v>
      </c>
    </row>
    <row r="141" spans="1:29" ht="30.75">
      <c r="A141" s="856" t="s">
        <v>580</v>
      </c>
      <c r="B141" s="792" t="s">
        <v>581</v>
      </c>
      <c r="C141" s="889">
        <v>2.4</v>
      </c>
      <c r="D141" s="859" t="s">
        <v>3</v>
      </c>
      <c r="E141" s="804">
        <v>6.8999999999999997E-4</v>
      </c>
      <c r="F141" s="859" t="s">
        <v>3</v>
      </c>
      <c r="G141" s="843" t="s">
        <v>1750</v>
      </c>
      <c r="H141" s="858" t="s">
        <v>43</v>
      </c>
      <c r="I141" s="843" t="s">
        <v>1750</v>
      </c>
      <c r="J141" s="858" t="s">
        <v>43</v>
      </c>
      <c r="K141" s="859" t="s">
        <v>1634</v>
      </c>
      <c r="L141" s="858" t="s">
        <v>43</v>
      </c>
      <c r="M141" s="859">
        <v>1</v>
      </c>
      <c r="N141" s="870" t="s">
        <v>1750</v>
      </c>
      <c r="O141" s="805">
        <v>9320</v>
      </c>
      <c r="P141" s="861">
        <v>0.02</v>
      </c>
      <c r="Q141" s="862" t="s">
        <v>2283</v>
      </c>
      <c r="R141" s="861">
        <v>8.8999999999999996E-2</v>
      </c>
      <c r="S141" s="862" t="s">
        <v>2283</v>
      </c>
      <c r="T141" s="861">
        <v>4.1000000000000003E-3</v>
      </c>
      <c r="U141" s="862" t="s">
        <v>2283</v>
      </c>
      <c r="V141" s="861">
        <v>1.7999999999999999E-2</v>
      </c>
      <c r="W141" s="862" t="s">
        <v>2283</v>
      </c>
      <c r="X141" s="861">
        <v>6.4999999999999997E-3</v>
      </c>
      <c r="Y141" s="865" t="s">
        <v>2283</v>
      </c>
      <c r="Z141" s="866" t="s">
        <v>43</v>
      </c>
      <c r="AA141" s="867">
        <v>1.3999999999999999E-6</v>
      </c>
      <c r="AB141" s="868" t="s">
        <v>2283</v>
      </c>
      <c r="AC141" s="869" t="s">
        <v>1750</v>
      </c>
    </row>
    <row r="142" spans="1:29" ht="31.5" thickBot="1">
      <c r="A142" s="871" t="s">
        <v>583</v>
      </c>
      <c r="B142" s="807" t="s">
        <v>584</v>
      </c>
      <c r="C142" s="890">
        <v>0.3</v>
      </c>
      <c r="D142" s="874" t="s">
        <v>281</v>
      </c>
      <c r="E142" s="847" t="s">
        <v>1750</v>
      </c>
      <c r="F142" s="873" t="s">
        <v>43</v>
      </c>
      <c r="G142" s="819">
        <v>3.0000000000000001E-3</v>
      </c>
      <c r="H142" s="874" t="s">
        <v>281</v>
      </c>
      <c r="I142" s="819">
        <v>1.0000000000000001E-5</v>
      </c>
      <c r="J142" s="874" t="s">
        <v>0</v>
      </c>
      <c r="K142" s="873" t="s">
        <v>43</v>
      </c>
      <c r="L142" s="873" t="s">
        <v>43</v>
      </c>
      <c r="M142" s="874">
        <v>1</v>
      </c>
      <c r="N142" s="874">
        <v>0.1</v>
      </c>
      <c r="O142" s="875" t="s">
        <v>1750</v>
      </c>
      <c r="P142" s="876">
        <v>1.8</v>
      </c>
      <c r="Q142" s="877" t="s">
        <v>2283</v>
      </c>
      <c r="R142" s="876">
        <v>7.7</v>
      </c>
      <c r="S142" s="877" t="s">
        <v>2283</v>
      </c>
      <c r="T142" s="876">
        <v>0.01</v>
      </c>
      <c r="U142" s="877" t="s">
        <v>179</v>
      </c>
      <c r="V142" s="876">
        <v>4.3999999999999997E-2</v>
      </c>
      <c r="W142" s="877" t="s">
        <v>179</v>
      </c>
      <c r="X142" s="876">
        <v>0.24</v>
      </c>
      <c r="Y142" s="880" t="s">
        <v>2283</v>
      </c>
      <c r="Z142" s="881" t="s">
        <v>43</v>
      </c>
      <c r="AA142" s="882">
        <v>2.2000000000000001E-4</v>
      </c>
      <c r="AB142" s="883" t="s">
        <v>2283</v>
      </c>
      <c r="AC142" s="884" t="s">
        <v>1750</v>
      </c>
    </row>
    <row r="143" spans="1:29" ht="30.75">
      <c r="A143" s="856" t="s">
        <v>585</v>
      </c>
      <c r="B143" s="792" t="s">
        <v>586</v>
      </c>
      <c r="C143" s="889">
        <v>0.06</v>
      </c>
      <c r="D143" s="859" t="s">
        <v>281</v>
      </c>
      <c r="E143" s="843" t="s">
        <v>1750</v>
      </c>
      <c r="F143" s="858" t="s">
        <v>43</v>
      </c>
      <c r="G143" s="804">
        <v>6.9999999999999999E-4</v>
      </c>
      <c r="H143" s="859" t="s">
        <v>281</v>
      </c>
      <c r="I143" s="804">
        <v>2E-3</v>
      </c>
      <c r="J143" s="859" t="s">
        <v>281</v>
      </c>
      <c r="K143" s="858" t="s">
        <v>43</v>
      </c>
      <c r="L143" s="858" t="s">
        <v>43</v>
      </c>
      <c r="M143" s="859">
        <v>1</v>
      </c>
      <c r="N143" s="859">
        <v>0.1</v>
      </c>
      <c r="O143" s="860" t="s">
        <v>1750</v>
      </c>
      <c r="P143" s="861">
        <v>9</v>
      </c>
      <c r="Q143" s="862" t="s">
        <v>2278</v>
      </c>
      <c r="R143" s="861">
        <v>38</v>
      </c>
      <c r="S143" s="862" t="s">
        <v>2279</v>
      </c>
      <c r="T143" s="861">
        <v>2.1</v>
      </c>
      <c r="U143" s="862" t="s">
        <v>179</v>
      </c>
      <c r="V143" s="861">
        <v>8.8000000000000007</v>
      </c>
      <c r="W143" s="862" t="s">
        <v>179</v>
      </c>
      <c r="X143" s="861">
        <v>1.2</v>
      </c>
      <c r="Y143" s="865" t="s">
        <v>2279</v>
      </c>
      <c r="Z143" s="866" t="s">
        <v>43</v>
      </c>
      <c r="AA143" s="867">
        <v>1.1000000000000001E-3</v>
      </c>
      <c r="AB143" s="868" t="s">
        <v>2279</v>
      </c>
      <c r="AC143" s="869" t="s">
        <v>1750</v>
      </c>
    </row>
    <row r="144" spans="1:29" ht="15.75">
      <c r="A144" s="856" t="s">
        <v>168</v>
      </c>
      <c r="B144" s="792" t="s">
        <v>587</v>
      </c>
      <c r="C144" s="857" t="s">
        <v>1750</v>
      </c>
      <c r="D144" s="858" t="s">
        <v>43</v>
      </c>
      <c r="E144" s="843" t="s">
        <v>1750</v>
      </c>
      <c r="F144" s="858" t="s">
        <v>43</v>
      </c>
      <c r="G144" s="804">
        <v>5.0000000000000001E-3</v>
      </c>
      <c r="H144" s="859" t="s">
        <v>280</v>
      </c>
      <c r="I144" s="843" t="s">
        <v>1750</v>
      </c>
      <c r="J144" s="858" t="s">
        <v>43</v>
      </c>
      <c r="K144" s="859" t="s">
        <v>1634</v>
      </c>
      <c r="L144" s="858" t="s">
        <v>43</v>
      </c>
      <c r="M144" s="859">
        <v>1</v>
      </c>
      <c r="N144" s="870" t="s">
        <v>1750</v>
      </c>
      <c r="O144" s="805">
        <v>27400</v>
      </c>
      <c r="P144" s="861">
        <v>390</v>
      </c>
      <c r="Q144" s="862" t="s">
        <v>179</v>
      </c>
      <c r="R144" s="861">
        <v>5800</v>
      </c>
      <c r="S144" s="862" t="s">
        <v>179</v>
      </c>
      <c r="T144" s="863" t="s">
        <v>1750</v>
      </c>
      <c r="U144" s="864" t="s">
        <v>43</v>
      </c>
      <c r="V144" s="863" t="s">
        <v>1750</v>
      </c>
      <c r="W144" s="864" t="s">
        <v>43</v>
      </c>
      <c r="X144" s="861">
        <v>91</v>
      </c>
      <c r="Y144" s="865" t="s">
        <v>179</v>
      </c>
      <c r="Z144" s="866" t="s">
        <v>43</v>
      </c>
      <c r="AA144" s="867">
        <v>8.8999999999999996E-2</v>
      </c>
      <c r="AB144" s="868" t="s">
        <v>179</v>
      </c>
      <c r="AC144" s="869" t="s">
        <v>1750</v>
      </c>
    </row>
    <row r="145" spans="1:29" ht="16.5" thickBot="1">
      <c r="A145" s="871" t="s">
        <v>588</v>
      </c>
      <c r="B145" s="807" t="s">
        <v>589</v>
      </c>
      <c r="C145" s="872" t="s">
        <v>1750</v>
      </c>
      <c r="D145" s="873" t="s">
        <v>43</v>
      </c>
      <c r="E145" s="847" t="s">
        <v>1750</v>
      </c>
      <c r="F145" s="873" t="s">
        <v>43</v>
      </c>
      <c r="G145" s="847" t="s">
        <v>1750</v>
      </c>
      <c r="H145" s="873" t="s">
        <v>43</v>
      </c>
      <c r="I145" s="819">
        <v>4.0000000000000002E-4</v>
      </c>
      <c r="J145" s="874" t="s">
        <v>3</v>
      </c>
      <c r="K145" s="874" t="s">
        <v>1634</v>
      </c>
      <c r="L145" s="873" t="s">
        <v>43</v>
      </c>
      <c r="M145" s="874">
        <v>1</v>
      </c>
      <c r="N145" s="888" t="s">
        <v>1750</v>
      </c>
      <c r="O145" s="820">
        <v>617</v>
      </c>
      <c r="P145" s="876">
        <v>2</v>
      </c>
      <c r="Q145" s="877" t="s">
        <v>179</v>
      </c>
      <c r="R145" s="876">
        <v>8.1999999999999993</v>
      </c>
      <c r="S145" s="877" t="s">
        <v>179</v>
      </c>
      <c r="T145" s="876">
        <v>0.42</v>
      </c>
      <c r="U145" s="877" t="s">
        <v>179</v>
      </c>
      <c r="V145" s="876">
        <v>1.8</v>
      </c>
      <c r="W145" s="877" t="s">
        <v>179</v>
      </c>
      <c r="X145" s="876">
        <v>0.83</v>
      </c>
      <c r="Y145" s="880" t="s">
        <v>179</v>
      </c>
      <c r="Z145" s="881" t="s">
        <v>43</v>
      </c>
      <c r="AA145" s="882">
        <v>2.5000000000000001E-4</v>
      </c>
      <c r="AB145" s="883" t="s">
        <v>179</v>
      </c>
      <c r="AC145" s="884" t="s">
        <v>1750</v>
      </c>
    </row>
    <row r="146" spans="1:29" ht="15.75">
      <c r="A146" s="856" t="s">
        <v>590</v>
      </c>
      <c r="B146" s="792" t="s">
        <v>591</v>
      </c>
      <c r="C146" s="889">
        <v>3.0999999999999999E-3</v>
      </c>
      <c r="D146" s="859" t="s">
        <v>3</v>
      </c>
      <c r="E146" s="804">
        <v>8.8999999999999995E-7</v>
      </c>
      <c r="F146" s="859" t="s">
        <v>3</v>
      </c>
      <c r="G146" s="804">
        <v>1.4999999999999999E-2</v>
      </c>
      <c r="H146" s="859" t="s">
        <v>280</v>
      </c>
      <c r="I146" s="843" t="s">
        <v>1750</v>
      </c>
      <c r="J146" s="858" t="s">
        <v>43</v>
      </c>
      <c r="K146" s="858" t="s">
        <v>43</v>
      </c>
      <c r="L146" s="858" t="s">
        <v>43</v>
      </c>
      <c r="M146" s="859">
        <v>1</v>
      </c>
      <c r="N146" s="859">
        <v>0.1</v>
      </c>
      <c r="O146" s="860" t="s">
        <v>1750</v>
      </c>
      <c r="P146" s="861">
        <v>180</v>
      </c>
      <c r="Q146" s="862" t="s">
        <v>2278</v>
      </c>
      <c r="R146" s="861">
        <v>740</v>
      </c>
      <c r="S146" s="862" t="s">
        <v>2279</v>
      </c>
      <c r="T146" s="861">
        <v>3.2</v>
      </c>
      <c r="U146" s="862" t="s">
        <v>2283</v>
      </c>
      <c r="V146" s="861">
        <v>14</v>
      </c>
      <c r="W146" s="862" t="s">
        <v>2283</v>
      </c>
      <c r="X146" s="861">
        <v>22</v>
      </c>
      <c r="Y146" s="865" t="s">
        <v>2279</v>
      </c>
      <c r="Z146" s="866" t="s">
        <v>43</v>
      </c>
      <c r="AA146" s="867">
        <v>0.05</v>
      </c>
      <c r="AB146" s="868" t="s">
        <v>2279</v>
      </c>
      <c r="AC146" s="869" t="s">
        <v>1750</v>
      </c>
    </row>
    <row r="147" spans="1:29" ht="15.75">
      <c r="A147" s="856" t="s">
        <v>592</v>
      </c>
      <c r="B147" s="792" t="s">
        <v>593</v>
      </c>
      <c r="C147" s="857" t="s">
        <v>1750</v>
      </c>
      <c r="D147" s="858" t="s">
        <v>43</v>
      </c>
      <c r="E147" s="843" t="s">
        <v>1750</v>
      </c>
      <c r="F147" s="858" t="s">
        <v>43</v>
      </c>
      <c r="G147" s="804">
        <v>0.02</v>
      </c>
      <c r="H147" s="859" t="s">
        <v>280</v>
      </c>
      <c r="I147" s="843" t="s">
        <v>1750</v>
      </c>
      <c r="J147" s="858" t="s">
        <v>43</v>
      </c>
      <c r="K147" s="859" t="s">
        <v>1634</v>
      </c>
      <c r="L147" s="858" t="s">
        <v>43</v>
      </c>
      <c r="M147" s="859">
        <v>1</v>
      </c>
      <c r="N147" s="870" t="s">
        <v>1750</v>
      </c>
      <c r="O147" s="805">
        <v>907</v>
      </c>
      <c r="P147" s="861">
        <v>1600</v>
      </c>
      <c r="Q147" s="862" t="s">
        <v>2282</v>
      </c>
      <c r="R147" s="861">
        <v>23000</v>
      </c>
      <c r="S147" s="862" t="s">
        <v>2282</v>
      </c>
      <c r="T147" s="863" t="s">
        <v>1750</v>
      </c>
      <c r="U147" s="864" t="s">
        <v>43</v>
      </c>
      <c r="V147" s="863" t="s">
        <v>1750</v>
      </c>
      <c r="W147" s="864" t="s">
        <v>43</v>
      </c>
      <c r="X147" s="861">
        <v>240</v>
      </c>
      <c r="Y147" s="865" t="s">
        <v>179</v>
      </c>
      <c r="Z147" s="866" t="s">
        <v>43</v>
      </c>
      <c r="AA147" s="867">
        <v>0.23</v>
      </c>
      <c r="AB147" s="868" t="s">
        <v>179</v>
      </c>
      <c r="AC147" s="869" t="s">
        <v>1750</v>
      </c>
    </row>
    <row r="148" spans="1:29" ht="16.5" thickBot="1">
      <c r="A148" s="871" t="s">
        <v>594</v>
      </c>
      <c r="B148" s="807" t="s">
        <v>595</v>
      </c>
      <c r="C148" s="872" t="s">
        <v>1750</v>
      </c>
      <c r="D148" s="873" t="s">
        <v>43</v>
      </c>
      <c r="E148" s="847" t="s">
        <v>1750</v>
      </c>
      <c r="F148" s="873" t="s">
        <v>43</v>
      </c>
      <c r="G148" s="819">
        <v>0.02</v>
      </c>
      <c r="H148" s="874" t="s">
        <v>0</v>
      </c>
      <c r="I148" s="847" t="s">
        <v>1750</v>
      </c>
      <c r="J148" s="873" t="s">
        <v>43</v>
      </c>
      <c r="K148" s="874" t="s">
        <v>1634</v>
      </c>
      <c r="L148" s="873" t="s">
        <v>43</v>
      </c>
      <c r="M148" s="874">
        <v>1</v>
      </c>
      <c r="N148" s="888" t="s">
        <v>1750</v>
      </c>
      <c r="O148" s="820">
        <v>253</v>
      </c>
      <c r="P148" s="876">
        <v>1600</v>
      </c>
      <c r="Q148" s="877" t="s">
        <v>2282</v>
      </c>
      <c r="R148" s="876">
        <v>23000</v>
      </c>
      <c r="S148" s="877" t="s">
        <v>2282</v>
      </c>
      <c r="T148" s="878" t="s">
        <v>1750</v>
      </c>
      <c r="U148" s="879" t="s">
        <v>43</v>
      </c>
      <c r="V148" s="878" t="s">
        <v>1750</v>
      </c>
      <c r="W148" s="879" t="s">
        <v>43</v>
      </c>
      <c r="X148" s="876">
        <v>250</v>
      </c>
      <c r="Y148" s="880" t="s">
        <v>179</v>
      </c>
      <c r="Z148" s="881" t="s">
        <v>43</v>
      </c>
      <c r="AA148" s="882">
        <v>0.24</v>
      </c>
      <c r="AB148" s="883" t="s">
        <v>179</v>
      </c>
      <c r="AC148" s="884" t="s">
        <v>1750</v>
      </c>
    </row>
    <row r="149" spans="1:29" ht="30.75">
      <c r="A149" s="856" t="s">
        <v>596</v>
      </c>
      <c r="B149" s="792" t="s">
        <v>597</v>
      </c>
      <c r="C149" s="889">
        <v>240</v>
      </c>
      <c r="D149" s="859" t="s">
        <v>3</v>
      </c>
      <c r="E149" s="804">
        <v>6.9000000000000006E-2</v>
      </c>
      <c r="F149" s="859" t="s">
        <v>3</v>
      </c>
      <c r="G149" s="843" t="s">
        <v>1750</v>
      </c>
      <c r="H149" s="858" t="s">
        <v>43</v>
      </c>
      <c r="I149" s="843" t="s">
        <v>1750</v>
      </c>
      <c r="J149" s="858" t="s">
        <v>43</v>
      </c>
      <c r="K149" s="858" t="s">
        <v>43</v>
      </c>
      <c r="L149" s="858" t="s">
        <v>43</v>
      </c>
      <c r="M149" s="859">
        <v>1</v>
      </c>
      <c r="N149" s="859">
        <v>0.1</v>
      </c>
      <c r="O149" s="860" t="s">
        <v>1750</v>
      </c>
      <c r="P149" s="861">
        <v>2.3E-3</v>
      </c>
      <c r="Q149" s="862" t="s">
        <v>2283</v>
      </c>
      <c r="R149" s="861">
        <v>9.5999999999999992E-3</v>
      </c>
      <c r="S149" s="862" t="s">
        <v>2283</v>
      </c>
      <c r="T149" s="861">
        <v>4.1E-5</v>
      </c>
      <c r="U149" s="862" t="s">
        <v>2283</v>
      </c>
      <c r="V149" s="861">
        <v>1.8000000000000001E-4</v>
      </c>
      <c r="W149" s="862" t="s">
        <v>2283</v>
      </c>
      <c r="X149" s="861">
        <v>3.2000000000000003E-4</v>
      </c>
      <c r="Y149" s="865" t="s">
        <v>2283</v>
      </c>
      <c r="Z149" s="866" t="s">
        <v>43</v>
      </c>
      <c r="AA149" s="867">
        <v>7.1E-8</v>
      </c>
      <c r="AB149" s="868" t="s">
        <v>2283</v>
      </c>
      <c r="AC149" s="869" t="s">
        <v>1750</v>
      </c>
    </row>
    <row r="150" spans="1:29" ht="15.75">
      <c r="A150" s="856" t="s">
        <v>598</v>
      </c>
      <c r="B150" s="792" t="s">
        <v>599</v>
      </c>
      <c r="C150" s="857" t="s">
        <v>1750</v>
      </c>
      <c r="D150" s="858" t="s">
        <v>43</v>
      </c>
      <c r="E150" s="843" t="s">
        <v>1750</v>
      </c>
      <c r="F150" s="858" t="s">
        <v>43</v>
      </c>
      <c r="G150" s="804">
        <v>0.05</v>
      </c>
      <c r="H150" s="859" t="s">
        <v>2463</v>
      </c>
      <c r="I150" s="843" t="s">
        <v>1750</v>
      </c>
      <c r="J150" s="858" t="s">
        <v>43</v>
      </c>
      <c r="K150" s="858" t="s">
        <v>43</v>
      </c>
      <c r="L150" s="858" t="s">
        <v>43</v>
      </c>
      <c r="M150" s="859">
        <v>1</v>
      </c>
      <c r="N150" s="859">
        <v>0.1</v>
      </c>
      <c r="O150" s="860" t="s">
        <v>1750</v>
      </c>
      <c r="P150" s="861">
        <v>3200</v>
      </c>
      <c r="Q150" s="862" t="s">
        <v>179</v>
      </c>
      <c r="R150" s="861">
        <v>41000</v>
      </c>
      <c r="S150" s="862" t="s">
        <v>179</v>
      </c>
      <c r="T150" s="863" t="s">
        <v>1750</v>
      </c>
      <c r="U150" s="864" t="s">
        <v>43</v>
      </c>
      <c r="V150" s="863" t="s">
        <v>1750</v>
      </c>
      <c r="W150" s="864" t="s">
        <v>43</v>
      </c>
      <c r="X150" s="861">
        <v>710</v>
      </c>
      <c r="Y150" s="865" t="s">
        <v>179</v>
      </c>
      <c r="Z150" s="866" t="s">
        <v>43</v>
      </c>
      <c r="AA150" s="867">
        <v>0.64</v>
      </c>
      <c r="AB150" s="868" t="s">
        <v>179</v>
      </c>
      <c r="AC150" s="869" t="s">
        <v>1750</v>
      </c>
    </row>
    <row r="151" spans="1:29" ht="16.5" thickBot="1">
      <c r="A151" s="871" t="s">
        <v>600</v>
      </c>
      <c r="B151" s="807" t="s">
        <v>601</v>
      </c>
      <c r="C151" s="872" t="s">
        <v>1750</v>
      </c>
      <c r="D151" s="873" t="s">
        <v>43</v>
      </c>
      <c r="E151" s="847" t="s">
        <v>1750</v>
      </c>
      <c r="F151" s="873" t="s">
        <v>43</v>
      </c>
      <c r="G151" s="819">
        <v>1E-3</v>
      </c>
      <c r="H151" s="874" t="s">
        <v>18</v>
      </c>
      <c r="I151" s="847" t="s">
        <v>1750</v>
      </c>
      <c r="J151" s="873" t="s">
        <v>43</v>
      </c>
      <c r="K151" s="873" t="s">
        <v>43</v>
      </c>
      <c r="L151" s="873" t="s">
        <v>43</v>
      </c>
      <c r="M151" s="874">
        <v>1</v>
      </c>
      <c r="N151" s="874">
        <v>0.1</v>
      </c>
      <c r="O151" s="875" t="s">
        <v>1750</v>
      </c>
      <c r="P151" s="876">
        <v>63</v>
      </c>
      <c r="Q151" s="877" t="s">
        <v>179</v>
      </c>
      <c r="R151" s="876">
        <v>820</v>
      </c>
      <c r="S151" s="877" t="s">
        <v>179</v>
      </c>
      <c r="T151" s="878" t="s">
        <v>1750</v>
      </c>
      <c r="U151" s="879" t="s">
        <v>43</v>
      </c>
      <c r="V151" s="878" t="s">
        <v>1750</v>
      </c>
      <c r="W151" s="879" t="s">
        <v>43</v>
      </c>
      <c r="X151" s="876">
        <v>8.4</v>
      </c>
      <c r="Y151" s="880" t="s">
        <v>179</v>
      </c>
      <c r="Z151" s="881" t="s">
        <v>43</v>
      </c>
      <c r="AA151" s="882">
        <v>0.12</v>
      </c>
      <c r="AB151" s="883" t="s">
        <v>179</v>
      </c>
      <c r="AC151" s="884" t="s">
        <v>1750</v>
      </c>
    </row>
    <row r="152" spans="1:29" ht="15.75">
      <c r="A152" s="856" t="s">
        <v>602</v>
      </c>
      <c r="B152" s="792" t="s">
        <v>603</v>
      </c>
      <c r="C152" s="857" t="s">
        <v>1750</v>
      </c>
      <c r="D152" s="858" t="s">
        <v>43</v>
      </c>
      <c r="E152" s="843" t="s">
        <v>1750</v>
      </c>
      <c r="F152" s="858" t="s">
        <v>43</v>
      </c>
      <c r="G152" s="804">
        <v>0.01</v>
      </c>
      <c r="H152" s="859" t="s">
        <v>13</v>
      </c>
      <c r="I152" s="843" t="s">
        <v>1750</v>
      </c>
      <c r="J152" s="858" t="s">
        <v>43</v>
      </c>
      <c r="K152" s="858" t="s">
        <v>43</v>
      </c>
      <c r="L152" s="858" t="s">
        <v>43</v>
      </c>
      <c r="M152" s="859">
        <v>1</v>
      </c>
      <c r="N152" s="859">
        <v>0.1</v>
      </c>
      <c r="O152" s="860" t="s">
        <v>1750</v>
      </c>
      <c r="P152" s="861">
        <v>630</v>
      </c>
      <c r="Q152" s="862" t="s">
        <v>179</v>
      </c>
      <c r="R152" s="861">
        <v>8200</v>
      </c>
      <c r="S152" s="862" t="s">
        <v>179</v>
      </c>
      <c r="T152" s="863" t="s">
        <v>1750</v>
      </c>
      <c r="U152" s="864" t="s">
        <v>43</v>
      </c>
      <c r="V152" s="863" t="s">
        <v>1750</v>
      </c>
      <c r="W152" s="864" t="s">
        <v>43</v>
      </c>
      <c r="X152" s="861">
        <v>120</v>
      </c>
      <c r="Y152" s="865" t="s">
        <v>179</v>
      </c>
      <c r="Z152" s="866" t="s">
        <v>43</v>
      </c>
      <c r="AA152" s="867">
        <v>0.54</v>
      </c>
      <c r="AB152" s="868" t="s">
        <v>179</v>
      </c>
      <c r="AC152" s="869" t="s">
        <v>1750</v>
      </c>
    </row>
    <row r="153" spans="1:29" ht="30.75">
      <c r="A153" s="856" t="s">
        <v>604</v>
      </c>
      <c r="B153" s="792" t="s">
        <v>605</v>
      </c>
      <c r="C153" s="857" t="s">
        <v>1750</v>
      </c>
      <c r="D153" s="858" t="s">
        <v>43</v>
      </c>
      <c r="E153" s="843" t="s">
        <v>1750</v>
      </c>
      <c r="F153" s="858" t="s">
        <v>43</v>
      </c>
      <c r="G153" s="804">
        <v>0.02</v>
      </c>
      <c r="H153" s="859" t="s">
        <v>2463</v>
      </c>
      <c r="I153" s="843" t="s">
        <v>1750</v>
      </c>
      <c r="J153" s="858" t="s">
        <v>43</v>
      </c>
      <c r="K153" s="858" t="s">
        <v>43</v>
      </c>
      <c r="L153" s="858" t="s">
        <v>43</v>
      </c>
      <c r="M153" s="859">
        <v>1</v>
      </c>
      <c r="N153" s="859">
        <v>0.1</v>
      </c>
      <c r="O153" s="860" t="s">
        <v>1750</v>
      </c>
      <c r="P153" s="861">
        <v>1300</v>
      </c>
      <c r="Q153" s="862" t="s">
        <v>179</v>
      </c>
      <c r="R153" s="861">
        <v>16000</v>
      </c>
      <c r="S153" s="862" t="s">
        <v>179</v>
      </c>
      <c r="T153" s="863" t="s">
        <v>1750</v>
      </c>
      <c r="U153" s="864" t="s">
        <v>43</v>
      </c>
      <c r="V153" s="863" t="s">
        <v>1750</v>
      </c>
      <c r="W153" s="864" t="s">
        <v>43</v>
      </c>
      <c r="X153" s="861">
        <v>390</v>
      </c>
      <c r="Y153" s="865" t="s">
        <v>179</v>
      </c>
      <c r="Z153" s="866" t="s">
        <v>43</v>
      </c>
      <c r="AA153" s="867">
        <v>0.33</v>
      </c>
      <c r="AB153" s="868" t="s">
        <v>179</v>
      </c>
      <c r="AC153" s="869" t="s">
        <v>1750</v>
      </c>
    </row>
    <row r="154" spans="1:29" ht="16.5" thickBot="1">
      <c r="A154" s="871" t="s">
        <v>2215</v>
      </c>
      <c r="B154" s="807" t="s">
        <v>682</v>
      </c>
      <c r="C154" s="872" t="s">
        <v>1750</v>
      </c>
      <c r="D154" s="873" t="s">
        <v>43</v>
      </c>
      <c r="E154" s="847" t="s">
        <v>1750</v>
      </c>
      <c r="F154" s="873" t="s">
        <v>43</v>
      </c>
      <c r="G154" s="819">
        <v>0.01</v>
      </c>
      <c r="H154" s="874" t="s">
        <v>280</v>
      </c>
      <c r="I154" s="847" t="s">
        <v>1750</v>
      </c>
      <c r="J154" s="873" t="s">
        <v>43</v>
      </c>
      <c r="K154" s="873" t="s">
        <v>43</v>
      </c>
      <c r="L154" s="873" t="s">
        <v>43</v>
      </c>
      <c r="M154" s="874">
        <v>1</v>
      </c>
      <c r="N154" s="874">
        <v>0.1</v>
      </c>
      <c r="O154" s="875" t="s">
        <v>1750</v>
      </c>
      <c r="P154" s="876">
        <v>630</v>
      </c>
      <c r="Q154" s="877" t="s">
        <v>179</v>
      </c>
      <c r="R154" s="876">
        <v>8200</v>
      </c>
      <c r="S154" s="877" t="s">
        <v>179</v>
      </c>
      <c r="T154" s="878" t="s">
        <v>1750</v>
      </c>
      <c r="U154" s="879" t="s">
        <v>43</v>
      </c>
      <c r="V154" s="878" t="s">
        <v>1750</v>
      </c>
      <c r="W154" s="879" t="s">
        <v>43</v>
      </c>
      <c r="X154" s="876">
        <v>120</v>
      </c>
      <c r="Y154" s="880" t="s">
        <v>179</v>
      </c>
      <c r="Z154" s="881" t="s">
        <v>43</v>
      </c>
      <c r="AA154" s="882">
        <v>0.15</v>
      </c>
      <c r="AB154" s="883" t="s">
        <v>179</v>
      </c>
      <c r="AC154" s="884" t="s">
        <v>1750</v>
      </c>
    </row>
    <row r="155" spans="1:29" ht="30.75">
      <c r="A155" s="856" t="s">
        <v>606</v>
      </c>
      <c r="B155" s="792" t="s">
        <v>607</v>
      </c>
      <c r="C155" s="857" t="s">
        <v>1750</v>
      </c>
      <c r="D155" s="858" t="s">
        <v>43</v>
      </c>
      <c r="E155" s="843" t="s">
        <v>1750</v>
      </c>
      <c r="F155" s="858" t="s">
        <v>43</v>
      </c>
      <c r="G155" s="804">
        <v>8.0000000000000004E-4</v>
      </c>
      <c r="H155" s="859" t="s">
        <v>13</v>
      </c>
      <c r="I155" s="843" t="s">
        <v>1750</v>
      </c>
      <c r="J155" s="858" t="s">
        <v>43</v>
      </c>
      <c r="K155" s="858" t="s">
        <v>43</v>
      </c>
      <c r="L155" s="858" t="s">
        <v>43</v>
      </c>
      <c r="M155" s="859">
        <v>1</v>
      </c>
      <c r="N155" s="859">
        <v>0.1</v>
      </c>
      <c r="O155" s="860" t="s">
        <v>1750</v>
      </c>
      <c r="P155" s="861">
        <v>51</v>
      </c>
      <c r="Q155" s="862" t="s">
        <v>179</v>
      </c>
      <c r="R155" s="861">
        <v>660</v>
      </c>
      <c r="S155" s="862" t="s">
        <v>179</v>
      </c>
      <c r="T155" s="863" t="s">
        <v>1750</v>
      </c>
      <c r="U155" s="864" t="s">
        <v>43</v>
      </c>
      <c r="V155" s="863" t="s">
        <v>1750</v>
      </c>
      <c r="W155" s="864" t="s">
        <v>43</v>
      </c>
      <c r="X155" s="861">
        <v>2.8</v>
      </c>
      <c r="Y155" s="865" t="s">
        <v>179</v>
      </c>
      <c r="Z155" s="866" t="s">
        <v>43</v>
      </c>
      <c r="AA155" s="867">
        <v>7.2999999999999995E-2</v>
      </c>
      <c r="AB155" s="868" t="s">
        <v>179</v>
      </c>
      <c r="AC155" s="869" t="s">
        <v>1750</v>
      </c>
    </row>
    <row r="156" spans="1:29" ht="30.75">
      <c r="A156" s="856" t="s">
        <v>608</v>
      </c>
      <c r="B156" s="792" t="s">
        <v>609</v>
      </c>
      <c r="C156" s="857" t="s">
        <v>1750</v>
      </c>
      <c r="D156" s="858" t="s">
        <v>43</v>
      </c>
      <c r="E156" s="843" t="s">
        <v>1750</v>
      </c>
      <c r="F156" s="858" t="s">
        <v>43</v>
      </c>
      <c r="G156" s="804">
        <v>1.5</v>
      </c>
      <c r="H156" s="859" t="s">
        <v>280</v>
      </c>
      <c r="I156" s="843" t="s">
        <v>1750</v>
      </c>
      <c r="J156" s="858" t="s">
        <v>43</v>
      </c>
      <c r="K156" s="858" t="s">
        <v>43</v>
      </c>
      <c r="L156" s="858" t="s">
        <v>43</v>
      </c>
      <c r="M156" s="859">
        <v>1.2999999999999999E-2</v>
      </c>
      <c r="N156" s="870" t="s">
        <v>1750</v>
      </c>
      <c r="O156" s="860" t="s">
        <v>1750</v>
      </c>
      <c r="P156" s="861">
        <v>120000</v>
      </c>
      <c r="Q156" s="862" t="s">
        <v>2281</v>
      </c>
      <c r="R156" s="861">
        <v>1800000</v>
      </c>
      <c r="S156" s="862" t="s">
        <v>2281</v>
      </c>
      <c r="T156" s="863" t="s">
        <v>1750</v>
      </c>
      <c r="U156" s="864" t="s">
        <v>43</v>
      </c>
      <c r="V156" s="863" t="s">
        <v>1750</v>
      </c>
      <c r="W156" s="864" t="s">
        <v>43</v>
      </c>
      <c r="X156" s="861">
        <v>22000</v>
      </c>
      <c r="Y156" s="865" t="s">
        <v>179</v>
      </c>
      <c r="Z156" s="866" t="s">
        <v>43</v>
      </c>
      <c r="AA156" s="867">
        <v>40000000</v>
      </c>
      <c r="AB156" s="868" t="s">
        <v>179</v>
      </c>
      <c r="AC156" s="869" t="s">
        <v>1750</v>
      </c>
    </row>
    <row r="157" spans="1:29" ht="31.5" thickBot="1">
      <c r="A157" s="871" t="s">
        <v>610</v>
      </c>
      <c r="B157" s="807" t="s">
        <v>611</v>
      </c>
      <c r="C157" s="890">
        <v>0.5</v>
      </c>
      <c r="D157" s="874" t="s">
        <v>3</v>
      </c>
      <c r="E157" s="819">
        <v>8.4000000000000005E-2</v>
      </c>
      <c r="F157" s="874" t="s">
        <v>14</v>
      </c>
      <c r="G157" s="819">
        <v>3.0000000000000001E-3</v>
      </c>
      <c r="H157" s="874" t="s">
        <v>280</v>
      </c>
      <c r="I157" s="819">
        <v>1E-4</v>
      </c>
      <c r="J157" s="874" t="s">
        <v>280</v>
      </c>
      <c r="K157" s="873" t="s">
        <v>43</v>
      </c>
      <c r="L157" s="874" t="s">
        <v>247</v>
      </c>
      <c r="M157" s="874">
        <v>2.5000000000000001E-2</v>
      </c>
      <c r="N157" s="888" t="s">
        <v>1750</v>
      </c>
      <c r="O157" s="875" t="s">
        <v>1750</v>
      </c>
      <c r="P157" s="876">
        <v>0.3</v>
      </c>
      <c r="Q157" s="877" t="s">
        <v>2283</v>
      </c>
      <c r="R157" s="876">
        <v>6.3</v>
      </c>
      <c r="S157" s="877" t="s">
        <v>2283</v>
      </c>
      <c r="T157" s="876">
        <v>1.2E-5</v>
      </c>
      <c r="U157" s="877" t="s">
        <v>2283</v>
      </c>
      <c r="V157" s="876">
        <v>1.4999999999999999E-4</v>
      </c>
      <c r="W157" s="877" t="s">
        <v>2283</v>
      </c>
      <c r="X157" s="876">
        <v>3.5000000000000003E-2</v>
      </c>
      <c r="Y157" s="880" t="s">
        <v>2283</v>
      </c>
      <c r="Z157" s="881" t="s">
        <v>43</v>
      </c>
      <c r="AA157" s="882">
        <v>6.7000000000000002E-4</v>
      </c>
      <c r="AB157" s="883" t="s">
        <v>2283</v>
      </c>
      <c r="AC157" s="884" t="s">
        <v>1750</v>
      </c>
    </row>
    <row r="158" spans="1:29" ht="15.75">
      <c r="A158" s="856" t="s">
        <v>612</v>
      </c>
      <c r="B158" s="792" t="s">
        <v>613</v>
      </c>
      <c r="C158" s="857" t="s">
        <v>1750</v>
      </c>
      <c r="D158" s="858" t="s">
        <v>43</v>
      </c>
      <c r="E158" s="843" t="s">
        <v>1750</v>
      </c>
      <c r="F158" s="858" t="s">
        <v>43</v>
      </c>
      <c r="G158" s="843" t="s">
        <v>1750</v>
      </c>
      <c r="H158" s="858" t="s">
        <v>43</v>
      </c>
      <c r="I158" s="843" t="s">
        <v>1750</v>
      </c>
      <c r="J158" s="858" t="s">
        <v>43</v>
      </c>
      <c r="K158" s="858" t="s">
        <v>43</v>
      </c>
      <c r="L158" s="858" t="s">
        <v>43</v>
      </c>
      <c r="M158" s="859">
        <v>1.2999999999999999E-2</v>
      </c>
      <c r="N158" s="870" t="s">
        <v>1750</v>
      </c>
      <c r="O158" s="860" t="s">
        <v>1750</v>
      </c>
      <c r="P158" s="863" t="s">
        <v>1750</v>
      </c>
      <c r="Q158" s="864" t="s">
        <v>43</v>
      </c>
      <c r="R158" s="863" t="s">
        <v>1750</v>
      </c>
      <c r="S158" s="864" t="s">
        <v>43</v>
      </c>
      <c r="T158" s="863" t="s">
        <v>1750</v>
      </c>
      <c r="U158" s="864" t="s">
        <v>43</v>
      </c>
      <c r="V158" s="863" t="s">
        <v>1750</v>
      </c>
      <c r="W158" s="864" t="s">
        <v>43</v>
      </c>
      <c r="X158" s="863" t="s">
        <v>1750</v>
      </c>
      <c r="Y158" s="885" t="s">
        <v>43</v>
      </c>
      <c r="Z158" s="891">
        <v>100</v>
      </c>
      <c r="AA158" s="886" t="s">
        <v>1750</v>
      </c>
      <c r="AB158" s="887" t="s">
        <v>43</v>
      </c>
      <c r="AC158" s="892">
        <v>180000</v>
      </c>
    </row>
    <row r="159" spans="1:29" ht="30.75">
      <c r="A159" s="856" t="s">
        <v>2216</v>
      </c>
      <c r="B159" s="792" t="s">
        <v>419</v>
      </c>
      <c r="C159" s="857" t="s">
        <v>1750</v>
      </c>
      <c r="D159" s="858" t="s">
        <v>43</v>
      </c>
      <c r="E159" s="843" t="s">
        <v>1750</v>
      </c>
      <c r="F159" s="858" t="s">
        <v>43</v>
      </c>
      <c r="G159" s="804">
        <v>1.2999999999999999E-2</v>
      </c>
      <c r="H159" s="859" t="s">
        <v>280</v>
      </c>
      <c r="I159" s="843" t="s">
        <v>1750</v>
      </c>
      <c r="J159" s="858" t="s">
        <v>43</v>
      </c>
      <c r="K159" s="858" t="s">
        <v>43</v>
      </c>
      <c r="L159" s="858" t="s">
        <v>43</v>
      </c>
      <c r="M159" s="859">
        <v>1</v>
      </c>
      <c r="N159" s="859">
        <v>0.1</v>
      </c>
      <c r="O159" s="860" t="s">
        <v>1750</v>
      </c>
      <c r="P159" s="861">
        <v>820</v>
      </c>
      <c r="Q159" s="862" t="s">
        <v>179</v>
      </c>
      <c r="R159" s="861">
        <v>11000</v>
      </c>
      <c r="S159" s="862" t="s">
        <v>179</v>
      </c>
      <c r="T159" s="863" t="s">
        <v>1750</v>
      </c>
      <c r="U159" s="864" t="s">
        <v>43</v>
      </c>
      <c r="V159" s="863" t="s">
        <v>1750</v>
      </c>
      <c r="W159" s="864" t="s">
        <v>43</v>
      </c>
      <c r="X159" s="861">
        <v>230</v>
      </c>
      <c r="Y159" s="865" t="s">
        <v>179</v>
      </c>
      <c r="Z159" s="866" t="s">
        <v>43</v>
      </c>
      <c r="AA159" s="867">
        <v>14</v>
      </c>
      <c r="AB159" s="868" t="s">
        <v>179</v>
      </c>
      <c r="AC159" s="869" t="s">
        <v>1750</v>
      </c>
    </row>
    <row r="160" spans="1:29" ht="16.5" thickBot="1">
      <c r="A160" s="871" t="s">
        <v>614</v>
      </c>
      <c r="B160" s="807" t="s">
        <v>615</v>
      </c>
      <c r="C160" s="872" t="s">
        <v>1750</v>
      </c>
      <c r="D160" s="873" t="s">
        <v>43</v>
      </c>
      <c r="E160" s="819">
        <v>8.9999999999999993E-3</v>
      </c>
      <c r="F160" s="874" t="s">
        <v>281</v>
      </c>
      <c r="G160" s="819">
        <v>2.9999999999999997E-4</v>
      </c>
      <c r="H160" s="874" t="s">
        <v>281</v>
      </c>
      <c r="I160" s="819">
        <v>6.0000000000000002E-6</v>
      </c>
      <c r="J160" s="874" t="s">
        <v>281</v>
      </c>
      <c r="K160" s="873" t="s">
        <v>43</v>
      </c>
      <c r="L160" s="873" t="s">
        <v>43</v>
      </c>
      <c r="M160" s="874">
        <v>1</v>
      </c>
      <c r="N160" s="888" t="s">
        <v>1750</v>
      </c>
      <c r="O160" s="875" t="s">
        <v>1750</v>
      </c>
      <c r="P160" s="876">
        <v>23</v>
      </c>
      <c r="Q160" s="877" t="s">
        <v>179</v>
      </c>
      <c r="R160" s="876">
        <v>350</v>
      </c>
      <c r="S160" s="877" t="s">
        <v>179</v>
      </c>
      <c r="T160" s="876">
        <v>3.1E-4</v>
      </c>
      <c r="U160" s="877" t="s">
        <v>2279</v>
      </c>
      <c r="V160" s="876">
        <v>1.4E-3</v>
      </c>
      <c r="W160" s="877" t="s">
        <v>2279</v>
      </c>
      <c r="X160" s="876">
        <v>6</v>
      </c>
      <c r="Y160" s="880" t="s">
        <v>179</v>
      </c>
      <c r="Z160" s="881" t="s">
        <v>43</v>
      </c>
      <c r="AA160" s="882">
        <v>0.27</v>
      </c>
      <c r="AB160" s="883" t="s">
        <v>179</v>
      </c>
      <c r="AC160" s="884" t="s">
        <v>1750</v>
      </c>
    </row>
    <row r="161" spans="1:29" ht="30.75">
      <c r="A161" s="856" t="s">
        <v>616</v>
      </c>
      <c r="B161" s="792" t="s">
        <v>617</v>
      </c>
      <c r="C161" s="857" t="s">
        <v>1750</v>
      </c>
      <c r="D161" s="858" t="s">
        <v>43</v>
      </c>
      <c r="E161" s="804">
        <v>6.2E-4</v>
      </c>
      <c r="F161" s="859" t="s">
        <v>280</v>
      </c>
      <c r="G161" s="843" t="s">
        <v>1750</v>
      </c>
      <c r="H161" s="858" t="s">
        <v>43</v>
      </c>
      <c r="I161" s="843" t="s">
        <v>1750</v>
      </c>
      <c r="J161" s="858" t="s">
        <v>43</v>
      </c>
      <c r="K161" s="859" t="s">
        <v>1634</v>
      </c>
      <c r="L161" s="859" t="s">
        <v>247</v>
      </c>
      <c r="M161" s="859">
        <v>1</v>
      </c>
      <c r="N161" s="870" t="s">
        <v>1750</v>
      </c>
      <c r="O161" s="860" t="s">
        <v>1750</v>
      </c>
      <c r="P161" s="863" t="s">
        <v>1750</v>
      </c>
      <c r="Q161" s="864" t="s">
        <v>43</v>
      </c>
      <c r="R161" s="863" t="s">
        <v>1750</v>
      </c>
      <c r="S161" s="864" t="s">
        <v>43</v>
      </c>
      <c r="T161" s="861">
        <v>1.6000000000000001E-3</v>
      </c>
      <c r="U161" s="862" t="s">
        <v>2283</v>
      </c>
      <c r="V161" s="861">
        <v>0.02</v>
      </c>
      <c r="W161" s="862" t="s">
        <v>2283</v>
      </c>
      <c r="X161" s="863" t="s">
        <v>1750</v>
      </c>
      <c r="Y161" s="885" t="s">
        <v>43</v>
      </c>
      <c r="Z161" s="866" t="s">
        <v>43</v>
      </c>
      <c r="AA161" s="886" t="s">
        <v>1750</v>
      </c>
      <c r="AB161" s="887" t="s">
        <v>43</v>
      </c>
      <c r="AC161" s="869" t="s">
        <v>1750</v>
      </c>
    </row>
    <row r="162" spans="1:29" ht="15.75">
      <c r="A162" s="856" t="s">
        <v>618</v>
      </c>
      <c r="B162" s="792" t="s">
        <v>619</v>
      </c>
      <c r="C162" s="857" t="s">
        <v>1750</v>
      </c>
      <c r="D162" s="858" t="s">
        <v>43</v>
      </c>
      <c r="E162" s="843" t="s">
        <v>1750</v>
      </c>
      <c r="F162" s="858" t="s">
        <v>43</v>
      </c>
      <c r="G162" s="804">
        <v>0.04</v>
      </c>
      <c r="H162" s="859" t="s">
        <v>13</v>
      </c>
      <c r="I162" s="843" t="s">
        <v>1750</v>
      </c>
      <c r="J162" s="858" t="s">
        <v>43</v>
      </c>
      <c r="K162" s="858" t="s">
        <v>43</v>
      </c>
      <c r="L162" s="858" t="s">
        <v>43</v>
      </c>
      <c r="M162" s="859">
        <v>1</v>
      </c>
      <c r="N162" s="870" t="s">
        <v>1750</v>
      </c>
      <c r="O162" s="860" t="s">
        <v>1750</v>
      </c>
      <c r="P162" s="861">
        <v>3100</v>
      </c>
      <c r="Q162" s="862" t="s">
        <v>179</v>
      </c>
      <c r="R162" s="861">
        <v>47000</v>
      </c>
      <c r="S162" s="862" t="s">
        <v>179</v>
      </c>
      <c r="T162" s="863" t="s">
        <v>1750</v>
      </c>
      <c r="U162" s="864" t="s">
        <v>43</v>
      </c>
      <c r="V162" s="863" t="s">
        <v>1750</v>
      </c>
      <c r="W162" s="864" t="s">
        <v>43</v>
      </c>
      <c r="X162" s="861">
        <v>800</v>
      </c>
      <c r="Y162" s="865" t="s">
        <v>179</v>
      </c>
      <c r="Z162" s="891">
        <v>1300</v>
      </c>
      <c r="AA162" s="867">
        <v>28</v>
      </c>
      <c r="AB162" s="868" t="s">
        <v>179</v>
      </c>
      <c r="AC162" s="892">
        <v>46</v>
      </c>
    </row>
    <row r="163" spans="1:29" ht="16.5" thickBot="1">
      <c r="A163" s="871" t="s">
        <v>620</v>
      </c>
      <c r="B163" s="807" t="s">
        <v>621</v>
      </c>
      <c r="C163" s="872" t="s">
        <v>1750</v>
      </c>
      <c r="D163" s="873" t="s">
        <v>43</v>
      </c>
      <c r="E163" s="847" t="s">
        <v>1750</v>
      </c>
      <c r="F163" s="873" t="s">
        <v>43</v>
      </c>
      <c r="G163" s="819">
        <v>0.05</v>
      </c>
      <c r="H163" s="874" t="s">
        <v>280</v>
      </c>
      <c r="I163" s="819">
        <v>0.6</v>
      </c>
      <c r="J163" s="874" t="s">
        <v>3</v>
      </c>
      <c r="K163" s="873" t="s">
        <v>43</v>
      </c>
      <c r="L163" s="873" t="s">
        <v>43</v>
      </c>
      <c r="M163" s="874">
        <v>1</v>
      </c>
      <c r="N163" s="874">
        <v>0.1</v>
      </c>
      <c r="O163" s="875" t="s">
        <v>1750</v>
      </c>
      <c r="P163" s="876">
        <v>3200</v>
      </c>
      <c r="Q163" s="877" t="s">
        <v>179</v>
      </c>
      <c r="R163" s="876">
        <v>41000</v>
      </c>
      <c r="S163" s="877" t="s">
        <v>179</v>
      </c>
      <c r="T163" s="876">
        <v>630</v>
      </c>
      <c r="U163" s="877" t="s">
        <v>179</v>
      </c>
      <c r="V163" s="876">
        <v>2600</v>
      </c>
      <c r="W163" s="877" t="s">
        <v>179</v>
      </c>
      <c r="X163" s="876">
        <v>930</v>
      </c>
      <c r="Y163" s="880" t="s">
        <v>179</v>
      </c>
      <c r="Z163" s="881" t="s">
        <v>43</v>
      </c>
      <c r="AA163" s="882">
        <v>0.74</v>
      </c>
      <c r="AB163" s="883" t="s">
        <v>179</v>
      </c>
      <c r="AC163" s="884" t="s">
        <v>1750</v>
      </c>
    </row>
    <row r="164" spans="1:29" ht="15.75">
      <c r="A164" s="856" t="s">
        <v>622</v>
      </c>
      <c r="B164" s="792" t="s">
        <v>623</v>
      </c>
      <c r="C164" s="857" t="s">
        <v>1750</v>
      </c>
      <c r="D164" s="858" t="s">
        <v>43</v>
      </c>
      <c r="E164" s="843" t="s">
        <v>1750</v>
      </c>
      <c r="F164" s="858" t="s">
        <v>43</v>
      </c>
      <c r="G164" s="804">
        <v>0.05</v>
      </c>
      <c r="H164" s="859" t="s">
        <v>280</v>
      </c>
      <c r="I164" s="804">
        <v>0.6</v>
      </c>
      <c r="J164" s="859" t="s">
        <v>3</v>
      </c>
      <c r="K164" s="858" t="s">
        <v>43</v>
      </c>
      <c r="L164" s="858" t="s">
        <v>43</v>
      </c>
      <c r="M164" s="859">
        <v>1</v>
      </c>
      <c r="N164" s="859">
        <v>0.1</v>
      </c>
      <c r="O164" s="860" t="s">
        <v>1750</v>
      </c>
      <c r="P164" s="861">
        <v>3200</v>
      </c>
      <c r="Q164" s="862" t="s">
        <v>179</v>
      </c>
      <c r="R164" s="861">
        <v>41000</v>
      </c>
      <c r="S164" s="862" t="s">
        <v>179</v>
      </c>
      <c r="T164" s="861">
        <v>630</v>
      </c>
      <c r="U164" s="862" t="s">
        <v>179</v>
      </c>
      <c r="V164" s="861">
        <v>2600</v>
      </c>
      <c r="W164" s="862" t="s">
        <v>179</v>
      </c>
      <c r="X164" s="861">
        <v>930</v>
      </c>
      <c r="Y164" s="865" t="s">
        <v>179</v>
      </c>
      <c r="Z164" s="866" t="s">
        <v>43</v>
      </c>
      <c r="AA164" s="867">
        <v>0.75</v>
      </c>
      <c r="AB164" s="868" t="s">
        <v>179</v>
      </c>
      <c r="AC164" s="869" t="s">
        <v>1750</v>
      </c>
    </row>
    <row r="165" spans="1:29" ht="15.75">
      <c r="A165" s="856" t="s">
        <v>624</v>
      </c>
      <c r="B165" s="792" t="s">
        <v>625</v>
      </c>
      <c r="C165" s="857" t="s">
        <v>1750</v>
      </c>
      <c r="D165" s="858" t="s">
        <v>43</v>
      </c>
      <c r="E165" s="843" t="s">
        <v>1750</v>
      </c>
      <c r="F165" s="858" t="s">
        <v>43</v>
      </c>
      <c r="G165" s="804">
        <v>0.1</v>
      </c>
      <c r="H165" s="859" t="s">
        <v>18</v>
      </c>
      <c r="I165" s="804">
        <v>0.6</v>
      </c>
      <c r="J165" s="859" t="s">
        <v>3</v>
      </c>
      <c r="K165" s="858" t="s">
        <v>43</v>
      </c>
      <c r="L165" s="858" t="s">
        <v>43</v>
      </c>
      <c r="M165" s="859">
        <v>1</v>
      </c>
      <c r="N165" s="859">
        <v>0.1</v>
      </c>
      <c r="O165" s="860" t="s">
        <v>1750</v>
      </c>
      <c r="P165" s="861">
        <v>6300</v>
      </c>
      <c r="Q165" s="862" t="s">
        <v>179</v>
      </c>
      <c r="R165" s="861">
        <v>82000</v>
      </c>
      <c r="S165" s="862" t="s">
        <v>179</v>
      </c>
      <c r="T165" s="861">
        <v>630</v>
      </c>
      <c r="U165" s="862" t="s">
        <v>179</v>
      </c>
      <c r="V165" s="861">
        <v>2600</v>
      </c>
      <c r="W165" s="862" t="s">
        <v>179</v>
      </c>
      <c r="X165" s="861">
        <v>1900</v>
      </c>
      <c r="Y165" s="865" t="s">
        <v>179</v>
      </c>
      <c r="Z165" s="866" t="s">
        <v>43</v>
      </c>
      <c r="AA165" s="867">
        <v>1.5</v>
      </c>
      <c r="AB165" s="868" t="s">
        <v>179</v>
      </c>
      <c r="AC165" s="869" t="s">
        <v>1750</v>
      </c>
    </row>
    <row r="166" spans="1:29" ht="16.5" thickBot="1">
      <c r="A166" s="871" t="s">
        <v>626</v>
      </c>
      <c r="B166" s="807" t="s">
        <v>627</v>
      </c>
      <c r="C166" s="872" t="s">
        <v>1750</v>
      </c>
      <c r="D166" s="873" t="s">
        <v>43</v>
      </c>
      <c r="E166" s="847" t="s">
        <v>1750</v>
      </c>
      <c r="F166" s="873" t="s">
        <v>43</v>
      </c>
      <c r="G166" s="819">
        <v>0.1</v>
      </c>
      <c r="H166" s="874" t="s">
        <v>18</v>
      </c>
      <c r="I166" s="847" t="s">
        <v>1750</v>
      </c>
      <c r="J166" s="873" t="s">
        <v>43</v>
      </c>
      <c r="K166" s="873" t="s">
        <v>43</v>
      </c>
      <c r="L166" s="873" t="s">
        <v>43</v>
      </c>
      <c r="M166" s="874">
        <v>1</v>
      </c>
      <c r="N166" s="874">
        <v>0.1</v>
      </c>
      <c r="O166" s="875" t="s">
        <v>1750</v>
      </c>
      <c r="P166" s="876">
        <v>6300</v>
      </c>
      <c r="Q166" s="877" t="s">
        <v>179</v>
      </c>
      <c r="R166" s="876">
        <v>82000</v>
      </c>
      <c r="S166" s="877" t="s">
        <v>179</v>
      </c>
      <c r="T166" s="878" t="s">
        <v>1750</v>
      </c>
      <c r="U166" s="879" t="s">
        <v>43</v>
      </c>
      <c r="V166" s="878" t="s">
        <v>1750</v>
      </c>
      <c r="W166" s="879" t="s">
        <v>43</v>
      </c>
      <c r="X166" s="876">
        <v>1400</v>
      </c>
      <c r="Y166" s="880" t="s">
        <v>179</v>
      </c>
      <c r="Z166" s="881" t="s">
        <v>43</v>
      </c>
      <c r="AA166" s="882">
        <v>1.7</v>
      </c>
      <c r="AB166" s="883" t="s">
        <v>179</v>
      </c>
      <c r="AC166" s="884" t="s">
        <v>1750</v>
      </c>
    </row>
    <row r="167" spans="1:29" ht="15.75">
      <c r="A167" s="856" t="s">
        <v>628</v>
      </c>
      <c r="B167" s="792" t="s">
        <v>629</v>
      </c>
      <c r="C167" s="857" t="s">
        <v>1750</v>
      </c>
      <c r="D167" s="858" t="s">
        <v>43</v>
      </c>
      <c r="E167" s="843" t="s">
        <v>1750</v>
      </c>
      <c r="F167" s="858" t="s">
        <v>43</v>
      </c>
      <c r="G167" s="804">
        <v>0.1</v>
      </c>
      <c r="H167" s="859" t="s">
        <v>18</v>
      </c>
      <c r="I167" s="804">
        <v>0.6</v>
      </c>
      <c r="J167" s="859" t="s">
        <v>3</v>
      </c>
      <c r="K167" s="858" t="s">
        <v>43</v>
      </c>
      <c r="L167" s="858" t="s">
        <v>43</v>
      </c>
      <c r="M167" s="859">
        <v>1</v>
      </c>
      <c r="N167" s="859">
        <v>0.1</v>
      </c>
      <c r="O167" s="860" t="s">
        <v>1750</v>
      </c>
      <c r="P167" s="861">
        <v>6300</v>
      </c>
      <c r="Q167" s="862" t="s">
        <v>179</v>
      </c>
      <c r="R167" s="861">
        <v>82000</v>
      </c>
      <c r="S167" s="862" t="s">
        <v>179</v>
      </c>
      <c r="T167" s="861">
        <v>630</v>
      </c>
      <c r="U167" s="862" t="s">
        <v>179</v>
      </c>
      <c r="V167" s="861">
        <v>2600</v>
      </c>
      <c r="W167" s="862" t="s">
        <v>179</v>
      </c>
      <c r="X167" s="861">
        <v>1500</v>
      </c>
      <c r="Y167" s="865" t="s">
        <v>179</v>
      </c>
      <c r="Z167" s="866" t="s">
        <v>43</v>
      </c>
      <c r="AA167" s="867">
        <v>1.3</v>
      </c>
      <c r="AB167" s="868" t="s">
        <v>179</v>
      </c>
      <c r="AC167" s="869" t="s">
        <v>1750</v>
      </c>
    </row>
    <row r="168" spans="1:29" ht="30.75">
      <c r="A168" s="856" t="s">
        <v>630</v>
      </c>
      <c r="B168" s="792" t="s">
        <v>631</v>
      </c>
      <c r="C168" s="889">
        <v>1.9</v>
      </c>
      <c r="D168" s="859" t="s">
        <v>13</v>
      </c>
      <c r="E168" s="843" t="s">
        <v>1750</v>
      </c>
      <c r="F168" s="858" t="s">
        <v>43</v>
      </c>
      <c r="G168" s="804">
        <v>1E-3</v>
      </c>
      <c r="H168" s="859" t="s">
        <v>281</v>
      </c>
      <c r="I168" s="843" t="s">
        <v>1750</v>
      </c>
      <c r="J168" s="858" t="s">
        <v>43</v>
      </c>
      <c r="K168" s="859" t="s">
        <v>1634</v>
      </c>
      <c r="L168" s="858" t="s">
        <v>43</v>
      </c>
      <c r="M168" s="859">
        <v>1</v>
      </c>
      <c r="N168" s="870" t="s">
        <v>1750</v>
      </c>
      <c r="O168" s="805">
        <v>16600</v>
      </c>
      <c r="P168" s="861">
        <v>0.37</v>
      </c>
      <c r="Q168" s="862" t="s">
        <v>2283</v>
      </c>
      <c r="R168" s="861">
        <v>1.7</v>
      </c>
      <c r="S168" s="862" t="s">
        <v>2283</v>
      </c>
      <c r="T168" s="863" t="s">
        <v>1750</v>
      </c>
      <c r="U168" s="864" t="s">
        <v>43</v>
      </c>
      <c r="V168" s="863" t="s">
        <v>1750</v>
      </c>
      <c r="W168" s="864" t="s">
        <v>43</v>
      </c>
      <c r="X168" s="861">
        <v>0.04</v>
      </c>
      <c r="Y168" s="865" t="s">
        <v>2283</v>
      </c>
      <c r="Z168" s="866" t="s">
        <v>43</v>
      </c>
      <c r="AA168" s="867">
        <v>8.1999999999999994E-6</v>
      </c>
      <c r="AB168" s="868" t="s">
        <v>2283</v>
      </c>
      <c r="AC168" s="869" t="s">
        <v>1750</v>
      </c>
    </row>
    <row r="169" spans="1:29" ht="16.5" thickBot="1">
      <c r="A169" s="871" t="s">
        <v>81</v>
      </c>
      <c r="B169" s="807" t="s">
        <v>632</v>
      </c>
      <c r="C169" s="872" t="s">
        <v>1750</v>
      </c>
      <c r="D169" s="873" t="s">
        <v>43</v>
      </c>
      <c r="E169" s="847" t="s">
        <v>1750</v>
      </c>
      <c r="F169" s="873" t="s">
        <v>43</v>
      </c>
      <c r="G169" s="819">
        <v>0.1</v>
      </c>
      <c r="H169" s="874" t="s">
        <v>280</v>
      </c>
      <c r="I169" s="819">
        <v>0.4</v>
      </c>
      <c r="J169" s="874" t="s">
        <v>280</v>
      </c>
      <c r="K169" s="874" t="s">
        <v>1634</v>
      </c>
      <c r="L169" s="873" t="s">
        <v>43</v>
      </c>
      <c r="M169" s="874">
        <v>1</v>
      </c>
      <c r="N169" s="888" t="s">
        <v>1750</v>
      </c>
      <c r="O169" s="820">
        <v>268</v>
      </c>
      <c r="P169" s="876">
        <v>1900</v>
      </c>
      <c r="Q169" s="877" t="s">
        <v>2282</v>
      </c>
      <c r="R169" s="876">
        <v>9900</v>
      </c>
      <c r="S169" s="877" t="s">
        <v>2282</v>
      </c>
      <c r="T169" s="876">
        <v>420</v>
      </c>
      <c r="U169" s="877" t="s">
        <v>179</v>
      </c>
      <c r="V169" s="876">
        <v>1800</v>
      </c>
      <c r="W169" s="877" t="s">
        <v>179</v>
      </c>
      <c r="X169" s="876">
        <v>450</v>
      </c>
      <c r="Y169" s="880" t="s">
        <v>179</v>
      </c>
      <c r="Z169" s="881" t="s">
        <v>43</v>
      </c>
      <c r="AA169" s="882">
        <v>0.74</v>
      </c>
      <c r="AB169" s="883" t="s">
        <v>179</v>
      </c>
      <c r="AC169" s="884" t="s">
        <v>1750</v>
      </c>
    </row>
    <row r="170" spans="1:29" ht="15.75">
      <c r="A170" s="856" t="s">
        <v>633</v>
      </c>
      <c r="B170" s="792" t="s">
        <v>634</v>
      </c>
      <c r="C170" s="889">
        <v>0.22</v>
      </c>
      <c r="D170" s="859" t="s">
        <v>3</v>
      </c>
      <c r="E170" s="804">
        <v>6.3E-5</v>
      </c>
      <c r="F170" s="859" t="s">
        <v>3</v>
      </c>
      <c r="G170" s="843" t="s">
        <v>1750</v>
      </c>
      <c r="H170" s="858" t="s">
        <v>43</v>
      </c>
      <c r="I170" s="843" t="s">
        <v>1750</v>
      </c>
      <c r="J170" s="858" t="s">
        <v>43</v>
      </c>
      <c r="K170" s="858" t="s">
        <v>43</v>
      </c>
      <c r="L170" s="858" t="s">
        <v>43</v>
      </c>
      <c r="M170" s="859">
        <v>1</v>
      </c>
      <c r="N170" s="859">
        <v>0.1</v>
      </c>
      <c r="O170" s="860" t="s">
        <v>1750</v>
      </c>
      <c r="P170" s="861">
        <v>2.5</v>
      </c>
      <c r="Q170" s="862" t="s">
        <v>2283</v>
      </c>
      <c r="R170" s="861">
        <v>10</v>
      </c>
      <c r="S170" s="862" t="s">
        <v>2283</v>
      </c>
      <c r="T170" s="861">
        <v>4.4999999999999998E-2</v>
      </c>
      <c r="U170" s="862" t="s">
        <v>2283</v>
      </c>
      <c r="V170" s="861">
        <v>0.19</v>
      </c>
      <c r="W170" s="862" t="s">
        <v>2283</v>
      </c>
      <c r="X170" s="861">
        <v>0.35</v>
      </c>
      <c r="Y170" s="865" t="s">
        <v>2283</v>
      </c>
      <c r="Z170" s="866" t="s">
        <v>43</v>
      </c>
      <c r="AA170" s="867">
        <v>6.0999999999999997E-4</v>
      </c>
      <c r="AB170" s="868" t="s">
        <v>2283</v>
      </c>
      <c r="AC170" s="869" t="s">
        <v>1750</v>
      </c>
    </row>
    <row r="171" spans="1:29" ht="30.75">
      <c r="A171" s="856" t="s">
        <v>635</v>
      </c>
      <c r="B171" s="792" t="s">
        <v>636</v>
      </c>
      <c r="C171" s="889">
        <v>0.84</v>
      </c>
      <c r="D171" s="859" t="s">
        <v>13</v>
      </c>
      <c r="E171" s="843" t="s">
        <v>1750</v>
      </c>
      <c r="F171" s="858" t="s">
        <v>43</v>
      </c>
      <c r="G171" s="804">
        <v>2E-3</v>
      </c>
      <c r="H171" s="859" t="s">
        <v>13</v>
      </c>
      <c r="I171" s="843" t="s">
        <v>1750</v>
      </c>
      <c r="J171" s="858" t="s">
        <v>43</v>
      </c>
      <c r="K171" s="858" t="s">
        <v>43</v>
      </c>
      <c r="L171" s="858" t="s">
        <v>43</v>
      </c>
      <c r="M171" s="859">
        <v>1</v>
      </c>
      <c r="N171" s="859">
        <v>0.1</v>
      </c>
      <c r="O171" s="860" t="s">
        <v>1750</v>
      </c>
      <c r="P171" s="861">
        <v>0.65</v>
      </c>
      <c r="Q171" s="862" t="s">
        <v>2283</v>
      </c>
      <c r="R171" s="861">
        <v>2.7</v>
      </c>
      <c r="S171" s="862" t="s">
        <v>2283</v>
      </c>
      <c r="T171" s="863" t="s">
        <v>1750</v>
      </c>
      <c r="U171" s="864" t="s">
        <v>43</v>
      </c>
      <c r="V171" s="863" t="s">
        <v>1750</v>
      </c>
      <c r="W171" s="864" t="s">
        <v>43</v>
      </c>
      <c r="X171" s="861">
        <v>8.7999999999999995E-2</v>
      </c>
      <c r="Y171" s="865" t="s">
        <v>2283</v>
      </c>
      <c r="Z171" s="866" t="s">
        <v>43</v>
      </c>
      <c r="AA171" s="867">
        <v>4.1E-5</v>
      </c>
      <c r="AB171" s="868" t="s">
        <v>2283</v>
      </c>
      <c r="AC171" s="869" t="s">
        <v>1750</v>
      </c>
    </row>
    <row r="172" spans="1:29" ht="16.5" thickBot="1">
      <c r="A172" s="871" t="s">
        <v>637</v>
      </c>
      <c r="B172" s="807" t="s">
        <v>43</v>
      </c>
      <c r="C172" s="872" t="s">
        <v>1750</v>
      </c>
      <c r="D172" s="873" t="s">
        <v>43</v>
      </c>
      <c r="E172" s="847" t="s">
        <v>1750</v>
      </c>
      <c r="F172" s="873" t="s">
        <v>43</v>
      </c>
      <c r="G172" s="847" t="s">
        <v>1750</v>
      </c>
      <c r="H172" s="873" t="s">
        <v>43</v>
      </c>
      <c r="I172" s="847" t="s">
        <v>1750</v>
      </c>
      <c r="J172" s="873" t="s">
        <v>43</v>
      </c>
      <c r="K172" s="873" t="s">
        <v>43</v>
      </c>
      <c r="L172" s="873" t="s">
        <v>43</v>
      </c>
      <c r="M172" s="888" t="s">
        <v>1750</v>
      </c>
      <c r="N172" s="888" t="s">
        <v>1750</v>
      </c>
      <c r="O172" s="875" t="s">
        <v>1750</v>
      </c>
      <c r="P172" s="878" t="s">
        <v>1750</v>
      </c>
      <c r="Q172" s="879" t="s">
        <v>43</v>
      </c>
      <c r="R172" s="878" t="s">
        <v>1750</v>
      </c>
      <c r="S172" s="879" t="s">
        <v>43</v>
      </c>
      <c r="T172" s="878" t="s">
        <v>1750</v>
      </c>
      <c r="U172" s="879" t="s">
        <v>43</v>
      </c>
      <c r="V172" s="878" t="s">
        <v>1750</v>
      </c>
      <c r="W172" s="879" t="s">
        <v>43</v>
      </c>
      <c r="X172" s="878" t="s">
        <v>1750</v>
      </c>
      <c r="Y172" s="896" t="s">
        <v>43</v>
      </c>
      <c r="Z172" s="881" t="s">
        <v>43</v>
      </c>
      <c r="AA172" s="895" t="s">
        <v>1750</v>
      </c>
      <c r="AB172" s="897" t="s">
        <v>43</v>
      </c>
      <c r="AC172" s="884" t="s">
        <v>1750</v>
      </c>
    </row>
    <row r="173" spans="1:29" ht="15.75">
      <c r="A173" s="856" t="s">
        <v>638</v>
      </c>
      <c r="B173" s="792" t="s">
        <v>639</v>
      </c>
      <c r="C173" s="857" t="s">
        <v>1750</v>
      </c>
      <c r="D173" s="858" t="s">
        <v>43</v>
      </c>
      <c r="E173" s="843" t="s">
        <v>1750</v>
      </c>
      <c r="F173" s="858" t="s">
        <v>43</v>
      </c>
      <c r="G173" s="804">
        <v>1E-3</v>
      </c>
      <c r="H173" s="859" t="s">
        <v>280</v>
      </c>
      <c r="I173" s="843" t="s">
        <v>1750</v>
      </c>
      <c r="J173" s="858" t="s">
        <v>43</v>
      </c>
      <c r="K173" s="858" t="s">
        <v>43</v>
      </c>
      <c r="L173" s="858" t="s">
        <v>43</v>
      </c>
      <c r="M173" s="859">
        <v>1</v>
      </c>
      <c r="N173" s="870" t="s">
        <v>1750</v>
      </c>
      <c r="O173" s="860" t="s">
        <v>1750</v>
      </c>
      <c r="P173" s="861">
        <v>78</v>
      </c>
      <c r="Q173" s="862" t="s">
        <v>179</v>
      </c>
      <c r="R173" s="861">
        <v>1200</v>
      </c>
      <c r="S173" s="862" t="s">
        <v>179</v>
      </c>
      <c r="T173" s="863" t="s">
        <v>1750</v>
      </c>
      <c r="U173" s="864" t="s">
        <v>43</v>
      </c>
      <c r="V173" s="863" t="s">
        <v>1750</v>
      </c>
      <c r="W173" s="864" t="s">
        <v>43</v>
      </c>
      <c r="X173" s="861">
        <v>20</v>
      </c>
      <c r="Y173" s="865" t="s">
        <v>179</v>
      </c>
      <c r="Z173" s="866" t="s">
        <v>43</v>
      </c>
      <c r="AA173" s="886" t="s">
        <v>1750</v>
      </c>
      <c r="AB173" s="868" t="s">
        <v>179</v>
      </c>
      <c r="AC173" s="869" t="s">
        <v>1750</v>
      </c>
    </row>
    <row r="174" spans="1:29" ht="15.75">
      <c r="A174" s="856" t="s">
        <v>640</v>
      </c>
      <c r="B174" s="792" t="s">
        <v>641</v>
      </c>
      <c r="C174" s="857" t="s">
        <v>1750</v>
      </c>
      <c r="D174" s="858" t="s">
        <v>43</v>
      </c>
      <c r="E174" s="843" t="s">
        <v>1750</v>
      </c>
      <c r="F174" s="858" t="s">
        <v>43</v>
      </c>
      <c r="G174" s="804">
        <v>5.0000000000000001E-3</v>
      </c>
      <c r="H174" s="859" t="s">
        <v>280</v>
      </c>
      <c r="I174" s="843" t="s">
        <v>1750</v>
      </c>
      <c r="J174" s="858" t="s">
        <v>43</v>
      </c>
      <c r="K174" s="858" t="s">
        <v>43</v>
      </c>
      <c r="L174" s="858" t="s">
        <v>43</v>
      </c>
      <c r="M174" s="859">
        <v>1</v>
      </c>
      <c r="N174" s="870" t="s">
        <v>1750</v>
      </c>
      <c r="O174" s="860" t="s">
        <v>1750</v>
      </c>
      <c r="P174" s="861">
        <v>390</v>
      </c>
      <c r="Q174" s="862" t="s">
        <v>179</v>
      </c>
      <c r="R174" s="861">
        <v>5800</v>
      </c>
      <c r="S174" s="862" t="s">
        <v>179</v>
      </c>
      <c r="T174" s="863" t="s">
        <v>1750</v>
      </c>
      <c r="U174" s="864" t="s">
        <v>43</v>
      </c>
      <c r="V174" s="863" t="s">
        <v>1750</v>
      </c>
      <c r="W174" s="864" t="s">
        <v>43</v>
      </c>
      <c r="X174" s="861">
        <v>100</v>
      </c>
      <c r="Y174" s="865" t="s">
        <v>179</v>
      </c>
      <c r="Z174" s="866" t="s">
        <v>43</v>
      </c>
      <c r="AA174" s="886" t="s">
        <v>1750</v>
      </c>
      <c r="AB174" s="868" t="s">
        <v>179</v>
      </c>
      <c r="AC174" s="869" t="s">
        <v>1750</v>
      </c>
    </row>
    <row r="175" spans="1:29" ht="16.5" thickBot="1">
      <c r="A175" s="871" t="s">
        <v>642</v>
      </c>
      <c r="B175" s="807" t="s">
        <v>643</v>
      </c>
      <c r="C175" s="872" t="s">
        <v>1750</v>
      </c>
      <c r="D175" s="873" t="s">
        <v>43</v>
      </c>
      <c r="E175" s="847" t="s">
        <v>1750</v>
      </c>
      <c r="F175" s="873" t="s">
        <v>43</v>
      </c>
      <c r="G175" s="819">
        <v>5.9999999999999995E-4</v>
      </c>
      <c r="H175" s="874" t="s">
        <v>280</v>
      </c>
      <c r="I175" s="819">
        <v>8.0000000000000004E-4</v>
      </c>
      <c r="J175" s="874" t="s">
        <v>14</v>
      </c>
      <c r="K175" s="874" t="s">
        <v>1634</v>
      </c>
      <c r="L175" s="873" t="s">
        <v>43</v>
      </c>
      <c r="M175" s="874">
        <v>1</v>
      </c>
      <c r="N175" s="888" t="s">
        <v>1750</v>
      </c>
      <c r="O175" s="820">
        <v>954000</v>
      </c>
      <c r="P175" s="876">
        <v>23</v>
      </c>
      <c r="Q175" s="877" t="s">
        <v>179</v>
      </c>
      <c r="R175" s="876">
        <v>150</v>
      </c>
      <c r="S175" s="877" t="s">
        <v>179</v>
      </c>
      <c r="T175" s="876">
        <v>0.83</v>
      </c>
      <c r="U175" s="877" t="s">
        <v>179</v>
      </c>
      <c r="V175" s="876">
        <v>3.5</v>
      </c>
      <c r="W175" s="877" t="s">
        <v>179</v>
      </c>
      <c r="X175" s="876">
        <v>1.5</v>
      </c>
      <c r="Y175" s="880" t="s">
        <v>179</v>
      </c>
      <c r="Z175" s="893">
        <v>200</v>
      </c>
      <c r="AA175" s="882">
        <v>1.4999999999999999E-2</v>
      </c>
      <c r="AB175" s="883" t="s">
        <v>179</v>
      </c>
      <c r="AC175" s="894">
        <v>2</v>
      </c>
    </row>
    <row r="176" spans="1:29" ht="15.75">
      <c r="A176" s="856" t="s">
        <v>644</v>
      </c>
      <c r="B176" s="792" t="s">
        <v>645</v>
      </c>
      <c r="C176" s="857" t="s">
        <v>1750</v>
      </c>
      <c r="D176" s="858" t="s">
        <v>43</v>
      </c>
      <c r="E176" s="843" t="s">
        <v>1750</v>
      </c>
      <c r="F176" s="858" t="s">
        <v>43</v>
      </c>
      <c r="G176" s="804">
        <v>1E-3</v>
      </c>
      <c r="H176" s="859" t="s">
        <v>280</v>
      </c>
      <c r="I176" s="843" t="s">
        <v>1750</v>
      </c>
      <c r="J176" s="858" t="s">
        <v>43</v>
      </c>
      <c r="K176" s="859" t="s">
        <v>1634</v>
      </c>
      <c r="L176" s="858" t="s">
        <v>43</v>
      </c>
      <c r="M176" s="859">
        <v>1</v>
      </c>
      <c r="N176" s="870" t="s">
        <v>1750</v>
      </c>
      <c r="O176" s="860" t="s">
        <v>1750</v>
      </c>
      <c r="P176" s="861">
        <v>78</v>
      </c>
      <c r="Q176" s="862" t="s">
        <v>179</v>
      </c>
      <c r="R176" s="861">
        <v>1200</v>
      </c>
      <c r="S176" s="862" t="s">
        <v>179</v>
      </c>
      <c r="T176" s="863" t="s">
        <v>1750</v>
      </c>
      <c r="U176" s="864" t="s">
        <v>43</v>
      </c>
      <c r="V176" s="863" t="s">
        <v>1750</v>
      </c>
      <c r="W176" s="864" t="s">
        <v>43</v>
      </c>
      <c r="X176" s="861">
        <v>20</v>
      </c>
      <c r="Y176" s="865" t="s">
        <v>179</v>
      </c>
      <c r="Z176" s="866" t="s">
        <v>43</v>
      </c>
      <c r="AA176" s="886" t="s">
        <v>1750</v>
      </c>
      <c r="AB176" s="868" t="s">
        <v>179</v>
      </c>
      <c r="AC176" s="869" t="s">
        <v>1750</v>
      </c>
    </row>
    <row r="177" spans="1:29" ht="30.75">
      <c r="A177" s="856" t="s">
        <v>646</v>
      </c>
      <c r="B177" s="792" t="s">
        <v>647</v>
      </c>
      <c r="C177" s="857" t="s">
        <v>1750</v>
      </c>
      <c r="D177" s="858" t="s">
        <v>43</v>
      </c>
      <c r="E177" s="843" t="s">
        <v>1750</v>
      </c>
      <c r="F177" s="858" t="s">
        <v>43</v>
      </c>
      <c r="G177" s="804">
        <v>0.09</v>
      </c>
      <c r="H177" s="859" t="s">
        <v>280</v>
      </c>
      <c r="I177" s="843" t="s">
        <v>1750</v>
      </c>
      <c r="J177" s="858" t="s">
        <v>43</v>
      </c>
      <c r="K177" s="859" t="s">
        <v>1634</v>
      </c>
      <c r="L177" s="858" t="s">
        <v>43</v>
      </c>
      <c r="M177" s="859">
        <v>1</v>
      </c>
      <c r="N177" s="870" t="s">
        <v>1750</v>
      </c>
      <c r="O177" s="860" t="s">
        <v>1750</v>
      </c>
      <c r="P177" s="861">
        <v>7000</v>
      </c>
      <c r="Q177" s="862" t="s">
        <v>179</v>
      </c>
      <c r="R177" s="861">
        <v>110000</v>
      </c>
      <c r="S177" s="862" t="s">
        <v>2281</v>
      </c>
      <c r="T177" s="863" t="s">
        <v>1750</v>
      </c>
      <c r="U177" s="864" t="s">
        <v>43</v>
      </c>
      <c r="V177" s="863" t="s">
        <v>1750</v>
      </c>
      <c r="W177" s="864" t="s">
        <v>43</v>
      </c>
      <c r="X177" s="861">
        <v>1800</v>
      </c>
      <c r="Y177" s="865" t="s">
        <v>179</v>
      </c>
      <c r="Z177" s="866" t="s">
        <v>43</v>
      </c>
      <c r="AA177" s="886" t="s">
        <v>1750</v>
      </c>
      <c r="AB177" s="868" t="s">
        <v>179</v>
      </c>
      <c r="AC177" s="869" t="s">
        <v>1750</v>
      </c>
    </row>
    <row r="178" spans="1:29" ht="31.5" thickBot="1">
      <c r="A178" s="871" t="s">
        <v>648</v>
      </c>
      <c r="B178" s="807" t="s">
        <v>649</v>
      </c>
      <c r="C178" s="872" t="s">
        <v>1750</v>
      </c>
      <c r="D178" s="873" t="s">
        <v>43</v>
      </c>
      <c r="E178" s="847" t="s">
        <v>1750</v>
      </c>
      <c r="F178" s="873" t="s">
        <v>43</v>
      </c>
      <c r="G178" s="819">
        <v>0.05</v>
      </c>
      <c r="H178" s="874" t="s">
        <v>280</v>
      </c>
      <c r="I178" s="847" t="s">
        <v>1750</v>
      </c>
      <c r="J178" s="873" t="s">
        <v>43</v>
      </c>
      <c r="K178" s="874" t="s">
        <v>1634</v>
      </c>
      <c r="L178" s="873" t="s">
        <v>43</v>
      </c>
      <c r="M178" s="874">
        <v>1</v>
      </c>
      <c r="N178" s="888" t="s">
        <v>1750</v>
      </c>
      <c r="O178" s="875" t="s">
        <v>1750</v>
      </c>
      <c r="P178" s="876">
        <v>3900</v>
      </c>
      <c r="Q178" s="877" t="s">
        <v>179</v>
      </c>
      <c r="R178" s="876">
        <v>58000</v>
      </c>
      <c r="S178" s="877" t="s">
        <v>179</v>
      </c>
      <c r="T178" s="878" t="s">
        <v>1750</v>
      </c>
      <c r="U178" s="879" t="s">
        <v>43</v>
      </c>
      <c r="V178" s="878" t="s">
        <v>1750</v>
      </c>
      <c r="W178" s="879" t="s">
        <v>43</v>
      </c>
      <c r="X178" s="876">
        <v>1000</v>
      </c>
      <c r="Y178" s="880" t="s">
        <v>179</v>
      </c>
      <c r="Z178" s="881" t="s">
        <v>43</v>
      </c>
      <c r="AA178" s="895" t="s">
        <v>1750</v>
      </c>
      <c r="AB178" s="883" t="s">
        <v>179</v>
      </c>
      <c r="AC178" s="884" t="s">
        <v>1750</v>
      </c>
    </row>
    <row r="179" spans="1:29" ht="30.75">
      <c r="A179" s="856" t="s">
        <v>650</v>
      </c>
      <c r="B179" s="792" t="s">
        <v>651</v>
      </c>
      <c r="C179" s="857" t="s">
        <v>1750</v>
      </c>
      <c r="D179" s="858" t="s">
        <v>43</v>
      </c>
      <c r="E179" s="843" t="s">
        <v>1750</v>
      </c>
      <c r="F179" s="858" t="s">
        <v>43</v>
      </c>
      <c r="G179" s="804">
        <v>5.9999999999999995E-4</v>
      </c>
      <c r="H179" s="859" t="s">
        <v>280</v>
      </c>
      <c r="I179" s="804">
        <v>8.0000000000000004E-4</v>
      </c>
      <c r="J179" s="859" t="s">
        <v>280</v>
      </c>
      <c r="K179" s="859" t="s">
        <v>1634</v>
      </c>
      <c r="L179" s="858" t="s">
        <v>43</v>
      </c>
      <c r="M179" s="859">
        <v>1</v>
      </c>
      <c r="N179" s="870" t="s">
        <v>1750</v>
      </c>
      <c r="O179" s="805">
        <v>10000000</v>
      </c>
      <c r="P179" s="861">
        <v>23</v>
      </c>
      <c r="Q179" s="862" t="s">
        <v>179</v>
      </c>
      <c r="R179" s="861">
        <v>150</v>
      </c>
      <c r="S179" s="862" t="s">
        <v>179</v>
      </c>
      <c r="T179" s="861">
        <v>0.83</v>
      </c>
      <c r="U179" s="862" t="s">
        <v>179</v>
      </c>
      <c r="V179" s="861">
        <v>3.5</v>
      </c>
      <c r="W179" s="862" t="s">
        <v>179</v>
      </c>
      <c r="X179" s="861">
        <v>1.5</v>
      </c>
      <c r="Y179" s="865" t="s">
        <v>179</v>
      </c>
      <c r="Z179" s="866" t="s">
        <v>43</v>
      </c>
      <c r="AA179" s="867">
        <v>1.4999999999999999E-2</v>
      </c>
      <c r="AB179" s="868" t="s">
        <v>179</v>
      </c>
      <c r="AC179" s="869" t="s">
        <v>1750</v>
      </c>
    </row>
    <row r="180" spans="1:29" ht="30.75">
      <c r="A180" s="856" t="s">
        <v>652</v>
      </c>
      <c r="B180" s="792" t="s">
        <v>653</v>
      </c>
      <c r="C180" s="857" t="s">
        <v>1750</v>
      </c>
      <c r="D180" s="858" t="s">
        <v>43</v>
      </c>
      <c r="E180" s="843" t="s">
        <v>1750</v>
      </c>
      <c r="F180" s="858" t="s">
        <v>43</v>
      </c>
      <c r="G180" s="804">
        <v>2E-3</v>
      </c>
      <c r="H180" s="859" t="s">
        <v>280</v>
      </c>
      <c r="I180" s="843" t="s">
        <v>1750</v>
      </c>
      <c r="J180" s="858" t="s">
        <v>43</v>
      </c>
      <c r="K180" s="858" t="s">
        <v>43</v>
      </c>
      <c r="L180" s="858" t="s">
        <v>43</v>
      </c>
      <c r="M180" s="859">
        <v>1</v>
      </c>
      <c r="N180" s="870" t="s">
        <v>1750</v>
      </c>
      <c r="O180" s="860" t="s">
        <v>1750</v>
      </c>
      <c r="P180" s="861">
        <v>160</v>
      </c>
      <c r="Q180" s="862" t="s">
        <v>179</v>
      </c>
      <c r="R180" s="861">
        <v>2300</v>
      </c>
      <c r="S180" s="862" t="s">
        <v>179</v>
      </c>
      <c r="T180" s="863" t="s">
        <v>1750</v>
      </c>
      <c r="U180" s="864" t="s">
        <v>43</v>
      </c>
      <c r="V180" s="863" t="s">
        <v>1750</v>
      </c>
      <c r="W180" s="864" t="s">
        <v>43</v>
      </c>
      <c r="X180" s="861">
        <v>40</v>
      </c>
      <c r="Y180" s="865" t="s">
        <v>179</v>
      </c>
      <c r="Z180" s="866" t="s">
        <v>43</v>
      </c>
      <c r="AA180" s="886" t="s">
        <v>1750</v>
      </c>
      <c r="AB180" s="868" t="s">
        <v>179</v>
      </c>
      <c r="AC180" s="869" t="s">
        <v>1750</v>
      </c>
    </row>
    <row r="181" spans="1:29" ht="31.5" thickBot="1">
      <c r="A181" s="871" t="s">
        <v>654</v>
      </c>
      <c r="B181" s="807" t="s">
        <v>655</v>
      </c>
      <c r="C181" s="872" t="s">
        <v>1750</v>
      </c>
      <c r="D181" s="873" t="s">
        <v>43</v>
      </c>
      <c r="E181" s="847" t="s">
        <v>1750</v>
      </c>
      <c r="F181" s="873" t="s">
        <v>43</v>
      </c>
      <c r="G181" s="819">
        <v>5.0000000000000001E-3</v>
      </c>
      <c r="H181" s="874" t="s">
        <v>280</v>
      </c>
      <c r="I181" s="847" t="s">
        <v>1750</v>
      </c>
      <c r="J181" s="873" t="s">
        <v>43</v>
      </c>
      <c r="K181" s="873" t="s">
        <v>43</v>
      </c>
      <c r="L181" s="873" t="s">
        <v>43</v>
      </c>
      <c r="M181" s="874">
        <v>0.04</v>
      </c>
      <c r="N181" s="888" t="s">
        <v>1750</v>
      </c>
      <c r="O181" s="875" t="s">
        <v>1750</v>
      </c>
      <c r="P181" s="876">
        <v>390</v>
      </c>
      <c r="Q181" s="877" t="s">
        <v>179</v>
      </c>
      <c r="R181" s="876">
        <v>5800</v>
      </c>
      <c r="S181" s="877" t="s">
        <v>179</v>
      </c>
      <c r="T181" s="878" t="s">
        <v>1750</v>
      </c>
      <c r="U181" s="879" t="s">
        <v>43</v>
      </c>
      <c r="V181" s="878" t="s">
        <v>1750</v>
      </c>
      <c r="W181" s="879" t="s">
        <v>43</v>
      </c>
      <c r="X181" s="876">
        <v>82</v>
      </c>
      <c r="Y181" s="880" t="s">
        <v>179</v>
      </c>
      <c r="Z181" s="881" t="s">
        <v>43</v>
      </c>
      <c r="AA181" s="895" t="s">
        <v>1750</v>
      </c>
      <c r="AB181" s="883" t="s">
        <v>179</v>
      </c>
      <c r="AC181" s="884" t="s">
        <v>1750</v>
      </c>
    </row>
    <row r="182" spans="1:29" ht="15.75">
      <c r="A182" s="856" t="s">
        <v>656</v>
      </c>
      <c r="B182" s="792" t="s">
        <v>657</v>
      </c>
      <c r="C182" s="857" t="s">
        <v>1750</v>
      </c>
      <c r="D182" s="858" t="s">
        <v>43</v>
      </c>
      <c r="E182" s="843" t="s">
        <v>1750</v>
      </c>
      <c r="F182" s="858" t="s">
        <v>43</v>
      </c>
      <c r="G182" s="804">
        <v>0.1</v>
      </c>
      <c r="H182" s="859" t="s">
        <v>280</v>
      </c>
      <c r="I182" s="843" t="s">
        <v>1750</v>
      </c>
      <c r="J182" s="858" t="s">
        <v>43</v>
      </c>
      <c r="K182" s="858" t="s">
        <v>43</v>
      </c>
      <c r="L182" s="858" t="s">
        <v>43</v>
      </c>
      <c r="M182" s="859">
        <v>0.04</v>
      </c>
      <c r="N182" s="870" t="s">
        <v>1750</v>
      </c>
      <c r="O182" s="860" t="s">
        <v>1750</v>
      </c>
      <c r="P182" s="861">
        <v>7800</v>
      </c>
      <c r="Q182" s="862" t="s">
        <v>179</v>
      </c>
      <c r="R182" s="861">
        <v>120000</v>
      </c>
      <c r="S182" s="862" t="s">
        <v>2281</v>
      </c>
      <c r="T182" s="863" t="s">
        <v>1750</v>
      </c>
      <c r="U182" s="864" t="s">
        <v>43</v>
      </c>
      <c r="V182" s="863" t="s">
        <v>1750</v>
      </c>
      <c r="W182" s="864" t="s">
        <v>43</v>
      </c>
      <c r="X182" s="861">
        <v>1800</v>
      </c>
      <c r="Y182" s="865" t="s">
        <v>179</v>
      </c>
      <c r="Z182" s="866" t="s">
        <v>43</v>
      </c>
      <c r="AA182" s="886" t="s">
        <v>1750</v>
      </c>
      <c r="AB182" s="868" t="s">
        <v>179</v>
      </c>
      <c r="AC182" s="869" t="s">
        <v>1750</v>
      </c>
    </row>
    <row r="183" spans="1:29" ht="15.75">
      <c r="A183" s="856" t="s">
        <v>658</v>
      </c>
      <c r="B183" s="792" t="s">
        <v>659</v>
      </c>
      <c r="C183" s="857" t="s">
        <v>1750</v>
      </c>
      <c r="D183" s="858" t="s">
        <v>43</v>
      </c>
      <c r="E183" s="843" t="s">
        <v>1750</v>
      </c>
      <c r="F183" s="858" t="s">
        <v>43</v>
      </c>
      <c r="G183" s="804">
        <v>1E-3</v>
      </c>
      <c r="H183" s="859" t="s">
        <v>280</v>
      </c>
      <c r="I183" s="843" t="s">
        <v>1750</v>
      </c>
      <c r="J183" s="858" t="s">
        <v>43</v>
      </c>
      <c r="K183" s="858" t="s">
        <v>43</v>
      </c>
      <c r="L183" s="858" t="s">
        <v>43</v>
      </c>
      <c r="M183" s="859">
        <v>1</v>
      </c>
      <c r="N183" s="870" t="s">
        <v>1750</v>
      </c>
      <c r="O183" s="860" t="s">
        <v>1750</v>
      </c>
      <c r="P183" s="861">
        <v>78</v>
      </c>
      <c r="Q183" s="862" t="s">
        <v>179</v>
      </c>
      <c r="R183" s="861">
        <v>1200</v>
      </c>
      <c r="S183" s="862" t="s">
        <v>179</v>
      </c>
      <c r="T183" s="863" t="s">
        <v>1750</v>
      </c>
      <c r="U183" s="864" t="s">
        <v>43</v>
      </c>
      <c r="V183" s="863" t="s">
        <v>1750</v>
      </c>
      <c r="W183" s="864" t="s">
        <v>43</v>
      </c>
      <c r="X183" s="861">
        <v>20</v>
      </c>
      <c r="Y183" s="865" t="s">
        <v>179</v>
      </c>
      <c r="Z183" s="891">
        <v>200</v>
      </c>
      <c r="AA183" s="886" t="s">
        <v>1750</v>
      </c>
      <c r="AB183" s="868" t="s">
        <v>179</v>
      </c>
      <c r="AC183" s="869" t="s">
        <v>1750</v>
      </c>
    </row>
    <row r="184" spans="1:29" ht="31.5" thickBot="1">
      <c r="A184" s="871" t="s">
        <v>2053</v>
      </c>
      <c r="B184" s="807" t="s">
        <v>2404</v>
      </c>
      <c r="C184" s="872" t="s">
        <v>1750</v>
      </c>
      <c r="D184" s="873" t="s">
        <v>43</v>
      </c>
      <c r="E184" s="847" t="s">
        <v>1750</v>
      </c>
      <c r="F184" s="873" t="s">
        <v>43</v>
      </c>
      <c r="G184" s="819">
        <v>2.0000000000000001E-4</v>
      </c>
      <c r="H184" s="874" t="s">
        <v>281</v>
      </c>
      <c r="I184" s="847" t="s">
        <v>1750</v>
      </c>
      <c r="J184" s="873" t="s">
        <v>43</v>
      </c>
      <c r="K184" s="873" t="s">
        <v>43</v>
      </c>
      <c r="L184" s="873" t="s">
        <v>43</v>
      </c>
      <c r="M184" s="874">
        <v>1</v>
      </c>
      <c r="N184" s="888" t="s">
        <v>1750</v>
      </c>
      <c r="O184" s="875" t="s">
        <v>1750</v>
      </c>
      <c r="P184" s="876">
        <v>16</v>
      </c>
      <c r="Q184" s="877" t="s">
        <v>179</v>
      </c>
      <c r="R184" s="876">
        <v>230</v>
      </c>
      <c r="S184" s="877" t="s">
        <v>179</v>
      </c>
      <c r="T184" s="878" t="s">
        <v>1750</v>
      </c>
      <c r="U184" s="879" t="s">
        <v>43</v>
      </c>
      <c r="V184" s="878" t="s">
        <v>1750</v>
      </c>
      <c r="W184" s="879" t="s">
        <v>43</v>
      </c>
      <c r="X184" s="876">
        <v>4</v>
      </c>
      <c r="Y184" s="880" t="s">
        <v>179</v>
      </c>
      <c r="Z184" s="881" t="s">
        <v>43</v>
      </c>
      <c r="AA184" s="895" t="s">
        <v>1750</v>
      </c>
      <c r="AB184" s="883" t="s">
        <v>179</v>
      </c>
      <c r="AC184" s="884" t="s">
        <v>1750</v>
      </c>
    </row>
    <row r="185" spans="1:29" ht="15.75">
      <c r="A185" s="856" t="s">
        <v>2054</v>
      </c>
      <c r="B185" s="792" t="s">
        <v>660</v>
      </c>
      <c r="C185" s="857" t="s">
        <v>1750</v>
      </c>
      <c r="D185" s="858" t="s">
        <v>43</v>
      </c>
      <c r="E185" s="843" t="s">
        <v>1750</v>
      </c>
      <c r="F185" s="858" t="s">
        <v>43</v>
      </c>
      <c r="G185" s="804">
        <v>2.0000000000000001E-4</v>
      </c>
      <c r="H185" s="859" t="s">
        <v>0</v>
      </c>
      <c r="I185" s="843" t="s">
        <v>1750</v>
      </c>
      <c r="J185" s="858" t="s">
        <v>43</v>
      </c>
      <c r="K185" s="859" t="s">
        <v>1634</v>
      </c>
      <c r="L185" s="858" t="s">
        <v>43</v>
      </c>
      <c r="M185" s="859">
        <v>1</v>
      </c>
      <c r="N185" s="870" t="s">
        <v>1750</v>
      </c>
      <c r="O185" s="860" t="s">
        <v>1750</v>
      </c>
      <c r="P185" s="861">
        <v>16</v>
      </c>
      <c r="Q185" s="862" t="s">
        <v>179</v>
      </c>
      <c r="R185" s="861">
        <v>230</v>
      </c>
      <c r="S185" s="862" t="s">
        <v>179</v>
      </c>
      <c r="T185" s="863" t="s">
        <v>1750</v>
      </c>
      <c r="U185" s="864" t="s">
        <v>43</v>
      </c>
      <c r="V185" s="863" t="s">
        <v>1750</v>
      </c>
      <c r="W185" s="864" t="s">
        <v>43</v>
      </c>
      <c r="X185" s="861">
        <v>4</v>
      </c>
      <c r="Y185" s="865" t="s">
        <v>179</v>
      </c>
      <c r="Z185" s="866" t="s">
        <v>43</v>
      </c>
      <c r="AA185" s="886" t="s">
        <v>1750</v>
      </c>
      <c r="AB185" s="868" t="s">
        <v>179</v>
      </c>
      <c r="AC185" s="869" t="s">
        <v>1750</v>
      </c>
    </row>
    <row r="186" spans="1:29" ht="15.75">
      <c r="A186" s="856" t="s">
        <v>661</v>
      </c>
      <c r="B186" s="792" t="s">
        <v>662</v>
      </c>
      <c r="C186" s="857" t="s">
        <v>1750</v>
      </c>
      <c r="D186" s="858" t="s">
        <v>43</v>
      </c>
      <c r="E186" s="843" t="s">
        <v>1750</v>
      </c>
      <c r="F186" s="858" t="s">
        <v>43</v>
      </c>
      <c r="G186" s="804">
        <v>0.05</v>
      </c>
      <c r="H186" s="859" t="s">
        <v>280</v>
      </c>
      <c r="I186" s="843" t="s">
        <v>1750</v>
      </c>
      <c r="J186" s="858" t="s">
        <v>43</v>
      </c>
      <c r="K186" s="858" t="s">
        <v>43</v>
      </c>
      <c r="L186" s="858" t="s">
        <v>43</v>
      </c>
      <c r="M186" s="859">
        <v>1</v>
      </c>
      <c r="N186" s="870" t="s">
        <v>1750</v>
      </c>
      <c r="O186" s="860" t="s">
        <v>1750</v>
      </c>
      <c r="P186" s="861">
        <v>3900</v>
      </c>
      <c r="Q186" s="862" t="s">
        <v>179</v>
      </c>
      <c r="R186" s="861">
        <v>58000</v>
      </c>
      <c r="S186" s="862" t="s">
        <v>179</v>
      </c>
      <c r="T186" s="863" t="s">
        <v>1750</v>
      </c>
      <c r="U186" s="864" t="s">
        <v>43</v>
      </c>
      <c r="V186" s="863" t="s">
        <v>1750</v>
      </c>
      <c r="W186" s="864" t="s">
        <v>43</v>
      </c>
      <c r="X186" s="861">
        <v>1000</v>
      </c>
      <c r="Y186" s="865" t="s">
        <v>179</v>
      </c>
      <c r="Z186" s="866" t="s">
        <v>43</v>
      </c>
      <c r="AA186" s="886" t="s">
        <v>1750</v>
      </c>
      <c r="AB186" s="868" t="s">
        <v>179</v>
      </c>
      <c r="AC186" s="869" t="s">
        <v>1750</v>
      </c>
    </row>
    <row r="187" spans="1:29" ht="16.5" thickBot="1">
      <c r="A187" s="871" t="s">
        <v>663</v>
      </c>
      <c r="B187" s="807" t="s">
        <v>664</v>
      </c>
      <c r="C187" s="872" t="s">
        <v>1750</v>
      </c>
      <c r="D187" s="873" t="s">
        <v>43</v>
      </c>
      <c r="E187" s="847" t="s">
        <v>1750</v>
      </c>
      <c r="F187" s="873" t="s">
        <v>43</v>
      </c>
      <c r="G187" s="847" t="s">
        <v>1750</v>
      </c>
      <c r="H187" s="873" t="s">
        <v>43</v>
      </c>
      <c r="I187" s="819">
        <v>6</v>
      </c>
      <c r="J187" s="874" t="s">
        <v>280</v>
      </c>
      <c r="K187" s="874" t="s">
        <v>1634</v>
      </c>
      <c r="L187" s="873" t="s">
        <v>43</v>
      </c>
      <c r="M187" s="874">
        <v>1</v>
      </c>
      <c r="N187" s="888" t="s">
        <v>1750</v>
      </c>
      <c r="O187" s="820">
        <v>117</v>
      </c>
      <c r="P187" s="876">
        <v>6500</v>
      </c>
      <c r="Q187" s="877" t="s">
        <v>2282</v>
      </c>
      <c r="R187" s="876">
        <v>27000</v>
      </c>
      <c r="S187" s="877" t="s">
        <v>2282</v>
      </c>
      <c r="T187" s="876">
        <v>6300</v>
      </c>
      <c r="U187" s="877" t="s">
        <v>179</v>
      </c>
      <c r="V187" s="876">
        <v>26000</v>
      </c>
      <c r="W187" s="877" t="s">
        <v>179</v>
      </c>
      <c r="X187" s="876">
        <v>13000</v>
      </c>
      <c r="Y187" s="880" t="s">
        <v>179</v>
      </c>
      <c r="Z187" s="881" t="s">
        <v>43</v>
      </c>
      <c r="AA187" s="882">
        <v>13</v>
      </c>
      <c r="AB187" s="883" t="s">
        <v>179</v>
      </c>
      <c r="AC187" s="884" t="s">
        <v>1750</v>
      </c>
    </row>
    <row r="188" spans="1:29" ht="60.75">
      <c r="A188" s="856" t="s">
        <v>665</v>
      </c>
      <c r="B188" s="792" t="s">
        <v>666</v>
      </c>
      <c r="C188" s="889">
        <v>0.02</v>
      </c>
      <c r="D188" s="859" t="s">
        <v>0</v>
      </c>
      <c r="E188" s="843" t="s">
        <v>1750</v>
      </c>
      <c r="F188" s="858" t="s">
        <v>43</v>
      </c>
      <c r="G188" s="804">
        <v>0.02</v>
      </c>
      <c r="H188" s="859" t="s">
        <v>0</v>
      </c>
      <c r="I188" s="843" t="s">
        <v>1750</v>
      </c>
      <c r="J188" s="858" t="s">
        <v>43</v>
      </c>
      <c r="K188" s="858" t="s">
        <v>43</v>
      </c>
      <c r="L188" s="858" t="s">
        <v>43</v>
      </c>
      <c r="M188" s="859">
        <v>1</v>
      </c>
      <c r="N188" s="859">
        <v>0.1</v>
      </c>
      <c r="O188" s="860" t="s">
        <v>1750</v>
      </c>
      <c r="P188" s="861">
        <v>27</v>
      </c>
      <c r="Q188" s="862" t="s">
        <v>2279</v>
      </c>
      <c r="R188" s="861">
        <v>110</v>
      </c>
      <c r="S188" s="862" t="s">
        <v>2283</v>
      </c>
      <c r="T188" s="863" t="s">
        <v>1750</v>
      </c>
      <c r="U188" s="864" t="s">
        <v>43</v>
      </c>
      <c r="V188" s="863" t="s">
        <v>1750</v>
      </c>
      <c r="W188" s="864" t="s">
        <v>43</v>
      </c>
      <c r="X188" s="861">
        <v>2.8</v>
      </c>
      <c r="Y188" s="865" t="s">
        <v>2283</v>
      </c>
      <c r="Z188" s="866" t="s">
        <v>43</v>
      </c>
      <c r="AA188" s="867">
        <v>1.6E-2</v>
      </c>
      <c r="AB188" s="868" t="s">
        <v>2283</v>
      </c>
      <c r="AC188" s="869" t="s">
        <v>1750</v>
      </c>
    </row>
    <row r="189" spans="1:29" ht="15.75">
      <c r="A189" s="856" t="s">
        <v>667</v>
      </c>
      <c r="B189" s="792" t="s">
        <v>668</v>
      </c>
      <c r="C189" s="857" t="s">
        <v>1750</v>
      </c>
      <c r="D189" s="858" t="s">
        <v>43</v>
      </c>
      <c r="E189" s="843" t="s">
        <v>1750</v>
      </c>
      <c r="F189" s="858" t="s">
        <v>43</v>
      </c>
      <c r="G189" s="804">
        <v>5</v>
      </c>
      <c r="H189" s="859" t="s">
        <v>280</v>
      </c>
      <c r="I189" s="804">
        <v>0.7</v>
      </c>
      <c r="J189" s="859" t="s">
        <v>281</v>
      </c>
      <c r="K189" s="859" t="s">
        <v>1634</v>
      </c>
      <c r="L189" s="858" t="s">
        <v>43</v>
      </c>
      <c r="M189" s="859">
        <v>1</v>
      </c>
      <c r="N189" s="870" t="s">
        <v>1750</v>
      </c>
      <c r="O189" s="805">
        <v>5110</v>
      </c>
      <c r="P189" s="861">
        <v>28000</v>
      </c>
      <c r="Q189" s="862" t="s">
        <v>2282</v>
      </c>
      <c r="R189" s="861">
        <v>130000</v>
      </c>
      <c r="S189" s="862" t="s">
        <v>2280</v>
      </c>
      <c r="T189" s="861">
        <v>730</v>
      </c>
      <c r="U189" s="862" t="s">
        <v>179</v>
      </c>
      <c r="V189" s="861">
        <v>3100</v>
      </c>
      <c r="W189" s="862" t="s">
        <v>179</v>
      </c>
      <c r="X189" s="861">
        <v>1400</v>
      </c>
      <c r="Y189" s="865" t="s">
        <v>179</v>
      </c>
      <c r="Z189" s="866" t="s">
        <v>43</v>
      </c>
      <c r="AA189" s="867">
        <v>0.34</v>
      </c>
      <c r="AB189" s="868" t="s">
        <v>179</v>
      </c>
      <c r="AC189" s="869" t="s">
        <v>1750</v>
      </c>
    </row>
    <row r="190" spans="1:29" ht="16.5" thickBot="1">
      <c r="A190" s="871" t="s">
        <v>1817</v>
      </c>
      <c r="B190" s="807" t="s">
        <v>1818</v>
      </c>
      <c r="C190" s="872" t="s">
        <v>1750</v>
      </c>
      <c r="D190" s="873" t="s">
        <v>43</v>
      </c>
      <c r="E190" s="847" t="s">
        <v>1750</v>
      </c>
      <c r="F190" s="873" t="s">
        <v>43</v>
      </c>
      <c r="G190" s="819">
        <v>5.0000000000000001E-3</v>
      </c>
      <c r="H190" s="874" t="s">
        <v>281</v>
      </c>
      <c r="I190" s="819">
        <v>1</v>
      </c>
      <c r="J190" s="874" t="s">
        <v>0</v>
      </c>
      <c r="K190" s="874" t="s">
        <v>1634</v>
      </c>
      <c r="L190" s="873" t="s">
        <v>43</v>
      </c>
      <c r="M190" s="874">
        <v>1</v>
      </c>
      <c r="N190" s="888" t="s">
        <v>1750</v>
      </c>
      <c r="O190" s="820">
        <v>283</v>
      </c>
      <c r="P190" s="876">
        <v>310</v>
      </c>
      <c r="Q190" s="877" t="s">
        <v>2282</v>
      </c>
      <c r="R190" s="876">
        <v>3100</v>
      </c>
      <c r="S190" s="877" t="s">
        <v>2282</v>
      </c>
      <c r="T190" s="876">
        <v>1000</v>
      </c>
      <c r="U190" s="877" t="s">
        <v>179</v>
      </c>
      <c r="V190" s="876">
        <v>4400</v>
      </c>
      <c r="W190" s="877" t="s">
        <v>179</v>
      </c>
      <c r="X190" s="876">
        <v>70</v>
      </c>
      <c r="Y190" s="880" t="s">
        <v>179</v>
      </c>
      <c r="Z190" s="881" t="s">
        <v>43</v>
      </c>
      <c r="AA190" s="882">
        <v>4.5999999999999999E-2</v>
      </c>
      <c r="AB190" s="883" t="s">
        <v>179</v>
      </c>
      <c r="AC190" s="884" t="s">
        <v>1750</v>
      </c>
    </row>
    <row r="191" spans="1:29" ht="15.75">
      <c r="A191" s="856" t="s">
        <v>669</v>
      </c>
      <c r="B191" s="792" t="s">
        <v>670</v>
      </c>
      <c r="C191" s="857" t="s">
        <v>1750</v>
      </c>
      <c r="D191" s="858" t="s">
        <v>43</v>
      </c>
      <c r="E191" s="843" t="s">
        <v>1750</v>
      </c>
      <c r="F191" s="858" t="s">
        <v>43</v>
      </c>
      <c r="G191" s="804">
        <v>0.2</v>
      </c>
      <c r="H191" s="859" t="s">
        <v>280</v>
      </c>
      <c r="I191" s="843" t="s">
        <v>1750</v>
      </c>
      <c r="J191" s="858" t="s">
        <v>43</v>
      </c>
      <c r="K191" s="859" t="s">
        <v>1634</v>
      </c>
      <c r="L191" s="858" t="s">
        <v>43</v>
      </c>
      <c r="M191" s="859">
        <v>1</v>
      </c>
      <c r="N191" s="870" t="s">
        <v>1750</v>
      </c>
      <c r="O191" s="805">
        <v>293000</v>
      </c>
      <c r="P191" s="861">
        <v>16000</v>
      </c>
      <c r="Q191" s="862" t="s">
        <v>179</v>
      </c>
      <c r="R191" s="861">
        <v>230000</v>
      </c>
      <c r="S191" s="862" t="s">
        <v>2281</v>
      </c>
      <c r="T191" s="863" t="s">
        <v>1750</v>
      </c>
      <c r="U191" s="864" t="s">
        <v>43</v>
      </c>
      <c r="V191" s="863" t="s">
        <v>1750</v>
      </c>
      <c r="W191" s="864" t="s">
        <v>43</v>
      </c>
      <c r="X191" s="861">
        <v>3800</v>
      </c>
      <c r="Y191" s="865" t="s">
        <v>179</v>
      </c>
      <c r="Z191" s="866" t="s">
        <v>43</v>
      </c>
      <c r="AA191" s="867">
        <v>1</v>
      </c>
      <c r="AB191" s="868" t="s">
        <v>179</v>
      </c>
      <c r="AC191" s="869" t="s">
        <v>1750</v>
      </c>
    </row>
    <row r="192" spans="1:29" ht="30.75">
      <c r="A192" s="856" t="s">
        <v>2217</v>
      </c>
      <c r="B192" s="792" t="s">
        <v>440</v>
      </c>
      <c r="C192" s="857" t="s">
        <v>1750</v>
      </c>
      <c r="D192" s="858" t="s">
        <v>43</v>
      </c>
      <c r="E192" s="843" t="s">
        <v>1750</v>
      </c>
      <c r="F192" s="858" t="s">
        <v>43</v>
      </c>
      <c r="G192" s="804">
        <v>2.5000000000000001E-2</v>
      </c>
      <c r="H192" s="859" t="s">
        <v>280</v>
      </c>
      <c r="I192" s="843" t="s">
        <v>1750</v>
      </c>
      <c r="J192" s="858" t="s">
        <v>43</v>
      </c>
      <c r="K192" s="858" t="s">
        <v>43</v>
      </c>
      <c r="L192" s="858" t="s">
        <v>43</v>
      </c>
      <c r="M192" s="859">
        <v>1</v>
      </c>
      <c r="N192" s="859">
        <v>0.1</v>
      </c>
      <c r="O192" s="860" t="s">
        <v>1750</v>
      </c>
      <c r="P192" s="861">
        <v>1600</v>
      </c>
      <c r="Q192" s="862" t="s">
        <v>179</v>
      </c>
      <c r="R192" s="861">
        <v>21000</v>
      </c>
      <c r="S192" s="862" t="s">
        <v>179</v>
      </c>
      <c r="T192" s="863" t="s">
        <v>1750</v>
      </c>
      <c r="U192" s="864" t="s">
        <v>43</v>
      </c>
      <c r="V192" s="863" t="s">
        <v>1750</v>
      </c>
      <c r="W192" s="864" t="s">
        <v>43</v>
      </c>
      <c r="X192" s="861">
        <v>120</v>
      </c>
      <c r="Y192" s="865" t="s">
        <v>179</v>
      </c>
      <c r="Z192" s="866" t="s">
        <v>43</v>
      </c>
      <c r="AA192" s="867">
        <v>31</v>
      </c>
      <c r="AB192" s="868" t="s">
        <v>179</v>
      </c>
      <c r="AC192" s="869" t="s">
        <v>1750</v>
      </c>
    </row>
    <row r="193" spans="1:29" ht="31.5" thickBot="1">
      <c r="A193" s="871" t="s">
        <v>2218</v>
      </c>
      <c r="B193" s="807" t="s">
        <v>671</v>
      </c>
      <c r="C193" s="872" t="s">
        <v>1750</v>
      </c>
      <c r="D193" s="873" t="s">
        <v>43</v>
      </c>
      <c r="E193" s="847" t="s">
        <v>1750</v>
      </c>
      <c r="F193" s="873" t="s">
        <v>43</v>
      </c>
      <c r="G193" s="819">
        <v>1E-3</v>
      </c>
      <c r="H193" s="874" t="s">
        <v>2463</v>
      </c>
      <c r="I193" s="847" t="s">
        <v>1750</v>
      </c>
      <c r="J193" s="873" t="s">
        <v>43</v>
      </c>
      <c r="K193" s="873" t="s">
        <v>43</v>
      </c>
      <c r="L193" s="873" t="s">
        <v>43</v>
      </c>
      <c r="M193" s="874">
        <v>1</v>
      </c>
      <c r="N193" s="874">
        <v>0.1</v>
      </c>
      <c r="O193" s="875" t="s">
        <v>1750</v>
      </c>
      <c r="P193" s="876">
        <v>63</v>
      </c>
      <c r="Q193" s="877" t="s">
        <v>179</v>
      </c>
      <c r="R193" s="876">
        <v>820</v>
      </c>
      <c r="S193" s="877" t="s">
        <v>179</v>
      </c>
      <c r="T193" s="878" t="s">
        <v>1750</v>
      </c>
      <c r="U193" s="879" t="s">
        <v>43</v>
      </c>
      <c r="V193" s="878" t="s">
        <v>1750</v>
      </c>
      <c r="W193" s="879" t="s">
        <v>43</v>
      </c>
      <c r="X193" s="876">
        <v>20</v>
      </c>
      <c r="Y193" s="880" t="s">
        <v>179</v>
      </c>
      <c r="Z193" s="881" t="s">
        <v>43</v>
      </c>
      <c r="AA193" s="882">
        <v>14</v>
      </c>
      <c r="AB193" s="883" t="s">
        <v>179</v>
      </c>
      <c r="AC193" s="884" t="s">
        <v>1750</v>
      </c>
    </row>
    <row r="194" spans="1:29" ht="30.75">
      <c r="A194" s="856" t="s">
        <v>672</v>
      </c>
      <c r="B194" s="792" t="s">
        <v>673</v>
      </c>
      <c r="C194" s="857" t="s">
        <v>1750</v>
      </c>
      <c r="D194" s="858" t="s">
        <v>43</v>
      </c>
      <c r="E194" s="843" t="s">
        <v>1750</v>
      </c>
      <c r="F194" s="858" t="s">
        <v>43</v>
      </c>
      <c r="G194" s="804">
        <v>0.06</v>
      </c>
      <c r="H194" s="859" t="s">
        <v>2463</v>
      </c>
      <c r="I194" s="843" t="s">
        <v>1750</v>
      </c>
      <c r="J194" s="858" t="s">
        <v>43</v>
      </c>
      <c r="K194" s="858" t="s">
        <v>43</v>
      </c>
      <c r="L194" s="858" t="s">
        <v>43</v>
      </c>
      <c r="M194" s="859">
        <v>1</v>
      </c>
      <c r="N194" s="859">
        <v>0.1</v>
      </c>
      <c r="O194" s="860" t="s">
        <v>1750</v>
      </c>
      <c r="P194" s="861">
        <v>3800</v>
      </c>
      <c r="Q194" s="862" t="s">
        <v>179</v>
      </c>
      <c r="R194" s="861">
        <v>49000</v>
      </c>
      <c r="S194" s="862" t="s">
        <v>179</v>
      </c>
      <c r="T194" s="863" t="s">
        <v>1750</v>
      </c>
      <c r="U194" s="864" t="s">
        <v>43</v>
      </c>
      <c r="V194" s="863" t="s">
        <v>1750</v>
      </c>
      <c r="W194" s="864" t="s">
        <v>43</v>
      </c>
      <c r="X194" s="861">
        <v>1200</v>
      </c>
      <c r="Y194" s="865" t="s">
        <v>179</v>
      </c>
      <c r="Z194" s="866" t="s">
        <v>43</v>
      </c>
      <c r="AA194" s="867">
        <v>190</v>
      </c>
      <c r="AB194" s="868" t="s">
        <v>179</v>
      </c>
      <c r="AC194" s="869" t="s">
        <v>1750</v>
      </c>
    </row>
    <row r="195" spans="1:29" ht="30.75">
      <c r="A195" s="856" t="s">
        <v>674</v>
      </c>
      <c r="B195" s="792" t="s">
        <v>675</v>
      </c>
      <c r="C195" s="857" t="s">
        <v>1750</v>
      </c>
      <c r="D195" s="858" t="s">
        <v>43</v>
      </c>
      <c r="E195" s="843" t="s">
        <v>1750</v>
      </c>
      <c r="F195" s="858" t="s">
        <v>43</v>
      </c>
      <c r="G195" s="804">
        <v>1.4999999999999999E-2</v>
      </c>
      <c r="H195" s="859" t="s">
        <v>2463</v>
      </c>
      <c r="I195" s="843" t="s">
        <v>1750</v>
      </c>
      <c r="J195" s="858" t="s">
        <v>43</v>
      </c>
      <c r="K195" s="858" t="s">
        <v>43</v>
      </c>
      <c r="L195" s="858" t="s">
        <v>43</v>
      </c>
      <c r="M195" s="859">
        <v>1</v>
      </c>
      <c r="N195" s="859">
        <v>0.1</v>
      </c>
      <c r="O195" s="860" t="s">
        <v>1750</v>
      </c>
      <c r="P195" s="861">
        <v>950</v>
      </c>
      <c r="Q195" s="862" t="s">
        <v>179</v>
      </c>
      <c r="R195" s="861">
        <v>12000</v>
      </c>
      <c r="S195" s="862" t="s">
        <v>179</v>
      </c>
      <c r="T195" s="863" t="s">
        <v>1750</v>
      </c>
      <c r="U195" s="864" t="s">
        <v>43</v>
      </c>
      <c r="V195" s="863" t="s">
        <v>1750</v>
      </c>
      <c r="W195" s="864" t="s">
        <v>43</v>
      </c>
      <c r="X195" s="861">
        <v>300</v>
      </c>
      <c r="Y195" s="865" t="s">
        <v>179</v>
      </c>
      <c r="Z195" s="866" t="s">
        <v>43</v>
      </c>
      <c r="AA195" s="867">
        <v>7.5999999999999998E-2</v>
      </c>
      <c r="AB195" s="868" t="s">
        <v>179</v>
      </c>
      <c r="AC195" s="869" t="s">
        <v>1750</v>
      </c>
    </row>
    <row r="196" spans="1:29" ht="16.5" thickBot="1">
      <c r="A196" s="871" t="s">
        <v>676</v>
      </c>
      <c r="B196" s="807" t="s">
        <v>677</v>
      </c>
      <c r="C196" s="890">
        <v>0.24</v>
      </c>
      <c r="D196" s="874" t="s">
        <v>280</v>
      </c>
      <c r="E196" s="819">
        <v>6.8999999999999997E-5</v>
      </c>
      <c r="F196" s="874" t="s">
        <v>3</v>
      </c>
      <c r="G196" s="847" t="s">
        <v>1750</v>
      </c>
      <c r="H196" s="873" t="s">
        <v>43</v>
      </c>
      <c r="I196" s="847" t="s">
        <v>1750</v>
      </c>
      <c r="J196" s="873" t="s">
        <v>43</v>
      </c>
      <c r="K196" s="873" t="s">
        <v>43</v>
      </c>
      <c r="L196" s="873" t="s">
        <v>43</v>
      </c>
      <c r="M196" s="874">
        <v>1</v>
      </c>
      <c r="N196" s="874">
        <v>0.1</v>
      </c>
      <c r="O196" s="875" t="s">
        <v>1750</v>
      </c>
      <c r="P196" s="876">
        <v>2.2999999999999998</v>
      </c>
      <c r="Q196" s="877" t="s">
        <v>2283</v>
      </c>
      <c r="R196" s="876">
        <v>9.6</v>
      </c>
      <c r="S196" s="877" t="s">
        <v>2283</v>
      </c>
      <c r="T196" s="876">
        <v>4.1000000000000002E-2</v>
      </c>
      <c r="U196" s="877" t="s">
        <v>2283</v>
      </c>
      <c r="V196" s="876">
        <v>0.18</v>
      </c>
      <c r="W196" s="877" t="s">
        <v>2283</v>
      </c>
      <c r="X196" s="876">
        <v>3.2000000000000001E-2</v>
      </c>
      <c r="Y196" s="880" t="s">
        <v>2283</v>
      </c>
      <c r="Z196" s="881" t="s">
        <v>43</v>
      </c>
      <c r="AA196" s="882">
        <v>7.4999999999999997E-3</v>
      </c>
      <c r="AB196" s="883" t="s">
        <v>2283</v>
      </c>
      <c r="AC196" s="884" t="s">
        <v>1750</v>
      </c>
    </row>
    <row r="197" spans="1:29" ht="15.75">
      <c r="A197" s="856" t="s">
        <v>678</v>
      </c>
      <c r="B197" s="792" t="s">
        <v>679</v>
      </c>
      <c r="C197" s="889">
        <v>0.34</v>
      </c>
      <c r="D197" s="859" t="s">
        <v>280</v>
      </c>
      <c r="E197" s="804">
        <v>9.7E-5</v>
      </c>
      <c r="F197" s="859" t="s">
        <v>3</v>
      </c>
      <c r="G197" s="843" t="s">
        <v>1750</v>
      </c>
      <c r="H197" s="858" t="s">
        <v>43</v>
      </c>
      <c r="I197" s="843" t="s">
        <v>1750</v>
      </c>
      <c r="J197" s="858" t="s">
        <v>43</v>
      </c>
      <c r="K197" s="859" t="s">
        <v>1634</v>
      </c>
      <c r="L197" s="858" t="s">
        <v>43</v>
      </c>
      <c r="M197" s="859">
        <v>1</v>
      </c>
      <c r="N197" s="870" t="s">
        <v>1750</v>
      </c>
      <c r="O197" s="860" t="s">
        <v>1750</v>
      </c>
      <c r="P197" s="861">
        <v>2</v>
      </c>
      <c r="Q197" s="862" t="s">
        <v>2283</v>
      </c>
      <c r="R197" s="861">
        <v>9.3000000000000007</v>
      </c>
      <c r="S197" s="862" t="s">
        <v>2283</v>
      </c>
      <c r="T197" s="861">
        <v>2.9000000000000001E-2</v>
      </c>
      <c r="U197" s="862" t="s">
        <v>2283</v>
      </c>
      <c r="V197" s="861">
        <v>0.13</v>
      </c>
      <c r="W197" s="862" t="s">
        <v>2283</v>
      </c>
      <c r="X197" s="861">
        <v>4.5999999999999999E-2</v>
      </c>
      <c r="Y197" s="865" t="s">
        <v>2283</v>
      </c>
      <c r="Z197" s="866" t="s">
        <v>43</v>
      </c>
      <c r="AA197" s="867">
        <v>1.0999999999999999E-2</v>
      </c>
      <c r="AB197" s="868" t="s">
        <v>2283</v>
      </c>
      <c r="AC197" s="869" t="s">
        <v>1750</v>
      </c>
    </row>
    <row r="198" spans="1:29" ht="15.75">
      <c r="A198" s="856" t="s">
        <v>680</v>
      </c>
      <c r="B198" s="792" t="s">
        <v>681</v>
      </c>
      <c r="C198" s="889">
        <v>0.34</v>
      </c>
      <c r="D198" s="859" t="s">
        <v>280</v>
      </c>
      <c r="E198" s="804">
        <v>9.7E-5</v>
      </c>
      <c r="F198" s="859" t="s">
        <v>280</v>
      </c>
      <c r="G198" s="804">
        <v>5.0000000000000001E-4</v>
      </c>
      <c r="H198" s="859" t="s">
        <v>280</v>
      </c>
      <c r="I198" s="843" t="s">
        <v>1750</v>
      </c>
      <c r="J198" s="858" t="s">
        <v>43</v>
      </c>
      <c r="K198" s="858" t="s">
        <v>43</v>
      </c>
      <c r="L198" s="858" t="s">
        <v>43</v>
      </c>
      <c r="M198" s="859">
        <v>1</v>
      </c>
      <c r="N198" s="859">
        <v>0.03</v>
      </c>
      <c r="O198" s="860" t="s">
        <v>1750</v>
      </c>
      <c r="P198" s="861">
        <v>1.9</v>
      </c>
      <c r="Q198" s="862" t="s">
        <v>2279</v>
      </c>
      <c r="R198" s="861">
        <v>8.5</v>
      </c>
      <c r="S198" s="862" t="s">
        <v>2279</v>
      </c>
      <c r="T198" s="861">
        <v>2.9000000000000001E-2</v>
      </c>
      <c r="U198" s="862" t="s">
        <v>2283</v>
      </c>
      <c r="V198" s="861">
        <v>0.13</v>
      </c>
      <c r="W198" s="862" t="s">
        <v>2283</v>
      </c>
      <c r="X198" s="861">
        <v>0.23</v>
      </c>
      <c r="Y198" s="865" t="s">
        <v>2279</v>
      </c>
      <c r="Z198" s="866" t="s">
        <v>43</v>
      </c>
      <c r="AA198" s="867">
        <v>7.6999999999999999E-2</v>
      </c>
      <c r="AB198" s="868" t="s">
        <v>2279</v>
      </c>
      <c r="AC198" s="869" t="s">
        <v>1750</v>
      </c>
    </row>
    <row r="199" spans="1:29" ht="16.5" thickBot="1">
      <c r="A199" s="871" t="s">
        <v>683</v>
      </c>
      <c r="B199" s="807" t="s">
        <v>684</v>
      </c>
      <c r="C199" s="872" t="s">
        <v>1750</v>
      </c>
      <c r="D199" s="873" t="s">
        <v>43</v>
      </c>
      <c r="E199" s="847" t="s">
        <v>1750</v>
      </c>
      <c r="F199" s="873" t="s">
        <v>43</v>
      </c>
      <c r="G199" s="819">
        <v>0.03</v>
      </c>
      <c r="H199" s="874" t="s">
        <v>280</v>
      </c>
      <c r="I199" s="847" t="s">
        <v>1750</v>
      </c>
      <c r="J199" s="873" t="s">
        <v>43</v>
      </c>
      <c r="K199" s="873" t="s">
        <v>43</v>
      </c>
      <c r="L199" s="873" t="s">
        <v>43</v>
      </c>
      <c r="M199" s="874">
        <v>1</v>
      </c>
      <c r="N199" s="874">
        <v>0.1</v>
      </c>
      <c r="O199" s="875" t="s">
        <v>1750</v>
      </c>
      <c r="P199" s="876">
        <v>1900</v>
      </c>
      <c r="Q199" s="877" t="s">
        <v>179</v>
      </c>
      <c r="R199" s="876">
        <v>25000</v>
      </c>
      <c r="S199" s="877" t="s">
        <v>179</v>
      </c>
      <c r="T199" s="878" t="s">
        <v>1750</v>
      </c>
      <c r="U199" s="879" t="s">
        <v>43</v>
      </c>
      <c r="V199" s="878" t="s">
        <v>1750</v>
      </c>
      <c r="W199" s="879" t="s">
        <v>43</v>
      </c>
      <c r="X199" s="876">
        <v>600</v>
      </c>
      <c r="Y199" s="880" t="s">
        <v>179</v>
      </c>
      <c r="Z199" s="893">
        <v>200</v>
      </c>
      <c r="AA199" s="882">
        <v>0.12</v>
      </c>
      <c r="AB199" s="883" t="s">
        <v>179</v>
      </c>
      <c r="AC199" s="894">
        <v>4.1000000000000002E-2</v>
      </c>
    </row>
    <row r="200" spans="1:29" ht="15.75">
      <c r="A200" s="856" t="s">
        <v>2219</v>
      </c>
      <c r="B200" s="792" t="s">
        <v>355</v>
      </c>
      <c r="C200" s="889">
        <v>1.7999999999999999E-2</v>
      </c>
      <c r="D200" s="859" t="s">
        <v>3</v>
      </c>
      <c r="E200" s="804">
        <v>5.1000000000000003E-6</v>
      </c>
      <c r="F200" s="859" t="s">
        <v>3</v>
      </c>
      <c r="G200" s="804">
        <v>0.15</v>
      </c>
      <c r="H200" s="859" t="s">
        <v>280</v>
      </c>
      <c r="I200" s="843" t="s">
        <v>1750</v>
      </c>
      <c r="J200" s="858" t="s">
        <v>43</v>
      </c>
      <c r="K200" s="858" t="s">
        <v>43</v>
      </c>
      <c r="L200" s="858" t="s">
        <v>43</v>
      </c>
      <c r="M200" s="859">
        <v>1</v>
      </c>
      <c r="N200" s="859">
        <v>0.1</v>
      </c>
      <c r="O200" s="860" t="s">
        <v>1750</v>
      </c>
      <c r="P200" s="861">
        <v>30</v>
      </c>
      <c r="Q200" s="862" t="s">
        <v>2283</v>
      </c>
      <c r="R200" s="861">
        <v>130</v>
      </c>
      <c r="S200" s="862" t="s">
        <v>2283</v>
      </c>
      <c r="T200" s="861">
        <v>0.55000000000000004</v>
      </c>
      <c r="U200" s="862" t="s">
        <v>2283</v>
      </c>
      <c r="V200" s="861">
        <v>2.4</v>
      </c>
      <c r="W200" s="862" t="s">
        <v>2283</v>
      </c>
      <c r="X200" s="861">
        <v>4.3</v>
      </c>
      <c r="Y200" s="865" t="s">
        <v>2283</v>
      </c>
      <c r="Z200" s="866" t="s">
        <v>43</v>
      </c>
      <c r="AA200" s="867">
        <v>9.5E-4</v>
      </c>
      <c r="AB200" s="868" t="s">
        <v>2283</v>
      </c>
      <c r="AC200" s="869" t="s">
        <v>1750</v>
      </c>
    </row>
    <row r="201" spans="1:29" ht="60.75">
      <c r="A201" s="856" t="s">
        <v>685</v>
      </c>
      <c r="B201" s="792" t="s">
        <v>686</v>
      </c>
      <c r="C201" s="889">
        <v>6.9999999999999999E-4</v>
      </c>
      <c r="D201" s="859" t="s">
        <v>280</v>
      </c>
      <c r="E201" s="843" t="s">
        <v>1750</v>
      </c>
      <c r="F201" s="858" t="s">
        <v>43</v>
      </c>
      <c r="G201" s="804">
        <v>7.0000000000000001E-3</v>
      </c>
      <c r="H201" s="859" t="s">
        <v>280</v>
      </c>
      <c r="I201" s="843" t="s">
        <v>1750</v>
      </c>
      <c r="J201" s="858" t="s">
        <v>43</v>
      </c>
      <c r="K201" s="858" t="s">
        <v>43</v>
      </c>
      <c r="L201" s="858" t="s">
        <v>43</v>
      </c>
      <c r="M201" s="859">
        <v>1</v>
      </c>
      <c r="N201" s="859">
        <v>0.1</v>
      </c>
      <c r="O201" s="860" t="s">
        <v>1750</v>
      </c>
      <c r="P201" s="861">
        <v>440</v>
      </c>
      <c r="Q201" s="862" t="s">
        <v>179</v>
      </c>
      <c r="R201" s="861">
        <v>3300</v>
      </c>
      <c r="S201" s="862" t="s">
        <v>2278</v>
      </c>
      <c r="T201" s="863" t="s">
        <v>1750</v>
      </c>
      <c r="U201" s="864" t="s">
        <v>43</v>
      </c>
      <c r="V201" s="863" t="s">
        <v>1750</v>
      </c>
      <c r="W201" s="864" t="s">
        <v>43</v>
      </c>
      <c r="X201" s="861">
        <v>110</v>
      </c>
      <c r="Y201" s="865" t="s">
        <v>2278</v>
      </c>
      <c r="Z201" s="866" t="s">
        <v>43</v>
      </c>
      <c r="AA201" s="867">
        <v>62</v>
      </c>
      <c r="AB201" s="868" t="s">
        <v>2278</v>
      </c>
      <c r="AC201" s="869" t="s">
        <v>1750</v>
      </c>
    </row>
    <row r="202" spans="1:29" ht="16.5" thickBot="1">
      <c r="A202" s="871" t="s">
        <v>687</v>
      </c>
      <c r="B202" s="807" t="s">
        <v>688</v>
      </c>
      <c r="C202" s="872" t="s">
        <v>1750</v>
      </c>
      <c r="D202" s="873" t="s">
        <v>43</v>
      </c>
      <c r="E202" s="847" t="s">
        <v>1750</v>
      </c>
      <c r="F202" s="873" t="s">
        <v>43</v>
      </c>
      <c r="G202" s="819">
        <v>4.0000000000000003E-5</v>
      </c>
      <c r="H202" s="874" t="s">
        <v>280</v>
      </c>
      <c r="I202" s="847" t="s">
        <v>1750</v>
      </c>
      <c r="J202" s="873" t="s">
        <v>43</v>
      </c>
      <c r="K202" s="873" t="s">
        <v>43</v>
      </c>
      <c r="L202" s="873" t="s">
        <v>43</v>
      </c>
      <c r="M202" s="874">
        <v>1</v>
      </c>
      <c r="N202" s="874">
        <v>0.1</v>
      </c>
      <c r="O202" s="875" t="s">
        <v>1750</v>
      </c>
      <c r="P202" s="876">
        <v>2.5</v>
      </c>
      <c r="Q202" s="877" t="s">
        <v>179</v>
      </c>
      <c r="R202" s="876">
        <v>33</v>
      </c>
      <c r="S202" s="877" t="s">
        <v>179</v>
      </c>
      <c r="T202" s="878" t="s">
        <v>1750</v>
      </c>
      <c r="U202" s="879" t="s">
        <v>43</v>
      </c>
      <c r="V202" s="878" t="s">
        <v>1750</v>
      </c>
      <c r="W202" s="879" t="s">
        <v>43</v>
      </c>
      <c r="X202" s="876">
        <v>0.42</v>
      </c>
      <c r="Y202" s="880" t="s">
        <v>179</v>
      </c>
      <c r="Z202" s="881" t="s">
        <v>43</v>
      </c>
      <c r="AA202" s="895" t="s">
        <v>1750</v>
      </c>
      <c r="AB202" s="883" t="s">
        <v>179</v>
      </c>
      <c r="AC202" s="884" t="s">
        <v>1750</v>
      </c>
    </row>
    <row r="203" spans="1:29" ht="30.75">
      <c r="A203" s="856" t="s">
        <v>689</v>
      </c>
      <c r="B203" s="792" t="s">
        <v>690</v>
      </c>
      <c r="C203" s="889">
        <v>1.1999999999999999E-3</v>
      </c>
      <c r="D203" s="859" t="s">
        <v>280</v>
      </c>
      <c r="E203" s="843" t="s">
        <v>1750</v>
      </c>
      <c r="F203" s="858" t="s">
        <v>43</v>
      </c>
      <c r="G203" s="804">
        <v>0.6</v>
      </c>
      <c r="H203" s="859" t="s">
        <v>280</v>
      </c>
      <c r="I203" s="843" t="s">
        <v>1750</v>
      </c>
      <c r="J203" s="858" t="s">
        <v>43</v>
      </c>
      <c r="K203" s="858" t="s">
        <v>43</v>
      </c>
      <c r="L203" s="858" t="s">
        <v>43</v>
      </c>
      <c r="M203" s="859">
        <v>1</v>
      </c>
      <c r="N203" s="859">
        <v>0.1</v>
      </c>
      <c r="O203" s="860" t="s">
        <v>1750</v>
      </c>
      <c r="P203" s="861">
        <v>450</v>
      </c>
      <c r="Q203" s="862" t="s">
        <v>2279</v>
      </c>
      <c r="R203" s="861">
        <v>1900</v>
      </c>
      <c r="S203" s="862" t="s">
        <v>2283</v>
      </c>
      <c r="T203" s="863" t="s">
        <v>1750</v>
      </c>
      <c r="U203" s="864" t="s">
        <v>43</v>
      </c>
      <c r="V203" s="863" t="s">
        <v>1750</v>
      </c>
      <c r="W203" s="864" t="s">
        <v>43</v>
      </c>
      <c r="X203" s="861">
        <v>65</v>
      </c>
      <c r="Y203" s="865" t="s">
        <v>2283</v>
      </c>
      <c r="Z203" s="891">
        <v>400</v>
      </c>
      <c r="AA203" s="867">
        <v>4.7</v>
      </c>
      <c r="AB203" s="868" t="s">
        <v>2283</v>
      </c>
      <c r="AC203" s="892">
        <v>29</v>
      </c>
    </row>
    <row r="204" spans="1:29" ht="15.75">
      <c r="A204" s="856" t="s">
        <v>691</v>
      </c>
      <c r="B204" s="792" t="s">
        <v>692</v>
      </c>
      <c r="C204" s="889">
        <v>6.0999999999999999E-2</v>
      </c>
      <c r="D204" s="859" t="s">
        <v>13</v>
      </c>
      <c r="E204" s="843" t="s">
        <v>1750</v>
      </c>
      <c r="F204" s="858" t="s">
        <v>43</v>
      </c>
      <c r="G204" s="843" t="s">
        <v>1750</v>
      </c>
      <c r="H204" s="858" t="s">
        <v>43</v>
      </c>
      <c r="I204" s="843" t="s">
        <v>1750</v>
      </c>
      <c r="J204" s="858" t="s">
        <v>43</v>
      </c>
      <c r="K204" s="858" t="s">
        <v>43</v>
      </c>
      <c r="L204" s="858" t="s">
        <v>43</v>
      </c>
      <c r="M204" s="859">
        <v>1</v>
      </c>
      <c r="N204" s="859">
        <v>0.1</v>
      </c>
      <c r="O204" s="860" t="s">
        <v>1750</v>
      </c>
      <c r="P204" s="861">
        <v>8.9</v>
      </c>
      <c r="Q204" s="862" t="s">
        <v>2283</v>
      </c>
      <c r="R204" s="861">
        <v>38</v>
      </c>
      <c r="S204" s="862" t="s">
        <v>2283</v>
      </c>
      <c r="T204" s="863" t="s">
        <v>1750</v>
      </c>
      <c r="U204" s="864" t="s">
        <v>43</v>
      </c>
      <c r="V204" s="863" t="s">
        <v>1750</v>
      </c>
      <c r="W204" s="864" t="s">
        <v>43</v>
      </c>
      <c r="X204" s="861">
        <v>0.54</v>
      </c>
      <c r="Y204" s="865" t="s">
        <v>2283</v>
      </c>
      <c r="Z204" s="866" t="s">
        <v>43</v>
      </c>
      <c r="AA204" s="867">
        <v>8.0000000000000004E-4</v>
      </c>
      <c r="AB204" s="868" t="s">
        <v>2283</v>
      </c>
      <c r="AC204" s="869" t="s">
        <v>1750</v>
      </c>
    </row>
    <row r="205" spans="1:29" ht="16.5" thickBot="1">
      <c r="A205" s="871" t="s">
        <v>693</v>
      </c>
      <c r="B205" s="807" t="s">
        <v>694</v>
      </c>
      <c r="C205" s="872" t="s">
        <v>1750</v>
      </c>
      <c r="D205" s="873" t="s">
        <v>43</v>
      </c>
      <c r="E205" s="847" t="s">
        <v>1750</v>
      </c>
      <c r="F205" s="873" t="s">
        <v>43</v>
      </c>
      <c r="G205" s="819">
        <v>6.9999999999999999E-4</v>
      </c>
      <c r="H205" s="874" t="s">
        <v>18</v>
      </c>
      <c r="I205" s="847" t="s">
        <v>1750</v>
      </c>
      <c r="J205" s="873" t="s">
        <v>43</v>
      </c>
      <c r="K205" s="873" t="s">
        <v>43</v>
      </c>
      <c r="L205" s="873" t="s">
        <v>43</v>
      </c>
      <c r="M205" s="874">
        <v>1</v>
      </c>
      <c r="N205" s="874">
        <v>0.1</v>
      </c>
      <c r="O205" s="875" t="s">
        <v>1750</v>
      </c>
      <c r="P205" s="876">
        <v>44</v>
      </c>
      <c r="Q205" s="877" t="s">
        <v>179</v>
      </c>
      <c r="R205" s="876">
        <v>570</v>
      </c>
      <c r="S205" s="877" t="s">
        <v>179</v>
      </c>
      <c r="T205" s="878" t="s">
        <v>1750</v>
      </c>
      <c r="U205" s="879" t="s">
        <v>43</v>
      </c>
      <c r="V205" s="878" t="s">
        <v>1750</v>
      </c>
      <c r="W205" s="879" t="s">
        <v>43</v>
      </c>
      <c r="X205" s="876">
        <v>10</v>
      </c>
      <c r="Y205" s="880" t="s">
        <v>179</v>
      </c>
      <c r="Z205" s="881" t="s">
        <v>43</v>
      </c>
      <c r="AA205" s="882">
        <v>6.5000000000000002E-2</v>
      </c>
      <c r="AB205" s="883" t="s">
        <v>179</v>
      </c>
      <c r="AC205" s="884" t="s">
        <v>1750</v>
      </c>
    </row>
    <row r="206" spans="1:29" ht="15.75">
      <c r="A206" s="856" t="s">
        <v>2108</v>
      </c>
      <c r="B206" s="792" t="s">
        <v>2109</v>
      </c>
      <c r="C206" s="857" t="s">
        <v>1750</v>
      </c>
      <c r="D206" s="858" t="s">
        <v>43</v>
      </c>
      <c r="E206" s="843" t="s">
        <v>1750</v>
      </c>
      <c r="F206" s="858" t="s">
        <v>43</v>
      </c>
      <c r="G206" s="804">
        <v>0.01</v>
      </c>
      <c r="H206" s="859" t="s">
        <v>0</v>
      </c>
      <c r="I206" s="843" t="s">
        <v>1750</v>
      </c>
      <c r="J206" s="858" t="s">
        <v>43</v>
      </c>
      <c r="K206" s="859" t="s">
        <v>1634</v>
      </c>
      <c r="L206" s="858" t="s">
        <v>43</v>
      </c>
      <c r="M206" s="859">
        <v>1</v>
      </c>
      <c r="N206" s="870" t="s">
        <v>1750</v>
      </c>
      <c r="O206" s="860" t="s">
        <v>1750</v>
      </c>
      <c r="P206" s="861">
        <v>780</v>
      </c>
      <c r="Q206" s="862" t="s">
        <v>179</v>
      </c>
      <c r="R206" s="861">
        <v>12000</v>
      </c>
      <c r="S206" s="862" t="s">
        <v>179</v>
      </c>
      <c r="T206" s="863" t="s">
        <v>1750</v>
      </c>
      <c r="U206" s="864" t="s">
        <v>43</v>
      </c>
      <c r="V206" s="863" t="s">
        <v>1750</v>
      </c>
      <c r="W206" s="864" t="s">
        <v>43</v>
      </c>
      <c r="X206" s="861">
        <v>65</v>
      </c>
      <c r="Y206" s="865" t="s">
        <v>179</v>
      </c>
      <c r="Z206" s="866" t="s">
        <v>43</v>
      </c>
      <c r="AA206" s="867">
        <v>1.2</v>
      </c>
      <c r="AB206" s="868" t="s">
        <v>179</v>
      </c>
      <c r="AC206" s="869" t="s">
        <v>1750</v>
      </c>
    </row>
    <row r="207" spans="1:29" ht="30.75">
      <c r="A207" s="856" t="s">
        <v>695</v>
      </c>
      <c r="B207" s="792" t="s">
        <v>696</v>
      </c>
      <c r="C207" s="889">
        <v>0.8</v>
      </c>
      <c r="D207" s="859" t="s">
        <v>281</v>
      </c>
      <c r="E207" s="804">
        <v>6.0000000000000001E-3</v>
      </c>
      <c r="F207" s="859" t="s">
        <v>281</v>
      </c>
      <c r="G207" s="804">
        <v>2.0000000000000001E-4</v>
      </c>
      <c r="H207" s="859" t="s">
        <v>281</v>
      </c>
      <c r="I207" s="804">
        <v>2.0000000000000001E-4</v>
      </c>
      <c r="J207" s="859" t="s">
        <v>280</v>
      </c>
      <c r="K207" s="859" t="s">
        <v>1634</v>
      </c>
      <c r="L207" s="859" t="s">
        <v>247</v>
      </c>
      <c r="M207" s="859">
        <v>1</v>
      </c>
      <c r="N207" s="870" t="s">
        <v>1750</v>
      </c>
      <c r="O207" s="805">
        <v>979</v>
      </c>
      <c r="P207" s="861">
        <v>5.3E-3</v>
      </c>
      <c r="Q207" s="862" t="s">
        <v>2283</v>
      </c>
      <c r="R207" s="861">
        <v>6.4000000000000001E-2</v>
      </c>
      <c r="S207" s="862" t="s">
        <v>2283</v>
      </c>
      <c r="T207" s="861">
        <v>1.7000000000000001E-4</v>
      </c>
      <c r="U207" s="862" t="s">
        <v>2283</v>
      </c>
      <c r="V207" s="861">
        <v>2E-3</v>
      </c>
      <c r="W207" s="862" t="s">
        <v>2283</v>
      </c>
      <c r="X207" s="861">
        <v>3.3E-4</v>
      </c>
      <c r="Y207" s="865" t="s">
        <v>2283</v>
      </c>
      <c r="Z207" s="891">
        <v>0.2</v>
      </c>
      <c r="AA207" s="867">
        <v>1.4000000000000001E-7</v>
      </c>
      <c r="AB207" s="868" t="s">
        <v>2283</v>
      </c>
      <c r="AC207" s="892">
        <v>8.6000000000000003E-5</v>
      </c>
    </row>
    <row r="208" spans="1:29" ht="31.5" thickBot="1">
      <c r="A208" s="871" t="s">
        <v>2157</v>
      </c>
      <c r="B208" s="807" t="s">
        <v>2163</v>
      </c>
      <c r="C208" s="872" t="s">
        <v>1750</v>
      </c>
      <c r="D208" s="873" t="s">
        <v>43</v>
      </c>
      <c r="E208" s="847" t="s">
        <v>1750</v>
      </c>
      <c r="F208" s="873" t="s">
        <v>43</v>
      </c>
      <c r="G208" s="819">
        <v>4.0000000000000002E-4</v>
      </c>
      <c r="H208" s="874" t="s">
        <v>0</v>
      </c>
      <c r="I208" s="847" t="s">
        <v>1750</v>
      </c>
      <c r="J208" s="873" t="s">
        <v>43</v>
      </c>
      <c r="K208" s="874" t="s">
        <v>1634</v>
      </c>
      <c r="L208" s="873" t="s">
        <v>43</v>
      </c>
      <c r="M208" s="874">
        <v>1</v>
      </c>
      <c r="N208" s="888" t="s">
        <v>1750</v>
      </c>
      <c r="O208" s="820">
        <v>159</v>
      </c>
      <c r="P208" s="876">
        <v>31</v>
      </c>
      <c r="Q208" s="877" t="s">
        <v>179</v>
      </c>
      <c r="R208" s="876">
        <v>470</v>
      </c>
      <c r="S208" s="877" t="s">
        <v>2282</v>
      </c>
      <c r="T208" s="878" t="s">
        <v>1750</v>
      </c>
      <c r="U208" s="879" t="s">
        <v>43</v>
      </c>
      <c r="V208" s="878" t="s">
        <v>1750</v>
      </c>
      <c r="W208" s="879" t="s">
        <v>43</v>
      </c>
      <c r="X208" s="876">
        <v>5.3</v>
      </c>
      <c r="Y208" s="880" t="s">
        <v>179</v>
      </c>
      <c r="Z208" s="881" t="s">
        <v>43</v>
      </c>
      <c r="AA208" s="882">
        <v>5.1000000000000004E-3</v>
      </c>
      <c r="AB208" s="883" t="s">
        <v>179</v>
      </c>
      <c r="AC208" s="884" t="s">
        <v>1750</v>
      </c>
    </row>
    <row r="209" spans="1:29" ht="30.75">
      <c r="A209" s="856" t="s">
        <v>697</v>
      </c>
      <c r="B209" s="792" t="s">
        <v>698</v>
      </c>
      <c r="C209" s="857" t="s">
        <v>1750</v>
      </c>
      <c r="D209" s="858" t="s">
        <v>43</v>
      </c>
      <c r="E209" s="843" t="s">
        <v>1750</v>
      </c>
      <c r="F209" s="858" t="s">
        <v>43</v>
      </c>
      <c r="G209" s="804">
        <v>0.01</v>
      </c>
      <c r="H209" s="859" t="s">
        <v>280</v>
      </c>
      <c r="I209" s="843" t="s">
        <v>1750</v>
      </c>
      <c r="J209" s="858" t="s">
        <v>43</v>
      </c>
      <c r="K209" s="859" t="s">
        <v>1634</v>
      </c>
      <c r="L209" s="858" t="s">
        <v>43</v>
      </c>
      <c r="M209" s="859">
        <v>1</v>
      </c>
      <c r="N209" s="870" t="s">
        <v>1750</v>
      </c>
      <c r="O209" s="860" t="s">
        <v>1750</v>
      </c>
      <c r="P209" s="861">
        <v>780</v>
      </c>
      <c r="Q209" s="862" t="s">
        <v>179</v>
      </c>
      <c r="R209" s="861">
        <v>12000</v>
      </c>
      <c r="S209" s="862" t="s">
        <v>179</v>
      </c>
      <c r="T209" s="863" t="s">
        <v>1750</v>
      </c>
      <c r="U209" s="864" t="s">
        <v>43</v>
      </c>
      <c r="V209" s="863" t="s">
        <v>1750</v>
      </c>
      <c r="W209" s="864" t="s">
        <v>43</v>
      </c>
      <c r="X209" s="861">
        <v>130</v>
      </c>
      <c r="Y209" s="865" t="s">
        <v>179</v>
      </c>
      <c r="Z209" s="866" t="s">
        <v>43</v>
      </c>
      <c r="AA209" s="867">
        <v>0.12</v>
      </c>
      <c r="AB209" s="868" t="s">
        <v>179</v>
      </c>
      <c r="AC209" s="869" t="s">
        <v>1750</v>
      </c>
    </row>
    <row r="210" spans="1:29" ht="30.75">
      <c r="A210" s="856" t="s">
        <v>699</v>
      </c>
      <c r="B210" s="792" t="s">
        <v>700</v>
      </c>
      <c r="C210" s="889">
        <v>8.4000000000000005E-2</v>
      </c>
      <c r="D210" s="859" t="s">
        <v>280</v>
      </c>
      <c r="E210" s="843" t="s">
        <v>1750</v>
      </c>
      <c r="F210" s="858" t="s">
        <v>43</v>
      </c>
      <c r="G210" s="804">
        <v>0.02</v>
      </c>
      <c r="H210" s="859" t="s">
        <v>280</v>
      </c>
      <c r="I210" s="843" t="s">
        <v>1750</v>
      </c>
      <c r="J210" s="858" t="s">
        <v>43</v>
      </c>
      <c r="K210" s="859" t="s">
        <v>1634</v>
      </c>
      <c r="L210" s="858" t="s">
        <v>43</v>
      </c>
      <c r="M210" s="859">
        <v>1</v>
      </c>
      <c r="N210" s="870" t="s">
        <v>1750</v>
      </c>
      <c r="O210" s="805">
        <v>802</v>
      </c>
      <c r="P210" s="861">
        <v>8.3000000000000007</v>
      </c>
      <c r="Q210" s="862" t="s">
        <v>2283</v>
      </c>
      <c r="R210" s="861">
        <v>39</v>
      </c>
      <c r="S210" s="862" t="s">
        <v>2283</v>
      </c>
      <c r="T210" s="863" t="s">
        <v>1750</v>
      </c>
      <c r="U210" s="864" t="s">
        <v>43</v>
      </c>
      <c r="V210" s="863" t="s">
        <v>1750</v>
      </c>
      <c r="W210" s="864" t="s">
        <v>43</v>
      </c>
      <c r="X210" s="861">
        <v>0.87</v>
      </c>
      <c r="Y210" s="865" t="s">
        <v>2283</v>
      </c>
      <c r="Z210" s="891" t="s">
        <v>2286</v>
      </c>
      <c r="AA210" s="867">
        <v>2.3000000000000001E-4</v>
      </c>
      <c r="AB210" s="868" t="s">
        <v>2283</v>
      </c>
      <c r="AC210" s="892">
        <v>2.1000000000000001E-2</v>
      </c>
    </row>
    <row r="211" spans="1:29" ht="31.5" thickBot="1">
      <c r="A211" s="871" t="s">
        <v>701</v>
      </c>
      <c r="B211" s="807" t="s">
        <v>702</v>
      </c>
      <c r="C211" s="890">
        <v>2</v>
      </c>
      <c r="D211" s="874" t="s">
        <v>280</v>
      </c>
      <c r="E211" s="819">
        <v>5.9999999999999995E-4</v>
      </c>
      <c r="F211" s="874" t="s">
        <v>280</v>
      </c>
      <c r="G211" s="819">
        <v>8.9999999999999993E-3</v>
      </c>
      <c r="H211" s="874" t="s">
        <v>280</v>
      </c>
      <c r="I211" s="819">
        <v>8.9999999999999993E-3</v>
      </c>
      <c r="J211" s="874" t="s">
        <v>280</v>
      </c>
      <c r="K211" s="874" t="s">
        <v>1634</v>
      </c>
      <c r="L211" s="873" t="s">
        <v>43</v>
      </c>
      <c r="M211" s="874">
        <v>1</v>
      </c>
      <c r="N211" s="888" t="s">
        <v>1750</v>
      </c>
      <c r="O211" s="820">
        <v>1340</v>
      </c>
      <c r="P211" s="876">
        <v>3.5999999999999997E-2</v>
      </c>
      <c r="Q211" s="877" t="s">
        <v>2283</v>
      </c>
      <c r="R211" s="876">
        <v>0.16</v>
      </c>
      <c r="S211" s="877" t="s">
        <v>2283</v>
      </c>
      <c r="T211" s="876">
        <v>4.7000000000000002E-3</v>
      </c>
      <c r="U211" s="877" t="s">
        <v>2283</v>
      </c>
      <c r="V211" s="876">
        <v>0.02</v>
      </c>
      <c r="W211" s="877" t="s">
        <v>2283</v>
      </c>
      <c r="X211" s="876">
        <v>7.4999999999999997E-3</v>
      </c>
      <c r="Y211" s="880" t="s">
        <v>2283</v>
      </c>
      <c r="Z211" s="893">
        <v>0.05</v>
      </c>
      <c r="AA211" s="882">
        <v>2.0999999999999998E-6</v>
      </c>
      <c r="AB211" s="883" t="s">
        <v>2283</v>
      </c>
      <c r="AC211" s="894">
        <v>1.4E-5</v>
      </c>
    </row>
    <row r="212" spans="1:29" ht="45.75">
      <c r="A212" s="856" t="s">
        <v>703</v>
      </c>
      <c r="B212" s="792" t="s">
        <v>704</v>
      </c>
      <c r="C212" s="857" t="s">
        <v>1750</v>
      </c>
      <c r="D212" s="858" t="s">
        <v>43</v>
      </c>
      <c r="E212" s="843" t="s">
        <v>1750</v>
      </c>
      <c r="F212" s="858" t="s">
        <v>43</v>
      </c>
      <c r="G212" s="843" t="s">
        <v>1750</v>
      </c>
      <c r="H212" s="858" t="s">
        <v>43</v>
      </c>
      <c r="I212" s="804">
        <v>4.0000000000000001E-3</v>
      </c>
      <c r="J212" s="859" t="s">
        <v>0</v>
      </c>
      <c r="K212" s="859" t="s">
        <v>1634</v>
      </c>
      <c r="L212" s="858" t="s">
        <v>43</v>
      </c>
      <c r="M212" s="859">
        <v>1</v>
      </c>
      <c r="N212" s="870" t="s">
        <v>1750</v>
      </c>
      <c r="O212" s="805">
        <v>2820</v>
      </c>
      <c r="P212" s="861">
        <v>24</v>
      </c>
      <c r="Q212" s="862" t="s">
        <v>179</v>
      </c>
      <c r="R212" s="861">
        <v>99</v>
      </c>
      <c r="S212" s="862" t="s">
        <v>179</v>
      </c>
      <c r="T212" s="861">
        <v>4.2</v>
      </c>
      <c r="U212" s="862" t="s">
        <v>179</v>
      </c>
      <c r="V212" s="861">
        <v>18</v>
      </c>
      <c r="W212" s="862" t="s">
        <v>179</v>
      </c>
      <c r="X212" s="861">
        <v>8.3000000000000007</v>
      </c>
      <c r="Y212" s="865" t="s">
        <v>179</v>
      </c>
      <c r="Z212" s="866" t="s">
        <v>43</v>
      </c>
      <c r="AA212" s="867">
        <v>2.0999999999999999E-3</v>
      </c>
      <c r="AB212" s="868" t="s">
        <v>179</v>
      </c>
      <c r="AC212" s="869" t="s">
        <v>1750</v>
      </c>
    </row>
    <row r="213" spans="1:29" ht="30.75">
      <c r="A213" s="856" t="s">
        <v>706</v>
      </c>
      <c r="B213" s="792" t="s">
        <v>2406</v>
      </c>
      <c r="C213" s="857" t="s">
        <v>1750</v>
      </c>
      <c r="D213" s="858" t="s">
        <v>43</v>
      </c>
      <c r="E213" s="843" t="s">
        <v>1750</v>
      </c>
      <c r="F213" s="858" t="s">
        <v>43</v>
      </c>
      <c r="G213" s="804">
        <v>2.9999999999999997E-4</v>
      </c>
      <c r="H213" s="859" t="s">
        <v>281</v>
      </c>
      <c r="I213" s="843" t="s">
        <v>1750</v>
      </c>
      <c r="J213" s="858" t="s">
        <v>43</v>
      </c>
      <c r="K213" s="858" t="s">
        <v>43</v>
      </c>
      <c r="L213" s="858" t="s">
        <v>43</v>
      </c>
      <c r="M213" s="859">
        <v>1</v>
      </c>
      <c r="N213" s="859">
        <v>0.1</v>
      </c>
      <c r="O213" s="860" t="s">
        <v>1750</v>
      </c>
      <c r="P213" s="861">
        <v>19</v>
      </c>
      <c r="Q213" s="862" t="s">
        <v>179</v>
      </c>
      <c r="R213" s="861">
        <v>250</v>
      </c>
      <c r="S213" s="862" t="s">
        <v>179</v>
      </c>
      <c r="T213" s="863" t="s">
        <v>1750</v>
      </c>
      <c r="U213" s="864" t="s">
        <v>43</v>
      </c>
      <c r="V213" s="863" t="s">
        <v>1750</v>
      </c>
      <c r="W213" s="864" t="s">
        <v>43</v>
      </c>
      <c r="X213" s="861">
        <v>6</v>
      </c>
      <c r="Y213" s="865" t="s">
        <v>179</v>
      </c>
      <c r="Z213" s="866" t="s">
        <v>43</v>
      </c>
      <c r="AA213" s="886" t="s">
        <v>1750</v>
      </c>
      <c r="AB213" s="868" t="s">
        <v>179</v>
      </c>
      <c r="AC213" s="869" t="s">
        <v>1750</v>
      </c>
    </row>
    <row r="214" spans="1:29" ht="16.5" thickBot="1">
      <c r="A214" s="871" t="s">
        <v>708</v>
      </c>
      <c r="B214" s="807" t="s">
        <v>709</v>
      </c>
      <c r="C214" s="872" t="s">
        <v>1750</v>
      </c>
      <c r="D214" s="873" t="s">
        <v>43</v>
      </c>
      <c r="E214" s="847" t="s">
        <v>1750</v>
      </c>
      <c r="F214" s="873" t="s">
        <v>43</v>
      </c>
      <c r="G214" s="819">
        <v>0.03</v>
      </c>
      <c r="H214" s="874" t="s">
        <v>280</v>
      </c>
      <c r="I214" s="847" t="s">
        <v>1750</v>
      </c>
      <c r="J214" s="873" t="s">
        <v>43</v>
      </c>
      <c r="K214" s="873" t="s">
        <v>43</v>
      </c>
      <c r="L214" s="873" t="s">
        <v>43</v>
      </c>
      <c r="M214" s="874">
        <v>1</v>
      </c>
      <c r="N214" s="874">
        <v>0.1</v>
      </c>
      <c r="O214" s="875" t="s">
        <v>1750</v>
      </c>
      <c r="P214" s="876">
        <v>1900</v>
      </c>
      <c r="Q214" s="877" t="s">
        <v>179</v>
      </c>
      <c r="R214" s="876">
        <v>25000</v>
      </c>
      <c r="S214" s="877" t="s">
        <v>179</v>
      </c>
      <c r="T214" s="878" t="s">
        <v>1750</v>
      </c>
      <c r="U214" s="879" t="s">
        <v>43</v>
      </c>
      <c r="V214" s="878" t="s">
        <v>1750</v>
      </c>
      <c r="W214" s="879" t="s">
        <v>43</v>
      </c>
      <c r="X214" s="876">
        <v>570</v>
      </c>
      <c r="Y214" s="880" t="s">
        <v>179</v>
      </c>
      <c r="Z214" s="881" t="s">
        <v>43</v>
      </c>
      <c r="AA214" s="882">
        <v>0.15</v>
      </c>
      <c r="AB214" s="883" t="s">
        <v>179</v>
      </c>
      <c r="AC214" s="884" t="s">
        <v>1750</v>
      </c>
    </row>
    <row r="215" spans="1:29" ht="30.75">
      <c r="A215" s="856" t="s">
        <v>710</v>
      </c>
      <c r="B215" s="792" t="s">
        <v>711</v>
      </c>
      <c r="C215" s="857" t="s">
        <v>1750</v>
      </c>
      <c r="D215" s="858" t="s">
        <v>43</v>
      </c>
      <c r="E215" s="804">
        <v>4.1999999999999997E-3</v>
      </c>
      <c r="F215" s="859" t="s">
        <v>281</v>
      </c>
      <c r="G215" s="843" t="s">
        <v>1750</v>
      </c>
      <c r="H215" s="858" t="s">
        <v>43</v>
      </c>
      <c r="I215" s="843" t="s">
        <v>1750</v>
      </c>
      <c r="J215" s="858" t="s">
        <v>43</v>
      </c>
      <c r="K215" s="859" t="s">
        <v>1634</v>
      </c>
      <c r="L215" s="858" t="s">
        <v>43</v>
      </c>
      <c r="M215" s="859">
        <v>1</v>
      </c>
      <c r="N215" s="870" t="s">
        <v>1750</v>
      </c>
      <c r="O215" s="805">
        <v>554</v>
      </c>
      <c r="P215" s="861">
        <v>2.0999999999999999E-3</v>
      </c>
      <c r="Q215" s="862" t="s">
        <v>2283</v>
      </c>
      <c r="R215" s="861">
        <v>9.4000000000000004E-3</v>
      </c>
      <c r="S215" s="862" t="s">
        <v>2283</v>
      </c>
      <c r="T215" s="861">
        <v>6.7000000000000002E-4</v>
      </c>
      <c r="U215" s="862" t="s">
        <v>2283</v>
      </c>
      <c r="V215" s="861">
        <v>2.8999999999999998E-3</v>
      </c>
      <c r="W215" s="862" t="s">
        <v>2283</v>
      </c>
      <c r="X215" s="861">
        <v>1.2999999999999999E-3</v>
      </c>
      <c r="Y215" s="865" t="s">
        <v>2283</v>
      </c>
      <c r="Z215" s="866" t="s">
        <v>43</v>
      </c>
      <c r="AA215" s="867">
        <v>6.6000000000000003E-7</v>
      </c>
      <c r="AB215" s="868" t="s">
        <v>2283</v>
      </c>
      <c r="AC215" s="869" t="s">
        <v>1750</v>
      </c>
    </row>
    <row r="216" spans="1:29" ht="30.75">
      <c r="A216" s="856" t="s">
        <v>712</v>
      </c>
      <c r="B216" s="792" t="s">
        <v>713</v>
      </c>
      <c r="C216" s="857" t="s">
        <v>1750</v>
      </c>
      <c r="D216" s="858" t="s">
        <v>43</v>
      </c>
      <c r="E216" s="804">
        <v>4.1999999999999997E-3</v>
      </c>
      <c r="F216" s="859" t="s">
        <v>281</v>
      </c>
      <c r="G216" s="843" t="s">
        <v>1750</v>
      </c>
      <c r="H216" s="858" t="s">
        <v>43</v>
      </c>
      <c r="I216" s="843" t="s">
        <v>1750</v>
      </c>
      <c r="J216" s="858" t="s">
        <v>43</v>
      </c>
      <c r="K216" s="859" t="s">
        <v>1634</v>
      </c>
      <c r="L216" s="858" t="s">
        <v>43</v>
      </c>
      <c r="M216" s="859">
        <v>1</v>
      </c>
      <c r="N216" s="870" t="s">
        <v>1750</v>
      </c>
      <c r="O216" s="805">
        <v>519</v>
      </c>
      <c r="P216" s="861">
        <v>7.4000000000000003E-3</v>
      </c>
      <c r="Q216" s="862" t="s">
        <v>2283</v>
      </c>
      <c r="R216" s="861">
        <v>3.2000000000000001E-2</v>
      </c>
      <c r="S216" s="862" t="s">
        <v>2283</v>
      </c>
      <c r="T216" s="861">
        <v>6.7000000000000002E-4</v>
      </c>
      <c r="U216" s="862" t="s">
        <v>2283</v>
      </c>
      <c r="V216" s="861">
        <v>2.8999999999999998E-3</v>
      </c>
      <c r="W216" s="862" t="s">
        <v>2283</v>
      </c>
      <c r="X216" s="861">
        <v>1.2999999999999999E-3</v>
      </c>
      <c r="Y216" s="865" t="s">
        <v>2283</v>
      </c>
      <c r="Z216" s="866" t="s">
        <v>43</v>
      </c>
      <c r="AA216" s="867">
        <v>6.1999999999999999E-7</v>
      </c>
      <c r="AB216" s="868" t="s">
        <v>2283</v>
      </c>
      <c r="AC216" s="869" t="s">
        <v>1750</v>
      </c>
    </row>
    <row r="217" spans="1:29" ht="31.5" thickBot="1">
      <c r="A217" s="871" t="s">
        <v>714</v>
      </c>
      <c r="B217" s="807" t="s">
        <v>715</v>
      </c>
      <c r="C217" s="872" t="s">
        <v>1750</v>
      </c>
      <c r="D217" s="873" t="s">
        <v>43</v>
      </c>
      <c r="E217" s="819">
        <v>4.1999999999999997E-3</v>
      </c>
      <c r="F217" s="874" t="s">
        <v>281</v>
      </c>
      <c r="G217" s="847" t="s">
        <v>1750</v>
      </c>
      <c r="H217" s="873" t="s">
        <v>43</v>
      </c>
      <c r="I217" s="847" t="s">
        <v>1750</v>
      </c>
      <c r="J217" s="873" t="s">
        <v>43</v>
      </c>
      <c r="K217" s="874" t="s">
        <v>1634</v>
      </c>
      <c r="L217" s="873" t="s">
        <v>43</v>
      </c>
      <c r="M217" s="874">
        <v>1</v>
      </c>
      <c r="N217" s="888" t="s">
        <v>1750</v>
      </c>
      <c r="O217" s="820">
        <v>760</v>
      </c>
      <c r="P217" s="876">
        <v>7.4000000000000003E-3</v>
      </c>
      <c r="Q217" s="877" t="s">
        <v>2283</v>
      </c>
      <c r="R217" s="876">
        <v>3.2000000000000001E-2</v>
      </c>
      <c r="S217" s="877" t="s">
        <v>2283</v>
      </c>
      <c r="T217" s="876">
        <v>6.7000000000000002E-4</v>
      </c>
      <c r="U217" s="877" t="s">
        <v>2283</v>
      </c>
      <c r="V217" s="876">
        <v>2.8999999999999998E-3</v>
      </c>
      <c r="W217" s="877" t="s">
        <v>2283</v>
      </c>
      <c r="X217" s="876">
        <v>1.2999999999999999E-3</v>
      </c>
      <c r="Y217" s="880" t="s">
        <v>2283</v>
      </c>
      <c r="Z217" s="881" t="s">
        <v>43</v>
      </c>
      <c r="AA217" s="882">
        <v>6.1999999999999999E-7</v>
      </c>
      <c r="AB217" s="883" t="s">
        <v>2283</v>
      </c>
      <c r="AC217" s="884" t="s">
        <v>1750</v>
      </c>
    </row>
    <row r="218" spans="1:29" ht="30.75">
      <c r="A218" s="856" t="s">
        <v>716</v>
      </c>
      <c r="B218" s="792" t="s">
        <v>717</v>
      </c>
      <c r="C218" s="889">
        <v>0.05</v>
      </c>
      <c r="D218" s="859" t="s">
        <v>280</v>
      </c>
      <c r="E218" s="843" t="s">
        <v>1750</v>
      </c>
      <c r="F218" s="858" t="s">
        <v>43</v>
      </c>
      <c r="G218" s="804">
        <v>4.0000000000000001E-3</v>
      </c>
      <c r="H218" s="859" t="s">
        <v>280</v>
      </c>
      <c r="I218" s="843" t="s">
        <v>1750</v>
      </c>
      <c r="J218" s="858" t="s">
        <v>43</v>
      </c>
      <c r="K218" s="858" t="s">
        <v>43</v>
      </c>
      <c r="L218" s="858" t="s">
        <v>43</v>
      </c>
      <c r="M218" s="859">
        <v>1</v>
      </c>
      <c r="N218" s="859">
        <v>0.1</v>
      </c>
      <c r="O218" s="860" t="s">
        <v>1750</v>
      </c>
      <c r="P218" s="861">
        <v>11</v>
      </c>
      <c r="Q218" s="862" t="s">
        <v>2279</v>
      </c>
      <c r="R218" s="861">
        <v>46</v>
      </c>
      <c r="S218" s="862" t="s">
        <v>2279</v>
      </c>
      <c r="T218" s="863" t="s">
        <v>1750</v>
      </c>
      <c r="U218" s="864" t="s">
        <v>43</v>
      </c>
      <c r="V218" s="863" t="s">
        <v>1750</v>
      </c>
      <c r="W218" s="864" t="s">
        <v>43</v>
      </c>
      <c r="X218" s="861">
        <v>1.5</v>
      </c>
      <c r="Y218" s="865" t="s">
        <v>2279</v>
      </c>
      <c r="Z218" s="891">
        <v>60</v>
      </c>
      <c r="AA218" s="867">
        <v>3.1E-4</v>
      </c>
      <c r="AB218" s="868" t="s">
        <v>2279</v>
      </c>
      <c r="AC218" s="892">
        <v>1.2E-2</v>
      </c>
    </row>
    <row r="219" spans="1:29" ht="30.75">
      <c r="A219" s="856" t="s">
        <v>160</v>
      </c>
      <c r="B219" s="792" t="s">
        <v>718</v>
      </c>
      <c r="C219" s="857" t="s">
        <v>1750</v>
      </c>
      <c r="D219" s="858" t="s">
        <v>43</v>
      </c>
      <c r="E219" s="843" t="s">
        <v>1750</v>
      </c>
      <c r="F219" s="858" t="s">
        <v>43</v>
      </c>
      <c r="G219" s="804">
        <v>0.09</v>
      </c>
      <c r="H219" s="859" t="s">
        <v>280</v>
      </c>
      <c r="I219" s="804">
        <v>0.2</v>
      </c>
      <c r="J219" s="859" t="s">
        <v>13</v>
      </c>
      <c r="K219" s="859" t="s">
        <v>1634</v>
      </c>
      <c r="L219" s="858" t="s">
        <v>43</v>
      </c>
      <c r="M219" s="859">
        <v>1</v>
      </c>
      <c r="N219" s="870" t="s">
        <v>1750</v>
      </c>
      <c r="O219" s="805">
        <v>376</v>
      </c>
      <c r="P219" s="861">
        <v>1800</v>
      </c>
      <c r="Q219" s="862" t="s">
        <v>2282</v>
      </c>
      <c r="R219" s="861">
        <v>9300</v>
      </c>
      <c r="S219" s="862" t="s">
        <v>2282</v>
      </c>
      <c r="T219" s="861">
        <v>210</v>
      </c>
      <c r="U219" s="862" t="s">
        <v>179</v>
      </c>
      <c r="V219" s="861">
        <v>880</v>
      </c>
      <c r="W219" s="862" t="s">
        <v>179</v>
      </c>
      <c r="X219" s="861">
        <v>300</v>
      </c>
      <c r="Y219" s="865" t="s">
        <v>179</v>
      </c>
      <c r="Z219" s="891">
        <v>600</v>
      </c>
      <c r="AA219" s="867">
        <v>0.3</v>
      </c>
      <c r="AB219" s="868" t="s">
        <v>179</v>
      </c>
      <c r="AC219" s="892">
        <v>0.57999999999999996</v>
      </c>
    </row>
    <row r="220" spans="1:29" ht="31.5" thickBot="1">
      <c r="A220" s="871" t="s">
        <v>166</v>
      </c>
      <c r="B220" s="807" t="s">
        <v>719</v>
      </c>
      <c r="C220" s="890">
        <v>5.4000000000000003E-3</v>
      </c>
      <c r="D220" s="874" t="s">
        <v>3</v>
      </c>
      <c r="E220" s="819">
        <v>1.1E-5</v>
      </c>
      <c r="F220" s="874" t="s">
        <v>3</v>
      </c>
      <c r="G220" s="819">
        <v>7.0000000000000007E-2</v>
      </c>
      <c r="H220" s="874" t="s">
        <v>18</v>
      </c>
      <c r="I220" s="819">
        <v>0.8</v>
      </c>
      <c r="J220" s="874" t="s">
        <v>280</v>
      </c>
      <c r="K220" s="874" t="s">
        <v>1634</v>
      </c>
      <c r="L220" s="873" t="s">
        <v>43</v>
      </c>
      <c r="M220" s="874">
        <v>1</v>
      </c>
      <c r="N220" s="888" t="s">
        <v>1750</v>
      </c>
      <c r="O220" s="875" t="s">
        <v>1750</v>
      </c>
      <c r="P220" s="876">
        <v>2.6</v>
      </c>
      <c r="Q220" s="877" t="s">
        <v>2283</v>
      </c>
      <c r="R220" s="876">
        <v>11</v>
      </c>
      <c r="S220" s="877" t="s">
        <v>2283</v>
      </c>
      <c r="T220" s="876">
        <v>0.26</v>
      </c>
      <c r="U220" s="877" t="s">
        <v>2283</v>
      </c>
      <c r="V220" s="876">
        <v>1.1000000000000001</v>
      </c>
      <c r="W220" s="877" t="s">
        <v>2283</v>
      </c>
      <c r="X220" s="876">
        <v>0.48</v>
      </c>
      <c r="Y220" s="880" t="s">
        <v>2283</v>
      </c>
      <c r="Z220" s="893">
        <v>75</v>
      </c>
      <c r="AA220" s="882">
        <v>4.6000000000000001E-4</v>
      </c>
      <c r="AB220" s="883" t="s">
        <v>2283</v>
      </c>
      <c r="AC220" s="894">
        <v>7.1999999999999995E-2</v>
      </c>
    </row>
    <row r="221" spans="1:29" ht="30.75">
      <c r="A221" s="856" t="s">
        <v>720</v>
      </c>
      <c r="B221" s="792" t="s">
        <v>721</v>
      </c>
      <c r="C221" s="889">
        <v>0.45</v>
      </c>
      <c r="D221" s="859" t="s">
        <v>280</v>
      </c>
      <c r="E221" s="804">
        <v>3.4000000000000002E-4</v>
      </c>
      <c r="F221" s="859" t="s">
        <v>3</v>
      </c>
      <c r="G221" s="843" t="s">
        <v>1750</v>
      </c>
      <c r="H221" s="858" t="s">
        <v>43</v>
      </c>
      <c r="I221" s="843" t="s">
        <v>1750</v>
      </c>
      <c r="J221" s="858" t="s">
        <v>43</v>
      </c>
      <c r="K221" s="858" t="s">
        <v>43</v>
      </c>
      <c r="L221" s="858" t="s">
        <v>43</v>
      </c>
      <c r="M221" s="859">
        <v>1</v>
      </c>
      <c r="N221" s="859">
        <v>0.1</v>
      </c>
      <c r="O221" s="860" t="s">
        <v>1750</v>
      </c>
      <c r="P221" s="861">
        <v>1.2</v>
      </c>
      <c r="Q221" s="862" t="s">
        <v>2283</v>
      </c>
      <c r="R221" s="861">
        <v>5.0999999999999996</v>
      </c>
      <c r="S221" s="862" t="s">
        <v>2283</v>
      </c>
      <c r="T221" s="861">
        <v>8.3000000000000001E-3</v>
      </c>
      <c r="U221" s="862" t="s">
        <v>2283</v>
      </c>
      <c r="V221" s="861">
        <v>3.5999999999999997E-2</v>
      </c>
      <c r="W221" s="862" t="s">
        <v>2283</v>
      </c>
      <c r="X221" s="861">
        <v>0.13</v>
      </c>
      <c r="Y221" s="865" t="s">
        <v>2283</v>
      </c>
      <c r="Z221" s="866" t="s">
        <v>43</v>
      </c>
      <c r="AA221" s="867">
        <v>8.1999999999999998E-4</v>
      </c>
      <c r="AB221" s="868" t="s">
        <v>2283</v>
      </c>
      <c r="AC221" s="869" t="s">
        <v>1750</v>
      </c>
    </row>
    <row r="222" spans="1:29" ht="30.75">
      <c r="A222" s="856" t="s">
        <v>722</v>
      </c>
      <c r="B222" s="792" t="s">
        <v>723</v>
      </c>
      <c r="C222" s="857" t="s">
        <v>1750</v>
      </c>
      <c r="D222" s="858" t="s">
        <v>43</v>
      </c>
      <c r="E222" s="843" t="s">
        <v>1750</v>
      </c>
      <c r="F222" s="858" t="s">
        <v>43</v>
      </c>
      <c r="G222" s="804">
        <v>8.9999999999999993E-3</v>
      </c>
      <c r="H222" s="859" t="s">
        <v>0</v>
      </c>
      <c r="I222" s="843" t="s">
        <v>1750</v>
      </c>
      <c r="J222" s="858" t="s">
        <v>43</v>
      </c>
      <c r="K222" s="858" t="s">
        <v>43</v>
      </c>
      <c r="L222" s="858" t="s">
        <v>43</v>
      </c>
      <c r="M222" s="859">
        <v>1</v>
      </c>
      <c r="N222" s="859">
        <v>0.1</v>
      </c>
      <c r="O222" s="860" t="s">
        <v>1750</v>
      </c>
      <c r="P222" s="861">
        <v>570</v>
      </c>
      <c r="Q222" s="862" t="s">
        <v>179</v>
      </c>
      <c r="R222" s="861">
        <v>7400</v>
      </c>
      <c r="S222" s="862" t="s">
        <v>179</v>
      </c>
      <c r="T222" s="863" t="s">
        <v>1750</v>
      </c>
      <c r="U222" s="864" t="s">
        <v>43</v>
      </c>
      <c r="V222" s="863" t="s">
        <v>1750</v>
      </c>
      <c r="W222" s="864" t="s">
        <v>43</v>
      </c>
      <c r="X222" s="861">
        <v>78</v>
      </c>
      <c r="Y222" s="865" t="s">
        <v>179</v>
      </c>
      <c r="Z222" s="866" t="s">
        <v>43</v>
      </c>
      <c r="AA222" s="867">
        <v>0.47</v>
      </c>
      <c r="AB222" s="868" t="s">
        <v>179</v>
      </c>
      <c r="AC222" s="869" t="s">
        <v>1750</v>
      </c>
    </row>
    <row r="223" spans="1:29" ht="31.5" thickBot="1">
      <c r="A223" s="871" t="s">
        <v>62</v>
      </c>
      <c r="B223" s="807" t="s">
        <v>724</v>
      </c>
      <c r="C223" s="872" t="s">
        <v>1750</v>
      </c>
      <c r="D223" s="873" t="s">
        <v>43</v>
      </c>
      <c r="E223" s="847" t="s">
        <v>1750</v>
      </c>
      <c r="F223" s="873" t="s">
        <v>43</v>
      </c>
      <c r="G223" s="819">
        <v>0.2</v>
      </c>
      <c r="H223" s="874" t="s">
        <v>280</v>
      </c>
      <c r="I223" s="819">
        <v>0.1</v>
      </c>
      <c r="J223" s="874" t="s">
        <v>0</v>
      </c>
      <c r="K223" s="874" t="s">
        <v>1634</v>
      </c>
      <c r="L223" s="873" t="s">
        <v>43</v>
      </c>
      <c r="M223" s="874">
        <v>1</v>
      </c>
      <c r="N223" s="888" t="s">
        <v>1750</v>
      </c>
      <c r="O223" s="820">
        <v>845</v>
      </c>
      <c r="P223" s="876">
        <v>87</v>
      </c>
      <c r="Q223" s="877" t="s">
        <v>179</v>
      </c>
      <c r="R223" s="876">
        <v>370</v>
      </c>
      <c r="S223" s="877" t="s">
        <v>179</v>
      </c>
      <c r="T223" s="876">
        <v>100</v>
      </c>
      <c r="U223" s="877" t="s">
        <v>179</v>
      </c>
      <c r="V223" s="876">
        <v>440</v>
      </c>
      <c r="W223" s="877" t="s">
        <v>179</v>
      </c>
      <c r="X223" s="876">
        <v>200</v>
      </c>
      <c r="Y223" s="880" t="s">
        <v>179</v>
      </c>
      <c r="Z223" s="881" t="s">
        <v>43</v>
      </c>
      <c r="AA223" s="882">
        <v>0.3</v>
      </c>
      <c r="AB223" s="883" t="s">
        <v>179</v>
      </c>
      <c r="AC223" s="884" t="s">
        <v>1750</v>
      </c>
    </row>
    <row r="224" spans="1:29" ht="30.75">
      <c r="A224" s="856" t="s">
        <v>155</v>
      </c>
      <c r="B224" s="792" t="s">
        <v>725</v>
      </c>
      <c r="C224" s="889">
        <v>5.7000000000000002E-3</v>
      </c>
      <c r="D224" s="859" t="s">
        <v>3</v>
      </c>
      <c r="E224" s="804">
        <v>1.5999999999999999E-6</v>
      </c>
      <c r="F224" s="859" t="s">
        <v>3</v>
      </c>
      <c r="G224" s="804">
        <v>0.2</v>
      </c>
      <c r="H224" s="859" t="s">
        <v>281</v>
      </c>
      <c r="I224" s="843" t="s">
        <v>1750</v>
      </c>
      <c r="J224" s="858" t="s">
        <v>43</v>
      </c>
      <c r="K224" s="859" t="s">
        <v>1634</v>
      </c>
      <c r="L224" s="858" t="s">
        <v>43</v>
      </c>
      <c r="M224" s="859">
        <v>1</v>
      </c>
      <c r="N224" s="870" t="s">
        <v>1750</v>
      </c>
      <c r="O224" s="805">
        <v>1690</v>
      </c>
      <c r="P224" s="861">
        <v>3.6</v>
      </c>
      <c r="Q224" s="862" t="s">
        <v>2283</v>
      </c>
      <c r="R224" s="861">
        <v>16</v>
      </c>
      <c r="S224" s="862" t="s">
        <v>2283</v>
      </c>
      <c r="T224" s="861">
        <v>1.8</v>
      </c>
      <c r="U224" s="862" t="s">
        <v>2283</v>
      </c>
      <c r="V224" s="861">
        <v>7.7</v>
      </c>
      <c r="W224" s="862" t="s">
        <v>2283</v>
      </c>
      <c r="X224" s="861">
        <v>2.8</v>
      </c>
      <c r="Y224" s="865" t="s">
        <v>2283</v>
      </c>
      <c r="Z224" s="866" t="s">
        <v>43</v>
      </c>
      <c r="AA224" s="867">
        <v>7.7999999999999999E-4</v>
      </c>
      <c r="AB224" s="868" t="s">
        <v>2283</v>
      </c>
      <c r="AC224" s="869" t="s">
        <v>1750</v>
      </c>
    </row>
    <row r="225" spans="1:29" ht="30.75">
      <c r="A225" s="856" t="s">
        <v>161</v>
      </c>
      <c r="B225" s="792" t="s">
        <v>726</v>
      </c>
      <c r="C225" s="889">
        <v>9.0999999999999998E-2</v>
      </c>
      <c r="D225" s="859" t="s">
        <v>280</v>
      </c>
      <c r="E225" s="804">
        <v>2.5999999999999998E-5</v>
      </c>
      <c r="F225" s="859" t="s">
        <v>280</v>
      </c>
      <c r="G225" s="804">
        <v>6.0000000000000001E-3</v>
      </c>
      <c r="H225" s="859" t="s">
        <v>0</v>
      </c>
      <c r="I225" s="804">
        <v>7.0000000000000001E-3</v>
      </c>
      <c r="J225" s="859" t="s">
        <v>281</v>
      </c>
      <c r="K225" s="859" t="s">
        <v>1634</v>
      </c>
      <c r="L225" s="858" t="s">
        <v>43</v>
      </c>
      <c r="M225" s="859">
        <v>1</v>
      </c>
      <c r="N225" s="870" t="s">
        <v>1750</v>
      </c>
      <c r="O225" s="805">
        <v>2980</v>
      </c>
      <c r="P225" s="861">
        <v>0.46</v>
      </c>
      <c r="Q225" s="862" t="s">
        <v>2279</v>
      </c>
      <c r="R225" s="861">
        <v>2</v>
      </c>
      <c r="S225" s="862" t="s">
        <v>2279</v>
      </c>
      <c r="T225" s="861">
        <v>0.11</v>
      </c>
      <c r="U225" s="862" t="s">
        <v>2279</v>
      </c>
      <c r="V225" s="861">
        <v>0.47</v>
      </c>
      <c r="W225" s="862" t="s">
        <v>2279</v>
      </c>
      <c r="X225" s="861">
        <v>0.17</v>
      </c>
      <c r="Y225" s="865" t="s">
        <v>2279</v>
      </c>
      <c r="Z225" s="891">
        <v>5</v>
      </c>
      <c r="AA225" s="867">
        <v>4.8000000000000001E-5</v>
      </c>
      <c r="AB225" s="868" t="s">
        <v>2279</v>
      </c>
      <c r="AC225" s="892">
        <v>1.4E-3</v>
      </c>
    </row>
    <row r="226" spans="1:29" ht="31.5" thickBot="1">
      <c r="A226" s="871" t="s">
        <v>156</v>
      </c>
      <c r="B226" s="807" t="s">
        <v>727</v>
      </c>
      <c r="C226" s="872" t="s">
        <v>1750</v>
      </c>
      <c r="D226" s="873" t="s">
        <v>43</v>
      </c>
      <c r="E226" s="847" t="s">
        <v>1750</v>
      </c>
      <c r="F226" s="873" t="s">
        <v>43</v>
      </c>
      <c r="G226" s="819">
        <v>0.05</v>
      </c>
      <c r="H226" s="874" t="s">
        <v>280</v>
      </c>
      <c r="I226" s="819">
        <v>0.2</v>
      </c>
      <c r="J226" s="874" t="s">
        <v>280</v>
      </c>
      <c r="K226" s="874" t="s">
        <v>1634</v>
      </c>
      <c r="L226" s="873" t="s">
        <v>43</v>
      </c>
      <c r="M226" s="874">
        <v>1</v>
      </c>
      <c r="N226" s="888" t="s">
        <v>1750</v>
      </c>
      <c r="O226" s="820">
        <v>1190</v>
      </c>
      <c r="P226" s="876">
        <v>230</v>
      </c>
      <c r="Q226" s="877" t="s">
        <v>179</v>
      </c>
      <c r="R226" s="876">
        <v>1000</v>
      </c>
      <c r="S226" s="877" t="s">
        <v>179</v>
      </c>
      <c r="T226" s="876">
        <v>210</v>
      </c>
      <c r="U226" s="877" t="s">
        <v>179</v>
      </c>
      <c r="V226" s="876">
        <v>880</v>
      </c>
      <c r="W226" s="877" t="s">
        <v>179</v>
      </c>
      <c r="X226" s="876">
        <v>280</v>
      </c>
      <c r="Y226" s="880" t="s">
        <v>179</v>
      </c>
      <c r="Z226" s="893">
        <v>7</v>
      </c>
      <c r="AA226" s="882">
        <v>0.1</v>
      </c>
      <c r="AB226" s="883" t="s">
        <v>179</v>
      </c>
      <c r="AC226" s="894">
        <v>2.5000000000000001E-3</v>
      </c>
    </row>
    <row r="227" spans="1:29" ht="30.75">
      <c r="A227" s="856" t="s">
        <v>728</v>
      </c>
      <c r="B227" s="792" t="s">
        <v>729</v>
      </c>
      <c r="C227" s="857" t="s">
        <v>1750</v>
      </c>
      <c r="D227" s="858" t="s">
        <v>43</v>
      </c>
      <c r="E227" s="843" t="s">
        <v>1750</v>
      </c>
      <c r="F227" s="858" t="s">
        <v>43</v>
      </c>
      <c r="G227" s="804">
        <v>2E-3</v>
      </c>
      <c r="H227" s="859" t="s">
        <v>280</v>
      </c>
      <c r="I227" s="843" t="s">
        <v>1750</v>
      </c>
      <c r="J227" s="858" t="s">
        <v>43</v>
      </c>
      <c r="K227" s="859" t="s">
        <v>1634</v>
      </c>
      <c r="L227" s="858" t="s">
        <v>43</v>
      </c>
      <c r="M227" s="859">
        <v>1</v>
      </c>
      <c r="N227" s="870" t="s">
        <v>1750</v>
      </c>
      <c r="O227" s="805">
        <v>2370</v>
      </c>
      <c r="P227" s="861">
        <v>160</v>
      </c>
      <c r="Q227" s="862" t="s">
        <v>179</v>
      </c>
      <c r="R227" s="861">
        <v>2300</v>
      </c>
      <c r="S227" s="862" t="s">
        <v>179</v>
      </c>
      <c r="T227" s="863" t="s">
        <v>1750</v>
      </c>
      <c r="U227" s="864" t="s">
        <v>43</v>
      </c>
      <c r="V227" s="863" t="s">
        <v>1750</v>
      </c>
      <c r="W227" s="864" t="s">
        <v>43</v>
      </c>
      <c r="X227" s="861">
        <v>36</v>
      </c>
      <c r="Y227" s="865" t="s">
        <v>179</v>
      </c>
      <c r="Z227" s="891">
        <v>70</v>
      </c>
      <c r="AA227" s="867">
        <v>1.0999999999999999E-2</v>
      </c>
      <c r="AB227" s="868" t="s">
        <v>179</v>
      </c>
      <c r="AC227" s="892">
        <v>2.1000000000000001E-2</v>
      </c>
    </row>
    <row r="228" spans="1:29" ht="30.75">
      <c r="A228" s="856" t="s">
        <v>730</v>
      </c>
      <c r="B228" s="792" t="s">
        <v>731</v>
      </c>
      <c r="C228" s="857" t="s">
        <v>1750</v>
      </c>
      <c r="D228" s="858" t="s">
        <v>43</v>
      </c>
      <c r="E228" s="843" t="s">
        <v>1750</v>
      </c>
      <c r="F228" s="858" t="s">
        <v>43</v>
      </c>
      <c r="G228" s="804">
        <v>0.02</v>
      </c>
      <c r="H228" s="859" t="s">
        <v>280</v>
      </c>
      <c r="I228" s="843" t="s">
        <v>1750</v>
      </c>
      <c r="J228" s="858" t="s">
        <v>43</v>
      </c>
      <c r="K228" s="859" t="s">
        <v>1634</v>
      </c>
      <c r="L228" s="858" t="s">
        <v>43</v>
      </c>
      <c r="M228" s="859">
        <v>1</v>
      </c>
      <c r="N228" s="870" t="s">
        <v>1750</v>
      </c>
      <c r="O228" s="805">
        <v>1850</v>
      </c>
      <c r="P228" s="861">
        <v>1600</v>
      </c>
      <c r="Q228" s="862" t="s">
        <v>179</v>
      </c>
      <c r="R228" s="861">
        <v>23000</v>
      </c>
      <c r="S228" s="862" t="s">
        <v>2282</v>
      </c>
      <c r="T228" s="863" t="s">
        <v>1750</v>
      </c>
      <c r="U228" s="864" t="s">
        <v>43</v>
      </c>
      <c r="V228" s="863" t="s">
        <v>1750</v>
      </c>
      <c r="W228" s="864" t="s">
        <v>43</v>
      </c>
      <c r="X228" s="861">
        <v>360</v>
      </c>
      <c r="Y228" s="865" t="s">
        <v>179</v>
      </c>
      <c r="Z228" s="891">
        <v>100</v>
      </c>
      <c r="AA228" s="867">
        <v>0.11</v>
      </c>
      <c r="AB228" s="868" t="s">
        <v>179</v>
      </c>
      <c r="AC228" s="892">
        <v>3.1E-2</v>
      </c>
    </row>
    <row r="229" spans="1:29" ht="31.5" thickBot="1">
      <c r="A229" s="871" t="s">
        <v>732</v>
      </c>
      <c r="B229" s="807" t="s">
        <v>733</v>
      </c>
      <c r="C229" s="872" t="s">
        <v>1750</v>
      </c>
      <c r="D229" s="873" t="s">
        <v>43</v>
      </c>
      <c r="E229" s="847" t="s">
        <v>1750</v>
      </c>
      <c r="F229" s="873" t="s">
        <v>43</v>
      </c>
      <c r="G229" s="819">
        <v>3.0000000000000001E-3</v>
      </c>
      <c r="H229" s="874" t="s">
        <v>280</v>
      </c>
      <c r="I229" s="847" t="s">
        <v>1750</v>
      </c>
      <c r="J229" s="873" t="s">
        <v>43</v>
      </c>
      <c r="K229" s="873" t="s">
        <v>43</v>
      </c>
      <c r="L229" s="873" t="s">
        <v>43</v>
      </c>
      <c r="M229" s="874">
        <v>1</v>
      </c>
      <c r="N229" s="874">
        <v>0.1</v>
      </c>
      <c r="O229" s="875" t="s">
        <v>1750</v>
      </c>
      <c r="P229" s="876">
        <v>190</v>
      </c>
      <c r="Q229" s="877" t="s">
        <v>179</v>
      </c>
      <c r="R229" s="876">
        <v>2500</v>
      </c>
      <c r="S229" s="877" t="s">
        <v>179</v>
      </c>
      <c r="T229" s="878" t="s">
        <v>1750</v>
      </c>
      <c r="U229" s="879" t="s">
        <v>43</v>
      </c>
      <c r="V229" s="878" t="s">
        <v>1750</v>
      </c>
      <c r="W229" s="879" t="s">
        <v>43</v>
      </c>
      <c r="X229" s="876">
        <v>46</v>
      </c>
      <c r="Y229" s="880" t="s">
        <v>179</v>
      </c>
      <c r="Z229" s="881" t="s">
        <v>43</v>
      </c>
      <c r="AA229" s="882">
        <v>2.3E-2</v>
      </c>
      <c r="AB229" s="883" t="s">
        <v>179</v>
      </c>
      <c r="AC229" s="884" t="s">
        <v>1750</v>
      </c>
    </row>
    <row r="230" spans="1:29" ht="30.75">
      <c r="A230" s="856" t="s">
        <v>734</v>
      </c>
      <c r="B230" s="792" t="s">
        <v>735</v>
      </c>
      <c r="C230" s="857" t="s">
        <v>1750</v>
      </c>
      <c r="D230" s="858" t="s">
        <v>43</v>
      </c>
      <c r="E230" s="843" t="s">
        <v>1750</v>
      </c>
      <c r="F230" s="858" t="s">
        <v>43</v>
      </c>
      <c r="G230" s="804">
        <v>0.01</v>
      </c>
      <c r="H230" s="859" t="s">
        <v>280</v>
      </c>
      <c r="I230" s="843" t="s">
        <v>1750</v>
      </c>
      <c r="J230" s="858" t="s">
        <v>43</v>
      </c>
      <c r="K230" s="858" t="s">
        <v>43</v>
      </c>
      <c r="L230" s="858" t="s">
        <v>43</v>
      </c>
      <c r="M230" s="859">
        <v>1</v>
      </c>
      <c r="N230" s="859">
        <v>0.05</v>
      </c>
      <c r="O230" s="860" t="s">
        <v>1750</v>
      </c>
      <c r="P230" s="861">
        <v>700</v>
      </c>
      <c r="Q230" s="862" t="s">
        <v>179</v>
      </c>
      <c r="R230" s="861">
        <v>9600</v>
      </c>
      <c r="S230" s="862" t="s">
        <v>179</v>
      </c>
      <c r="T230" s="863" t="s">
        <v>1750</v>
      </c>
      <c r="U230" s="864" t="s">
        <v>43</v>
      </c>
      <c r="V230" s="863" t="s">
        <v>1750</v>
      </c>
      <c r="W230" s="864" t="s">
        <v>43</v>
      </c>
      <c r="X230" s="861">
        <v>170</v>
      </c>
      <c r="Y230" s="865" t="s">
        <v>179</v>
      </c>
      <c r="Z230" s="891">
        <v>70</v>
      </c>
      <c r="AA230" s="867">
        <v>4.4999999999999998E-2</v>
      </c>
      <c r="AB230" s="868" t="s">
        <v>179</v>
      </c>
      <c r="AC230" s="892">
        <v>1.7999999999999999E-2</v>
      </c>
    </row>
    <row r="231" spans="1:29" ht="30.75">
      <c r="A231" s="856" t="s">
        <v>162</v>
      </c>
      <c r="B231" s="792" t="s">
        <v>737</v>
      </c>
      <c r="C231" s="889">
        <v>3.6999999999999998E-2</v>
      </c>
      <c r="D231" s="859" t="s">
        <v>281</v>
      </c>
      <c r="E231" s="804">
        <v>3.6999999999999998E-5</v>
      </c>
      <c r="F231" s="859" t="s">
        <v>281</v>
      </c>
      <c r="G231" s="804">
        <v>0.04</v>
      </c>
      <c r="H231" s="859" t="s">
        <v>281</v>
      </c>
      <c r="I231" s="804">
        <v>4.0000000000000001E-3</v>
      </c>
      <c r="J231" s="859" t="s">
        <v>280</v>
      </c>
      <c r="K231" s="859" t="s">
        <v>1634</v>
      </c>
      <c r="L231" s="858" t="s">
        <v>43</v>
      </c>
      <c r="M231" s="859">
        <v>1</v>
      </c>
      <c r="N231" s="870" t="s">
        <v>1750</v>
      </c>
      <c r="O231" s="805">
        <v>1360</v>
      </c>
      <c r="P231" s="861">
        <v>0.28000000000000003</v>
      </c>
      <c r="Q231" s="862" t="s">
        <v>2279</v>
      </c>
      <c r="R231" s="861">
        <v>1.2</v>
      </c>
      <c r="S231" s="862" t="s">
        <v>2279</v>
      </c>
      <c r="T231" s="861">
        <v>7.5999999999999998E-2</v>
      </c>
      <c r="U231" s="862" t="s">
        <v>2279</v>
      </c>
      <c r="V231" s="861">
        <v>0.33</v>
      </c>
      <c r="W231" s="862" t="s">
        <v>2279</v>
      </c>
      <c r="X231" s="861">
        <v>0.14000000000000001</v>
      </c>
      <c r="Y231" s="865" t="s">
        <v>2279</v>
      </c>
      <c r="Z231" s="891">
        <v>5</v>
      </c>
      <c r="AA231" s="867">
        <v>4.6999999999999997E-5</v>
      </c>
      <c r="AB231" s="868" t="s">
        <v>2279</v>
      </c>
      <c r="AC231" s="892">
        <v>1.6999999999999999E-3</v>
      </c>
    </row>
    <row r="232" spans="1:29" ht="31.5" thickBot="1">
      <c r="A232" s="871" t="s">
        <v>738</v>
      </c>
      <c r="B232" s="807" t="s">
        <v>739</v>
      </c>
      <c r="C232" s="872" t="s">
        <v>1750</v>
      </c>
      <c r="D232" s="873" t="s">
        <v>43</v>
      </c>
      <c r="E232" s="847" t="s">
        <v>1750</v>
      </c>
      <c r="F232" s="873" t="s">
        <v>43</v>
      </c>
      <c r="G232" s="819">
        <v>0.02</v>
      </c>
      <c r="H232" s="874" t="s">
        <v>281</v>
      </c>
      <c r="I232" s="847" t="s">
        <v>1750</v>
      </c>
      <c r="J232" s="873" t="s">
        <v>43</v>
      </c>
      <c r="K232" s="874" t="s">
        <v>1634</v>
      </c>
      <c r="L232" s="873" t="s">
        <v>43</v>
      </c>
      <c r="M232" s="874">
        <v>1</v>
      </c>
      <c r="N232" s="888" t="s">
        <v>1750</v>
      </c>
      <c r="O232" s="820">
        <v>1490</v>
      </c>
      <c r="P232" s="876">
        <v>1600</v>
      </c>
      <c r="Q232" s="877" t="s">
        <v>2282</v>
      </c>
      <c r="R232" s="876">
        <v>23000</v>
      </c>
      <c r="S232" s="877" t="s">
        <v>2282</v>
      </c>
      <c r="T232" s="878" t="s">
        <v>1750</v>
      </c>
      <c r="U232" s="879" t="s">
        <v>43</v>
      </c>
      <c r="V232" s="878" t="s">
        <v>1750</v>
      </c>
      <c r="W232" s="879" t="s">
        <v>43</v>
      </c>
      <c r="X232" s="876">
        <v>370</v>
      </c>
      <c r="Y232" s="880" t="s">
        <v>179</v>
      </c>
      <c r="Z232" s="881" t="s">
        <v>43</v>
      </c>
      <c r="AA232" s="882">
        <v>0.13</v>
      </c>
      <c r="AB232" s="883" t="s">
        <v>179</v>
      </c>
      <c r="AC232" s="884" t="s">
        <v>1750</v>
      </c>
    </row>
    <row r="233" spans="1:29" ht="30.75">
      <c r="A233" s="856" t="s">
        <v>740</v>
      </c>
      <c r="B233" s="792" t="s">
        <v>741</v>
      </c>
      <c r="C233" s="857" t="s">
        <v>1750</v>
      </c>
      <c r="D233" s="858" t="s">
        <v>43</v>
      </c>
      <c r="E233" s="843" t="s">
        <v>1750</v>
      </c>
      <c r="F233" s="858" t="s">
        <v>43</v>
      </c>
      <c r="G233" s="804">
        <v>3.0000000000000001E-3</v>
      </c>
      <c r="H233" s="859" t="s">
        <v>280</v>
      </c>
      <c r="I233" s="843" t="s">
        <v>1750</v>
      </c>
      <c r="J233" s="858" t="s">
        <v>43</v>
      </c>
      <c r="K233" s="858" t="s">
        <v>43</v>
      </c>
      <c r="L233" s="858" t="s">
        <v>43</v>
      </c>
      <c r="M233" s="859">
        <v>1</v>
      </c>
      <c r="N233" s="859">
        <v>0.1</v>
      </c>
      <c r="O233" s="860" t="s">
        <v>1750</v>
      </c>
      <c r="P233" s="861">
        <v>190</v>
      </c>
      <c r="Q233" s="862" t="s">
        <v>179</v>
      </c>
      <c r="R233" s="861">
        <v>2500</v>
      </c>
      <c r="S233" s="862" t="s">
        <v>179</v>
      </c>
      <c r="T233" s="863" t="s">
        <v>1750</v>
      </c>
      <c r="U233" s="864" t="s">
        <v>43</v>
      </c>
      <c r="V233" s="863" t="s">
        <v>1750</v>
      </c>
      <c r="W233" s="864" t="s">
        <v>43</v>
      </c>
      <c r="X233" s="861">
        <v>59</v>
      </c>
      <c r="Y233" s="865" t="s">
        <v>179</v>
      </c>
      <c r="Z233" s="866" t="s">
        <v>43</v>
      </c>
      <c r="AA233" s="867">
        <v>1.2999999999999999E-2</v>
      </c>
      <c r="AB233" s="868" t="s">
        <v>179</v>
      </c>
      <c r="AC233" s="869" t="s">
        <v>1750</v>
      </c>
    </row>
    <row r="234" spans="1:29" ht="30.75">
      <c r="A234" s="856" t="s">
        <v>165</v>
      </c>
      <c r="B234" s="792" t="s">
        <v>742</v>
      </c>
      <c r="C234" s="889">
        <v>0.1</v>
      </c>
      <c r="D234" s="859" t="s">
        <v>280</v>
      </c>
      <c r="E234" s="804">
        <v>3.9999999999999998E-6</v>
      </c>
      <c r="F234" s="859" t="s">
        <v>280</v>
      </c>
      <c r="G234" s="804">
        <v>0.03</v>
      </c>
      <c r="H234" s="859" t="s">
        <v>280</v>
      </c>
      <c r="I234" s="804">
        <v>0.02</v>
      </c>
      <c r="J234" s="859" t="s">
        <v>280</v>
      </c>
      <c r="K234" s="859" t="s">
        <v>1634</v>
      </c>
      <c r="L234" s="858" t="s">
        <v>43</v>
      </c>
      <c r="M234" s="859">
        <v>1</v>
      </c>
      <c r="N234" s="870" t="s">
        <v>1750</v>
      </c>
      <c r="O234" s="805">
        <v>1570</v>
      </c>
      <c r="P234" s="861">
        <v>1.8</v>
      </c>
      <c r="Q234" s="862" t="s">
        <v>2279</v>
      </c>
      <c r="R234" s="861">
        <v>8.1999999999999993</v>
      </c>
      <c r="S234" s="862" t="s">
        <v>2279</v>
      </c>
      <c r="T234" s="861">
        <v>0.7</v>
      </c>
      <c r="U234" s="862" t="s">
        <v>2279</v>
      </c>
      <c r="V234" s="861">
        <v>3.1</v>
      </c>
      <c r="W234" s="862" t="s">
        <v>2279</v>
      </c>
      <c r="X234" s="861">
        <v>0.47</v>
      </c>
      <c r="Y234" s="865" t="s">
        <v>2279</v>
      </c>
      <c r="Z234" s="866" t="s">
        <v>43</v>
      </c>
      <c r="AA234" s="867">
        <v>1.7000000000000001E-4</v>
      </c>
      <c r="AB234" s="868" t="s">
        <v>2279</v>
      </c>
      <c r="AC234" s="869" t="s">
        <v>1750</v>
      </c>
    </row>
    <row r="235" spans="1:29" ht="16.5" thickBot="1">
      <c r="A235" s="871" t="s">
        <v>743</v>
      </c>
      <c r="B235" s="807" t="s">
        <v>744</v>
      </c>
      <c r="C235" s="890">
        <v>0.28999999999999998</v>
      </c>
      <c r="D235" s="874" t="s">
        <v>280</v>
      </c>
      <c r="E235" s="819">
        <v>8.2999999999999998E-5</v>
      </c>
      <c r="F235" s="874" t="s">
        <v>3</v>
      </c>
      <c r="G235" s="819">
        <v>5.0000000000000001E-4</v>
      </c>
      <c r="H235" s="874" t="s">
        <v>280</v>
      </c>
      <c r="I235" s="819">
        <v>5.0000000000000001E-4</v>
      </c>
      <c r="J235" s="874" t="s">
        <v>280</v>
      </c>
      <c r="K235" s="873" t="s">
        <v>43</v>
      </c>
      <c r="L235" s="873" t="s">
        <v>43</v>
      </c>
      <c r="M235" s="874">
        <v>1</v>
      </c>
      <c r="N235" s="874">
        <v>0.1</v>
      </c>
      <c r="O235" s="875" t="s">
        <v>1750</v>
      </c>
      <c r="P235" s="876">
        <v>1.9</v>
      </c>
      <c r="Q235" s="877" t="s">
        <v>2279</v>
      </c>
      <c r="R235" s="876">
        <v>7.9</v>
      </c>
      <c r="S235" s="877" t="s">
        <v>2279</v>
      </c>
      <c r="T235" s="876">
        <v>3.4000000000000002E-2</v>
      </c>
      <c r="U235" s="877" t="s">
        <v>2279</v>
      </c>
      <c r="V235" s="876">
        <v>0.15</v>
      </c>
      <c r="W235" s="877" t="s">
        <v>2279</v>
      </c>
      <c r="X235" s="876">
        <v>0.26</v>
      </c>
      <c r="Y235" s="880" t="s">
        <v>2279</v>
      </c>
      <c r="Z235" s="881" t="s">
        <v>43</v>
      </c>
      <c r="AA235" s="882">
        <v>8.1000000000000004E-5</v>
      </c>
      <c r="AB235" s="883" t="s">
        <v>2279</v>
      </c>
      <c r="AC235" s="884" t="s">
        <v>1750</v>
      </c>
    </row>
    <row r="236" spans="1:29" ht="15.75">
      <c r="A236" s="856" t="s">
        <v>2220</v>
      </c>
      <c r="B236" s="792" t="s">
        <v>462</v>
      </c>
      <c r="C236" s="857" t="s">
        <v>1750</v>
      </c>
      <c r="D236" s="858" t="s">
        <v>43</v>
      </c>
      <c r="E236" s="843" t="s">
        <v>1750</v>
      </c>
      <c r="F236" s="858" t="s">
        <v>43</v>
      </c>
      <c r="G236" s="804">
        <v>6.9999999999999994E-5</v>
      </c>
      <c r="H236" s="859" t="s">
        <v>2463</v>
      </c>
      <c r="I236" s="843" t="s">
        <v>1750</v>
      </c>
      <c r="J236" s="858" t="s">
        <v>43</v>
      </c>
      <c r="K236" s="858" t="s">
        <v>43</v>
      </c>
      <c r="L236" s="858" t="s">
        <v>43</v>
      </c>
      <c r="M236" s="859">
        <v>1</v>
      </c>
      <c r="N236" s="859">
        <v>0.1</v>
      </c>
      <c r="O236" s="860" t="s">
        <v>1750</v>
      </c>
      <c r="P236" s="861">
        <v>4.4000000000000004</v>
      </c>
      <c r="Q236" s="862" t="s">
        <v>179</v>
      </c>
      <c r="R236" s="861">
        <v>57</v>
      </c>
      <c r="S236" s="862" t="s">
        <v>179</v>
      </c>
      <c r="T236" s="863" t="s">
        <v>1750</v>
      </c>
      <c r="U236" s="864" t="s">
        <v>43</v>
      </c>
      <c r="V236" s="863" t="s">
        <v>1750</v>
      </c>
      <c r="W236" s="864" t="s">
        <v>43</v>
      </c>
      <c r="X236" s="861">
        <v>1.4</v>
      </c>
      <c r="Y236" s="865" t="s">
        <v>179</v>
      </c>
      <c r="Z236" s="866" t="s">
        <v>43</v>
      </c>
      <c r="AA236" s="867">
        <v>3.3E-4</v>
      </c>
      <c r="AB236" s="868" t="s">
        <v>179</v>
      </c>
      <c r="AC236" s="869" t="s">
        <v>1750</v>
      </c>
    </row>
    <row r="237" spans="1:29" ht="15.75">
      <c r="A237" s="856" t="s">
        <v>745</v>
      </c>
      <c r="B237" s="792" t="s">
        <v>746</v>
      </c>
      <c r="C237" s="857" t="s">
        <v>1750</v>
      </c>
      <c r="D237" s="858" t="s">
        <v>43</v>
      </c>
      <c r="E237" s="843" t="s">
        <v>1750</v>
      </c>
      <c r="F237" s="858" t="s">
        <v>43</v>
      </c>
      <c r="G237" s="804">
        <v>0.08</v>
      </c>
      <c r="H237" s="859" t="s">
        <v>281</v>
      </c>
      <c r="I237" s="804">
        <v>2.9999999999999997E-4</v>
      </c>
      <c r="J237" s="859" t="s">
        <v>0</v>
      </c>
      <c r="K237" s="859" t="s">
        <v>1634</v>
      </c>
      <c r="L237" s="858" t="s">
        <v>43</v>
      </c>
      <c r="M237" s="859">
        <v>1</v>
      </c>
      <c r="N237" s="870" t="s">
        <v>1750</v>
      </c>
      <c r="O237" s="805">
        <v>256</v>
      </c>
      <c r="P237" s="861">
        <v>1.3</v>
      </c>
      <c r="Q237" s="862" t="s">
        <v>179</v>
      </c>
      <c r="R237" s="861">
        <v>5.4</v>
      </c>
      <c r="S237" s="862" t="s">
        <v>179</v>
      </c>
      <c r="T237" s="861">
        <v>0.31</v>
      </c>
      <c r="U237" s="862" t="s">
        <v>179</v>
      </c>
      <c r="V237" s="861">
        <v>1.3</v>
      </c>
      <c r="W237" s="862" t="s">
        <v>179</v>
      </c>
      <c r="X237" s="861">
        <v>0.63</v>
      </c>
      <c r="Y237" s="865" t="s">
        <v>179</v>
      </c>
      <c r="Z237" s="866" t="s">
        <v>43</v>
      </c>
      <c r="AA237" s="867">
        <v>2.2000000000000001E-3</v>
      </c>
      <c r="AB237" s="868" t="s">
        <v>179</v>
      </c>
      <c r="AC237" s="869" t="s">
        <v>1750</v>
      </c>
    </row>
    <row r="238" spans="1:29" ht="16.5" thickBot="1">
      <c r="A238" s="871" t="s">
        <v>45</v>
      </c>
      <c r="B238" s="807" t="s">
        <v>747</v>
      </c>
      <c r="C238" s="890">
        <v>16</v>
      </c>
      <c r="D238" s="874" t="s">
        <v>280</v>
      </c>
      <c r="E238" s="819">
        <v>4.5999999999999999E-3</v>
      </c>
      <c r="F238" s="874" t="s">
        <v>280</v>
      </c>
      <c r="G238" s="819">
        <v>5.0000000000000002E-5</v>
      </c>
      <c r="H238" s="874" t="s">
        <v>280</v>
      </c>
      <c r="I238" s="847" t="s">
        <v>1750</v>
      </c>
      <c r="J238" s="873" t="s">
        <v>43</v>
      </c>
      <c r="K238" s="873" t="s">
        <v>43</v>
      </c>
      <c r="L238" s="873" t="s">
        <v>43</v>
      </c>
      <c r="M238" s="874">
        <v>1</v>
      </c>
      <c r="N238" s="874">
        <v>0.1</v>
      </c>
      <c r="O238" s="875" t="s">
        <v>1750</v>
      </c>
      <c r="P238" s="876">
        <v>3.4000000000000002E-2</v>
      </c>
      <c r="Q238" s="877" t="s">
        <v>2279</v>
      </c>
      <c r="R238" s="876">
        <v>0.14000000000000001</v>
      </c>
      <c r="S238" s="877" t="s">
        <v>2283</v>
      </c>
      <c r="T238" s="876">
        <v>6.0999999999999997E-4</v>
      </c>
      <c r="U238" s="877" t="s">
        <v>2283</v>
      </c>
      <c r="V238" s="876">
        <v>2.7000000000000001E-3</v>
      </c>
      <c r="W238" s="877" t="s">
        <v>2283</v>
      </c>
      <c r="X238" s="876">
        <v>1.8E-3</v>
      </c>
      <c r="Y238" s="880" t="s">
        <v>2283</v>
      </c>
      <c r="Z238" s="881" t="s">
        <v>43</v>
      </c>
      <c r="AA238" s="882">
        <v>7.1000000000000005E-5</v>
      </c>
      <c r="AB238" s="883" t="s">
        <v>2283</v>
      </c>
      <c r="AC238" s="884" t="s">
        <v>1750</v>
      </c>
    </row>
    <row r="239" spans="1:29" ht="30.75">
      <c r="A239" s="856" t="s">
        <v>748</v>
      </c>
      <c r="B239" s="792" t="s">
        <v>2407</v>
      </c>
      <c r="C239" s="857" t="s">
        <v>1750</v>
      </c>
      <c r="D239" s="858" t="s">
        <v>43</v>
      </c>
      <c r="E239" s="804">
        <v>2.9999999999999997E-4</v>
      </c>
      <c r="F239" s="859" t="s">
        <v>3</v>
      </c>
      <c r="G239" s="843" t="s">
        <v>1750</v>
      </c>
      <c r="H239" s="858" t="s">
        <v>43</v>
      </c>
      <c r="I239" s="804">
        <v>5.0000000000000001E-3</v>
      </c>
      <c r="J239" s="859" t="s">
        <v>280</v>
      </c>
      <c r="K239" s="858" t="s">
        <v>43</v>
      </c>
      <c r="L239" s="858" t="s">
        <v>43</v>
      </c>
      <c r="M239" s="859">
        <v>1</v>
      </c>
      <c r="N239" s="859">
        <v>0.1</v>
      </c>
      <c r="O239" s="860" t="s">
        <v>1750</v>
      </c>
      <c r="P239" s="863" t="s">
        <v>1750</v>
      </c>
      <c r="Q239" s="864" t="s">
        <v>43</v>
      </c>
      <c r="R239" s="863" t="s">
        <v>1750</v>
      </c>
      <c r="S239" s="864" t="s">
        <v>43</v>
      </c>
      <c r="T239" s="861">
        <v>9.4000000000000004E-3</v>
      </c>
      <c r="U239" s="862" t="s">
        <v>2283</v>
      </c>
      <c r="V239" s="861">
        <v>4.1000000000000002E-2</v>
      </c>
      <c r="W239" s="862" t="s">
        <v>2283</v>
      </c>
      <c r="X239" s="863" t="s">
        <v>1750</v>
      </c>
      <c r="Y239" s="885" t="s">
        <v>43</v>
      </c>
      <c r="Z239" s="866" t="s">
        <v>43</v>
      </c>
      <c r="AA239" s="886" t="s">
        <v>1750</v>
      </c>
      <c r="AB239" s="887" t="s">
        <v>43</v>
      </c>
      <c r="AC239" s="869" t="s">
        <v>1750</v>
      </c>
    </row>
    <row r="240" spans="1:29" ht="15.75">
      <c r="A240" s="856" t="s">
        <v>749</v>
      </c>
      <c r="B240" s="792" t="s">
        <v>750</v>
      </c>
      <c r="C240" s="857" t="s">
        <v>1750</v>
      </c>
      <c r="D240" s="858" t="s">
        <v>43</v>
      </c>
      <c r="E240" s="843" t="s">
        <v>1750</v>
      </c>
      <c r="F240" s="858" t="s">
        <v>43</v>
      </c>
      <c r="G240" s="804">
        <v>2E-3</v>
      </c>
      <c r="H240" s="859" t="s">
        <v>281</v>
      </c>
      <c r="I240" s="804">
        <v>2.0000000000000001E-4</v>
      </c>
      <c r="J240" s="859" t="s">
        <v>281</v>
      </c>
      <c r="K240" s="858" t="s">
        <v>43</v>
      </c>
      <c r="L240" s="858" t="s">
        <v>43</v>
      </c>
      <c r="M240" s="859">
        <v>1</v>
      </c>
      <c r="N240" s="859">
        <v>0.1</v>
      </c>
      <c r="O240" s="860" t="s">
        <v>1750</v>
      </c>
      <c r="P240" s="861">
        <v>130</v>
      </c>
      <c r="Q240" s="862" t="s">
        <v>179</v>
      </c>
      <c r="R240" s="861">
        <v>1600</v>
      </c>
      <c r="S240" s="862" t="s">
        <v>179</v>
      </c>
      <c r="T240" s="861">
        <v>0.21</v>
      </c>
      <c r="U240" s="862" t="s">
        <v>179</v>
      </c>
      <c r="V240" s="861">
        <v>0.88</v>
      </c>
      <c r="W240" s="862" t="s">
        <v>179</v>
      </c>
      <c r="X240" s="861">
        <v>40</v>
      </c>
      <c r="Y240" s="865" t="s">
        <v>179</v>
      </c>
      <c r="Z240" s="866" t="s">
        <v>43</v>
      </c>
      <c r="AA240" s="867">
        <v>8.0999999999999996E-3</v>
      </c>
      <c r="AB240" s="868" t="s">
        <v>179</v>
      </c>
      <c r="AC240" s="869" t="s">
        <v>1750</v>
      </c>
    </row>
    <row r="241" spans="1:29" ht="31.5" thickBot="1">
      <c r="A241" s="871" t="s">
        <v>752</v>
      </c>
      <c r="B241" s="807" t="s">
        <v>753</v>
      </c>
      <c r="C241" s="872" t="s">
        <v>1750</v>
      </c>
      <c r="D241" s="873" t="s">
        <v>43</v>
      </c>
      <c r="E241" s="847" t="s">
        <v>1750</v>
      </c>
      <c r="F241" s="873" t="s">
        <v>43</v>
      </c>
      <c r="G241" s="819">
        <v>0.03</v>
      </c>
      <c r="H241" s="874" t="s">
        <v>281</v>
      </c>
      <c r="I241" s="819">
        <v>1E-4</v>
      </c>
      <c r="J241" s="874" t="s">
        <v>281</v>
      </c>
      <c r="K241" s="873" t="s">
        <v>43</v>
      </c>
      <c r="L241" s="873" t="s">
        <v>43</v>
      </c>
      <c r="M241" s="874">
        <v>1</v>
      </c>
      <c r="N241" s="874">
        <v>0.1</v>
      </c>
      <c r="O241" s="875" t="s">
        <v>1750</v>
      </c>
      <c r="P241" s="876">
        <v>1900</v>
      </c>
      <c r="Q241" s="877" t="s">
        <v>179</v>
      </c>
      <c r="R241" s="876">
        <v>24000</v>
      </c>
      <c r="S241" s="877" t="s">
        <v>179</v>
      </c>
      <c r="T241" s="876">
        <v>0.1</v>
      </c>
      <c r="U241" s="877" t="s">
        <v>179</v>
      </c>
      <c r="V241" s="876">
        <v>0.44</v>
      </c>
      <c r="W241" s="877" t="s">
        <v>179</v>
      </c>
      <c r="X241" s="876">
        <v>600</v>
      </c>
      <c r="Y241" s="880" t="s">
        <v>179</v>
      </c>
      <c r="Z241" s="881" t="s">
        <v>43</v>
      </c>
      <c r="AA241" s="882">
        <v>0.13</v>
      </c>
      <c r="AB241" s="883" t="s">
        <v>179</v>
      </c>
      <c r="AC241" s="884" t="s">
        <v>1750</v>
      </c>
    </row>
    <row r="242" spans="1:29" ht="30.75">
      <c r="A242" s="856" t="s">
        <v>754</v>
      </c>
      <c r="B242" s="792" t="s">
        <v>755</v>
      </c>
      <c r="C242" s="857" t="s">
        <v>1750</v>
      </c>
      <c r="D242" s="858" t="s">
        <v>43</v>
      </c>
      <c r="E242" s="843" t="s">
        <v>1750</v>
      </c>
      <c r="F242" s="858" t="s">
        <v>43</v>
      </c>
      <c r="G242" s="804">
        <v>0.06</v>
      </c>
      <c r="H242" s="859" t="s">
        <v>281</v>
      </c>
      <c r="I242" s="804">
        <v>2.9999999999999997E-4</v>
      </c>
      <c r="J242" s="859" t="s">
        <v>281</v>
      </c>
      <c r="K242" s="858" t="s">
        <v>43</v>
      </c>
      <c r="L242" s="858" t="s">
        <v>43</v>
      </c>
      <c r="M242" s="859">
        <v>1</v>
      </c>
      <c r="N242" s="859">
        <v>0.1</v>
      </c>
      <c r="O242" s="860" t="s">
        <v>1750</v>
      </c>
      <c r="P242" s="861">
        <v>3800</v>
      </c>
      <c r="Q242" s="862" t="s">
        <v>179</v>
      </c>
      <c r="R242" s="861">
        <v>48000</v>
      </c>
      <c r="S242" s="862" t="s">
        <v>179</v>
      </c>
      <c r="T242" s="861">
        <v>0.31</v>
      </c>
      <c r="U242" s="862" t="s">
        <v>179</v>
      </c>
      <c r="V242" s="861">
        <v>1.3</v>
      </c>
      <c r="W242" s="862" t="s">
        <v>179</v>
      </c>
      <c r="X242" s="861">
        <v>1200</v>
      </c>
      <c r="Y242" s="865" t="s">
        <v>179</v>
      </c>
      <c r="Z242" s="866" t="s">
        <v>43</v>
      </c>
      <c r="AA242" s="867">
        <v>0.24</v>
      </c>
      <c r="AB242" s="868" t="s">
        <v>179</v>
      </c>
      <c r="AC242" s="869" t="s">
        <v>1750</v>
      </c>
    </row>
    <row r="243" spans="1:29" ht="15.75">
      <c r="A243" s="856" t="s">
        <v>756</v>
      </c>
      <c r="B243" s="792" t="s">
        <v>757</v>
      </c>
      <c r="C243" s="857" t="s">
        <v>1750</v>
      </c>
      <c r="D243" s="858" t="s">
        <v>43</v>
      </c>
      <c r="E243" s="843" t="s">
        <v>1750</v>
      </c>
      <c r="F243" s="858" t="s">
        <v>43</v>
      </c>
      <c r="G243" s="804">
        <v>1E-3</v>
      </c>
      <c r="H243" s="859" t="s">
        <v>281</v>
      </c>
      <c r="I243" s="843" t="s">
        <v>1750</v>
      </c>
      <c r="J243" s="858" t="s">
        <v>43</v>
      </c>
      <c r="K243" s="859" t="s">
        <v>1634</v>
      </c>
      <c r="L243" s="858" t="s">
        <v>43</v>
      </c>
      <c r="M243" s="859">
        <v>1</v>
      </c>
      <c r="N243" s="870" t="s">
        <v>1750</v>
      </c>
      <c r="O243" s="805">
        <v>112000</v>
      </c>
      <c r="P243" s="861">
        <v>78</v>
      </c>
      <c r="Q243" s="862" t="s">
        <v>179</v>
      </c>
      <c r="R243" s="861">
        <v>1200</v>
      </c>
      <c r="S243" s="862" t="s">
        <v>179</v>
      </c>
      <c r="T243" s="863" t="s">
        <v>1750</v>
      </c>
      <c r="U243" s="864" t="s">
        <v>43</v>
      </c>
      <c r="V243" s="863" t="s">
        <v>1750</v>
      </c>
      <c r="W243" s="864" t="s">
        <v>43</v>
      </c>
      <c r="X243" s="861">
        <v>20</v>
      </c>
      <c r="Y243" s="865" t="s">
        <v>179</v>
      </c>
      <c r="Z243" s="866" t="s">
        <v>43</v>
      </c>
      <c r="AA243" s="867">
        <v>4.1000000000000003E-3</v>
      </c>
      <c r="AB243" s="868" t="s">
        <v>179</v>
      </c>
      <c r="AC243" s="869" t="s">
        <v>1750</v>
      </c>
    </row>
    <row r="244" spans="1:29" ht="16.5" thickBot="1">
      <c r="A244" s="871" t="s">
        <v>758</v>
      </c>
      <c r="B244" s="807" t="s">
        <v>759</v>
      </c>
      <c r="C244" s="890">
        <v>350</v>
      </c>
      <c r="D244" s="874" t="s">
        <v>3</v>
      </c>
      <c r="E244" s="819">
        <v>0.1</v>
      </c>
      <c r="F244" s="874" t="s">
        <v>3</v>
      </c>
      <c r="G244" s="847" t="s">
        <v>1750</v>
      </c>
      <c r="H244" s="873" t="s">
        <v>43</v>
      </c>
      <c r="I244" s="847" t="s">
        <v>1750</v>
      </c>
      <c r="J244" s="873" t="s">
        <v>43</v>
      </c>
      <c r="K244" s="873" t="s">
        <v>43</v>
      </c>
      <c r="L244" s="873" t="s">
        <v>43</v>
      </c>
      <c r="M244" s="874">
        <v>1</v>
      </c>
      <c r="N244" s="874">
        <v>0.1</v>
      </c>
      <c r="O244" s="875" t="s">
        <v>1750</v>
      </c>
      <c r="P244" s="876">
        <v>1.6000000000000001E-3</v>
      </c>
      <c r="Q244" s="877" t="s">
        <v>2283</v>
      </c>
      <c r="R244" s="876">
        <v>6.6E-3</v>
      </c>
      <c r="S244" s="877" t="s">
        <v>2283</v>
      </c>
      <c r="T244" s="876">
        <v>2.8E-5</v>
      </c>
      <c r="U244" s="877" t="s">
        <v>2283</v>
      </c>
      <c r="V244" s="876">
        <v>1.2E-4</v>
      </c>
      <c r="W244" s="877" t="s">
        <v>2283</v>
      </c>
      <c r="X244" s="876">
        <v>5.1E-5</v>
      </c>
      <c r="Y244" s="880" t="s">
        <v>2283</v>
      </c>
      <c r="Z244" s="881" t="s">
        <v>43</v>
      </c>
      <c r="AA244" s="882">
        <v>2.8E-5</v>
      </c>
      <c r="AB244" s="883" t="s">
        <v>2283</v>
      </c>
      <c r="AC244" s="884" t="s">
        <v>1750</v>
      </c>
    </row>
    <row r="245" spans="1:29" ht="30.75">
      <c r="A245" s="856" t="s">
        <v>760</v>
      </c>
      <c r="B245" s="792" t="s">
        <v>761</v>
      </c>
      <c r="C245" s="857" t="s">
        <v>1750</v>
      </c>
      <c r="D245" s="858" t="s">
        <v>43</v>
      </c>
      <c r="E245" s="843" t="s">
        <v>1750</v>
      </c>
      <c r="F245" s="858" t="s">
        <v>43</v>
      </c>
      <c r="G245" s="804">
        <v>8.3000000000000004E-2</v>
      </c>
      <c r="H245" s="859" t="s">
        <v>2463</v>
      </c>
      <c r="I245" s="843" t="s">
        <v>1750</v>
      </c>
      <c r="J245" s="858" t="s">
        <v>43</v>
      </c>
      <c r="K245" s="858" t="s">
        <v>43</v>
      </c>
      <c r="L245" s="858" t="s">
        <v>43</v>
      </c>
      <c r="M245" s="859">
        <v>1</v>
      </c>
      <c r="N245" s="859">
        <v>0.1</v>
      </c>
      <c r="O245" s="860" t="s">
        <v>1750</v>
      </c>
      <c r="P245" s="861">
        <v>5200</v>
      </c>
      <c r="Q245" s="862" t="s">
        <v>179</v>
      </c>
      <c r="R245" s="861">
        <v>68000</v>
      </c>
      <c r="S245" s="862" t="s">
        <v>179</v>
      </c>
      <c r="T245" s="863" t="s">
        <v>1750</v>
      </c>
      <c r="U245" s="864" t="s">
        <v>43</v>
      </c>
      <c r="V245" s="863" t="s">
        <v>1750</v>
      </c>
      <c r="W245" s="864" t="s">
        <v>43</v>
      </c>
      <c r="X245" s="861">
        <v>1700</v>
      </c>
      <c r="Y245" s="865" t="s">
        <v>179</v>
      </c>
      <c r="Z245" s="866" t="s">
        <v>43</v>
      </c>
      <c r="AA245" s="867">
        <v>260</v>
      </c>
      <c r="AB245" s="868" t="s">
        <v>179</v>
      </c>
      <c r="AC245" s="869" t="s">
        <v>1750</v>
      </c>
    </row>
    <row r="246" spans="1:29" ht="30.75">
      <c r="A246" s="856" t="s">
        <v>762</v>
      </c>
      <c r="B246" s="792" t="s">
        <v>763</v>
      </c>
      <c r="C246" s="857" t="s">
        <v>1750</v>
      </c>
      <c r="D246" s="858" t="s">
        <v>43</v>
      </c>
      <c r="E246" s="843" t="s">
        <v>1750</v>
      </c>
      <c r="F246" s="858" t="s">
        <v>43</v>
      </c>
      <c r="G246" s="804">
        <v>0.02</v>
      </c>
      <c r="H246" s="859" t="s">
        <v>280</v>
      </c>
      <c r="I246" s="843" t="s">
        <v>1750</v>
      </c>
      <c r="J246" s="858" t="s">
        <v>43</v>
      </c>
      <c r="K246" s="858" t="s">
        <v>43</v>
      </c>
      <c r="L246" s="858" t="s">
        <v>43</v>
      </c>
      <c r="M246" s="859">
        <v>1</v>
      </c>
      <c r="N246" s="859">
        <v>0.1</v>
      </c>
      <c r="O246" s="860" t="s">
        <v>1750</v>
      </c>
      <c r="P246" s="861">
        <v>1300</v>
      </c>
      <c r="Q246" s="862" t="s">
        <v>179</v>
      </c>
      <c r="R246" s="861">
        <v>16000</v>
      </c>
      <c r="S246" s="862" t="s">
        <v>179</v>
      </c>
      <c r="T246" s="863" t="s">
        <v>1750</v>
      </c>
      <c r="U246" s="864" t="s">
        <v>43</v>
      </c>
      <c r="V246" s="863" t="s">
        <v>1750</v>
      </c>
      <c r="W246" s="864" t="s">
        <v>43</v>
      </c>
      <c r="X246" s="861">
        <v>290</v>
      </c>
      <c r="Y246" s="865" t="s">
        <v>179</v>
      </c>
      <c r="Z246" s="866" t="s">
        <v>43</v>
      </c>
      <c r="AA246" s="867">
        <v>0.33</v>
      </c>
      <c r="AB246" s="868" t="s">
        <v>179</v>
      </c>
      <c r="AC246" s="869" t="s">
        <v>1750</v>
      </c>
    </row>
    <row r="247" spans="1:29" ht="16.5" thickBot="1">
      <c r="A247" s="871" t="s">
        <v>764</v>
      </c>
      <c r="B247" s="807" t="s">
        <v>765</v>
      </c>
      <c r="C247" s="872" t="s">
        <v>1750</v>
      </c>
      <c r="D247" s="873" t="s">
        <v>43</v>
      </c>
      <c r="E247" s="847" t="s">
        <v>1750</v>
      </c>
      <c r="F247" s="873" t="s">
        <v>43</v>
      </c>
      <c r="G247" s="847" t="s">
        <v>1750</v>
      </c>
      <c r="H247" s="873" t="s">
        <v>43</v>
      </c>
      <c r="I247" s="819">
        <v>40</v>
      </c>
      <c r="J247" s="874" t="s">
        <v>280</v>
      </c>
      <c r="K247" s="874" t="s">
        <v>1634</v>
      </c>
      <c r="L247" s="873" t="s">
        <v>43</v>
      </c>
      <c r="M247" s="874">
        <v>1</v>
      </c>
      <c r="N247" s="888" t="s">
        <v>1750</v>
      </c>
      <c r="O247" s="820">
        <v>1430</v>
      </c>
      <c r="P247" s="876">
        <v>48000</v>
      </c>
      <c r="Q247" s="877" t="s">
        <v>2282</v>
      </c>
      <c r="R247" s="876">
        <v>200000</v>
      </c>
      <c r="S247" s="877" t="s">
        <v>2280</v>
      </c>
      <c r="T247" s="876">
        <v>42000</v>
      </c>
      <c r="U247" s="877" t="s">
        <v>179</v>
      </c>
      <c r="V247" s="876">
        <v>180000</v>
      </c>
      <c r="W247" s="877" t="s">
        <v>179</v>
      </c>
      <c r="X247" s="876">
        <v>83000</v>
      </c>
      <c r="Y247" s="880" t="s">
        <v>179</v>
      </c>
      <c r="Z247" s="881" t="s">
        <v>43</v>
      </c>
      <c r="AA247" s="882">
        <v>28</v>
      </c>
      <c r="AB247" s="883" t="s">
        <v>179</v>
      </c>
      <c r="AC247" s="884" t="s">
        <v>1750</v>
      </c>
    </row>
    <row r="248" spans="1:29" ht="15.75">
      <c r="A248" s="856" t="s">
        <v>766</v>
      </c>
      <c r="B248" s="792" t="s">
        <v>767</v>
      </c>
      <c r="C248" s="889">
        <v>4.3999999999999997E-2</v>
      </c>
      <c r="D248" s="859" t="s">
        <v>3</v>
      </c>
      <c r="E248" s="804">
        <v>1.2999999999999999E-5</v>
      </c>
      <c r="F248" s="859" t="s">
        <v>3</v>
      </c>
      <c r="G248" s="843" t="s">
        <v>1750</v>
      </c>
      <c r="H248" s="858" t="s">
        <v>43</v>
      </c>
      <c r="I248" s="843" t="s">
        <v>1750</v>
      </c>
      <c r="J248" s="858" t="s">
        <v>43</v>
      </c>
      <c r="K248" s="859" t="s">
        <v>1634</v>
      </c>
      <c r="L248" s="858" t="s">
        <v>43</v>
      </c>
      <c r="M248" s="859">
        <v>1</v>
      </c>
      <c r="N248" s="870" t="s">
        <v>1750</v>
      </c>
      <c r="O248" s="860" t="s">
        <v>1750</v>
      </c>
      <c r="P248" s="861">
        <v>9.9</v>
      </c>
      <c r="Q248" s="862" t="s">
        <v>2283</v>
      </c>
      <c r="R248" s="861">
        <v>45</v>
      </c>
      <c r="S248" s="862" t="s">
        <v>2283</v>
      </c>
      <c r="T248" s="861">
        <v>0.22</v>
      </c>
      <c r="U248" s="862" t="s">
        <v>2283</v>
      </c>
      <c r="V248" s="861">
        <v>0.94</v>
      </c>
      <c r="W248" s="862" t="s">
        <v>2283</v>
      </c>
      <c r="X248" s="861">
        <v>0.3</v>
      </c>
      <c r="Y248" s="865" t="s">
        <v>2283</v>
      </c>
      <c r="Z248" s="866" t="s">
        <v>43</v>
      </c>
      <c r="AA248" s="867">
        <v>1.9000000000000001E-4</v>
      </c>
      <c r="AB248" s="868" t="s">
        <v>2283</v>
      </c>
      <c r="AC248" s="869" t="s">
        <v>1750</v>
      </c>
    </row>
    <row r="249" spans="1:29" ht="15.75">
      <c r="A249" s="856" t="s">
        <v>768</v>
      </c>
      <c r="B249" s="792" t="s">
        <v>769</v>
      </c>
      <c r="C249" s="857" t="s">
        <v>1750</v>
      </c>
      <c r="D249" s="858" t="s">
        <v>43</v>
      </c>
      <c r="E249" s="843" t="s">
        <v>1750</v>
      </c>
      <c r="F249" s="858" t="s">
        <v>43</v>
      </c>
      <c r="G249" s="843" t="s">
        <v>1750</v>
      </c>
      <c r="H249" s="858" t="s">
        <v>43</v>
      </c>
      <c r="I249" s="804">
        <v>0.7</v>
      </c>
      <c r="J249" s="859" t="s">
        <v>281</v>
      </c>
      <c r="K249" s="859" t="s">
        <v>1634</v>
      </c>
      <c r="L249" s="858" t="s">
        <v>43</v>
      </c>
      <c r="M249" s="859">
        <v>1</v>
      </c>
      <c r="N249" s="870" t="s">
        <v>1750</v>
      </c>
      <c r="O249" s="805">
        <v>2260</v>
      </c>
      <c r="P249" s="861">
        <v>2200</v>
      </c>
      <c r="Q249" s="862" t="s">
        <v>179</v>
      </c>
      <c r="R249" s="861">
        <v>9400</v>
      </c>
      <c r="S249" s="862" t="s">
        <v>2282</v>
      </c>
      <c r="T249" s="861">
        <v>730</v>
      </c>
      <c r="U249" s="862" t="s">
        <v>179</v>
      </c>
      <c r="V249" s="861">
        <v>3100</v>
      </c>
      <c r="W249" s="862" t="s">
        <v>179</v>
      </c>
      <c r="X249" s="861">
        <v>1500</v>
      </c>
      <c r="Y249" s="865" t="s">
        <v>179</v>
      </c>
      <c r="Z249" s="866" t="s">
        <v>43</v>
      </c>
      <c r="AA249" s="867">
        <v>0.37</v>
      </c>
      <c r="AB249" s="868" t="s">
        <v>179</v>
      </c>
      <c r="AC249" s="869" t="s">
        <v>1750</v>
      </c>
    </row>
    <row r="250" spans="1:29" ht="46.5" thickBot="1">
      <c r="A250" s="871" t="s">
        <v>770</v>
      </c>
      <c r="B250" s="807" t="s">
        <v>771</v>
      </c>
      <c r="C250" s="872" t="s">
        <v>1750</v>
      </c>
      <c r="D250" s="873" t="s">
        <v>43</v>
      </c>
      <c r="E250" s="847" t="s">
        <v>1750</v>
      </c>
      <c r="F250" s="873" t="s">
        <v>43</v>
      </c>
      <c r="G250" s="819">
        <v>0.08</v>
      </c>
      <c r="H250" s="874" t="s">
        <v>280</v>
      </c>
      <c r="I250" s="847" t="s">
        <v>1750</v>
      </c>
      <c r="J250" s="873" t="s">
        <v>43</v>
      </c>
      <c r="K250" s="874" t="s">
        <v>1634</v>
      </c>
      <c r="L250" s="873" t="s">
        <v>43</v>
      </c>
      <c r="M250" s="874">
        <v>1</v>
      </c>
      <c r="N250" s="888" t="s">
        <v>1750</v>
      </c>
      <c r="O250" s="820">
        <v>530</v>
      </c>
      <c r="P250" s="876">
        <v>6300</v>
      </c>
      <c r="Q250" s="877" t="s">
        <v>2282</v>
      </c>
      <c r="R250" s="876">
        <v>93000</v>
      </c>
      <c r="S250" s="877" t="s">
        <v>2282</v>
      </c>
      <c r="T250" s="878" t="s">
        <v>1750</v>
      </c>
      <c r="U250" s="879" t="s">
        <v>43</v>
      </c>
      <c r="V250" s="878" t="s">
        <v>1750</v>
      </c>
      <c r="W250" s="879" t="s">
        <v>43</v>
      </c>
      <c r="X250" s="876">
        <v>1600</v>
      </c>
      <c r="Y250" s="880" t="s">
        <v>179</v>
      </c>
      <c r="Z250" s="881" t="s">
        <v>43</v>
      </c>
      <c r="AA250" s="882">
        <v>0.45</v>
      </c>
      <c r="AB250" s="883" t="s">
        <v>179</v>
      </c>
      <c r="AC250" s="884" t="s">
        <v>1750</v>
      </c>
    </row>
    <row r="251" spans="1:29" ht="30.75">
      <c r="A251" s="856" t="s">
        <v>772</v>
      </c>
      <c r="B251" s="792" t="s">
        <v>773</v>
      </c>
      <c r="C251" s="857" t="s">
        <v>1750</v>
      </c>
      <c r="D251" s="858" t="s">
        <v>43</v>
      </c>
      <c r="E251" s="843" t="s">
        <v>1750</v>
      </c>
      <c r="F251" s="858" t="s">
        <v>43</v>
      </c>
      <c r="G251" s="804">
        <v>2.1999999999999999E-2</v>
      </c>
      <c r="H251" s="859" t="s">
        <v>2463</v>
      </c>
      <c r="I251" s="843" t="s">
        <v>1750</v>
      </c>
      <c r="J251" s="858" t="s">
        <v>43</v>
      </c>
      <c r="K251" s="858" t="s">
        <v>43</v>
      </c>
      <c r="L251" s="858" t="s">
        <v>43</v>
      </c>
      <c r="M251" s="859">
        <v>1</v>
      </c>
      <c r="N251" s="859">
        <v>0.1</v>
      </c>
      <c r="O251" s="860" t="s">
        <v>1750</v>
      </c>
      <c r="P251" s="861">
        <v>1400</v>
      </c>
      <c r="Q251" s="862" t="s">
        <v>179</v>
      </c>
      <c r="R251" s="861">
        <v>18000</v>
      </c>
      <c r="S251" s="862" t="s">
        <v>179</v>
      </c>
      <c r="T251" s="863" t="s">
        <v>1750</v>
      </c>
      <c r="U251" s="864" t="s">
        <v>43</v>
      </c>
      <c r="V251" s="863" t="s">
        <v>1750</v>
      </c>
      <c r="W251" s="864" t="s">
        <v>43</v>
      </c>
      <c r="X251" s="861">
        <v>440</v>
      </c>
      <c r="Y251" s="865" t="s">
        <v>179</v>
      </c>
      <c r="Z251" s="866" t="s">
        <v>43</v>
      </c>
      <c r="AA251" s="867">
        <v>9.6000000000000002E-2</v>
      </c>
      <c r="AB251" s="868" t="s">
        <v>179</v>
      </c>
      <c r="AC251" s="869" t="s">
        <v>1750</v>
      </c>
    </row>
    <row r="252" spans="1:29" ht="15.75">
      <c r="A252" s="856" t="s">
        <v>774</v>
      </c>
      <c r="B252" s="792" t="s">
        <v>775</v>
      </c>
      <c r="C252" s="857" t="s">
        <v>1750</v>
      </c>
      <c r="D252" s="858" t="s">
        <v>43</v>
      </c>
      <c r="E252" s="843" t="s">
        <v>1750</v>
      </c>
      <c r="F252" s="858" t="s">
        <v>43</v>
      </c>
      <c r="G252" s="804">
        <v>2.2000000000000001E-3</v>
      </c>
      <c r="H252" s="859" t="s">
        <v>2463</v>
      </c>
      <c r="I252" s="843" t="s">
        <v>1750</v>
      </c>
      <c r="J252" s="858" t="s">
        <v>43</v>
      </c>
      <c r="K252" s="858" t="s">
        <v>43</v>
      </c>
      <c r="L252" s="858" t="s">
        <v>43</v>
      </c>
      <c r="M252" s="859">
        <v>1</v>
      </c>
      <c r="N252" s="859">
        <v>0.1</v>
      </c>
      <c r="O252" s="860" t="s">
        <v>1750</v>
      </c>
      <c r="P252" s="861">
        <v>140</v>
      </c>
      <c r="Q252" s="862" t="s">
        <v>179</v>
      </c>
      <c r="R252" s="861">
        <v>1800</v>
      </c>
      <c r="S252" s="862" t="s">
        <v>179</v>
      </c>
      <c r="T252" s="863" t="s">
        <v>1750</v>
      </c>
      <c r="U252" s="864" t="s">
        <v>43</v>
      </c>
      <c r="V252" s="863" t="s">
        <v>1750</v>
      </c>
      <c r="W252" s="864" t="s">
        <v>43</v>
      </c>
      <c r="X252" s="861">
        <v>44</v>
      </c>
      <c r="Y252" s="865" t="s">
        <v>179</v>
      </c>
      <c r="Z252" s="866" t="s">
        <v>43</v>
      </c>
      <c r="AA252" s="867">
        <v>9.9000000000000008E-3</v>
      </c>
      <c r="AB252" s="868" t="s">
        <v>179</v>
      </c>
      <c r="AC252" s="869" t="s">
        <v>1750</v>
      </c>
    </row>
    <row r="253" spans="1:29" ht="31.5" thickBot="1">
      <c r="A253" s="871" t="s">
        <v>776</v>
      </c>
      <c r="B253" s="807" t="s">
        <v>777</v>
      </c>
      <c r="C253" s="890">
        <v>1.6</v>
      </c>
      <c r="D253" s="874" t="s">
        <v>281</v>
      </c>
      <c r="E253" s="847" t="s">
        <v>1750</v>
      </c>
      <c r="F253" s="873" t="s">
        <v>43</v>
      </c>
      <c r="G253" s="847" t="s">
        <v>1750</v>
      </c>
      <c r="H253" s="873" t="s">
        <v>43</v>
      </c>
      <c r="I253" s="847" t="s">
        <v>1750</v>
      </c>
      <c r="J253" s="873" t="s">
        <v>43</v>
      </c>
      <c r="K253" s="873" t="s">
        <v>43</v>
      </c>
      <c r="L253" s="873" t="s">
        <v>43</v>
      </c>
      <c r="M253" s="874">
        <v>1</v>
      </c>
      <c r="N253" s="874">
        <v>0.1</v>
      </c>
      <c r="O253" s="875" t="s">
        <v>1750</v>
      </c>
      <c r="P253" s="876">
        <v>0.34</v>
      </c>
      <c r="Q253" s="877" t="s">
        <v>2283</v>
      </c>
      <c r="R253" s="876">
        <v>1.4</v>
      </c>
      <c r="S253" s="877" t="s">
        <v>2283</v>
      </c>
      <c r="T253" s="878" t="s">
        <v>1750</v>
      </c>
      <c r="U253" s="879" t="s">
        <v>43</v>
      </c>
      <c r="V253" s="878" t="s">
        <v>1750</v>
      </c>
      <c r="W253" s="879" t="s">
        <v>43</v>
      </c>
      <c r="X253" s="876">
        <v>4.7E-2</v>
      </c>
      <c r="Y253" s="880" t="s">
        <v>2283</v>
      </c>
      <c r="Z253" s="881" t="s">
        <v>43</v>
      </c>
      <c r="AA253" s="882">
        <v>5.8E-5</v>
      </c>
      <c r="AB253" s="883" t="s">
        <v>2283</v>
      </c>
      <c r="AC253" s="884" t="s">
        <v>1750</v>
      </c>
    </row>
    <row r="254" spans="1:29" ht="45.75">
      <c r="A254" s="856" t="s">
        <v>778</v>
      </c>
      <c r="B254" s="792" t="s">
        <v>779</v>
      </c>
      <c r="C254" s="889">
        <v>1.6999999999999999E-3</v>
      </c>
      <c r="D254" s="859" t="s">
        <v>281</v>
      </c>
      <c r="E254" s="843" t="s">
        <v>1750</v>
      </c>
      <c r="F254" s="858" t="s">
        <v>43</v>
      </c>
      <c r="G254" s="804">
        <v>0.06</v>
      </c>
      <c r="H254" s="859" t="s">
        <v>281</v>
      </c>
      <c r="I254" s="843" t="s">
        <v>1750</v>
      </c>
      <c r="J254" s="858" t="s">
        <v>43</v>
      </c>
      <c r="K254" s="858" t="s">
        <v>43</v>
      </c>
      <c r="L254" s="858" t="s">
        <v>43</v>
      </c>
      <c r="M254" s="859">
        <v>1</v>
      </c>
      <c r="N254" s="859">
        <v>0.1</v>
      </c>
      <c r="O254" s="860" t="s">
        <v>1750</v>
      </c>
      <c r="P254" s="861">
        <v>320</v>
      </c>
      <c r="Q254" s="862" t="s">
        <v>2279</v>
      </c>
      <c r="R254" s="861">
        <v>1400</v>
      </c>
      <c r="S254" s="862" t="s">
        <v>2279</v>
      </c>
      <c r="T254" s="863" t="s">
        <v>1750</v>
      </c>
      <c r="U254" s="864" t="s">
        <v>43</v>
      </c>
      <c r="V254" s="863" t="s">
        <v>1750</v>
      </c>
      <c r="W254" s="864" t="s">
        <v>43</v>
      </c>
      <c r="X254" s="861">
        <v>46</v>
      </c>
      <c r="Y254" s="865" t="s">
        <v>2279</v>
      </c>
      <c r="Z254" s="866" t="s">
        <v>43</v>
      </c>
      <c r="AA254" s="867">
        <v>9.5999999999999992E-3</v>
      </c>
      <c r="AB254" s="868" t="s">
        <v>2279</v>
      </c>
      <c r="AC254" s="869" t="s">
        <v>1750</v>
      </c>
    </row>
    <row r="255" spans="1:29" ht="30.75">
      <c r="A255" s="856" t="s">
        <v>780</v>
      </c>
      <c r="B255" s="792" t="s">
        <v>781</v>
      </c>
      <c r="C255" s="889">
        <v>4.5999999999999996</v>
      </c>
      <c r="D255" s="859" t="s">
        <v>3</v>
      </c>
      <c r="E255" s="804">
        <v>1.2999999999999999E-3</v>
      </c>
      <c r="F255" s="859" t="s">
        <v>3</v>
      </c>
      <c r="G255" s="843" t="s">
        <v>1750</v>
      </c>
      <c r="H255" s="858" t="s">
        <v>43</v>
      </c>
      <c r="I255" s="843" t="s">
        <v>1750</v>
      </c>
      <c r="J255" s="858" t="s">
        <v>43</v>
      </c>
      <c r="K255" s="858" t="s">
        <v>43</v>
      </c>
      <c r="L255" s="858" t="s">
        <v>43</v>
      </c>
      <c r="M255" s="859">
        <v>1</v>
      </c>
      <c r="N255" s="859">
        <v>0.1</v>
      </c>
      <c r="O255" s="860" t="s">
        <v>1750</v>
      </c>
      <c r="P255" s="861">
        <v>0.12</v>
      </c>
      <c r="Q255" s="862" t="s">
        <v>2283</v>
      </c>
      <c r="R255" s="861">
        <v>0.5</v>
      </c>
      <c r="S255" s="862" t="s">
        <v>2283</v>
      </c>
      <c r="T255" s="861">
        <v>2.2000000000000001E-3</v>
      </c>
      <c r="U255" s="862" t="s">
        <v>2283</v>
      </c>
      <c r="V255" s="861">
        <v>9.4000000000000004E-3</v>
      </c>
      <c r="W255" s="862" t="s">
        <v>2283</v>
      </c>
      <c r="X255" s="861">
        <v>5.0000000000000001E-3</v>
      </c>
      <c r="Y255" s="865" t="s">
        <v>2283</v>
      </c>
      <c r="Z255" s="866" t="s">
        <v>43</v>
      </c>
      <c r="AA255" s="867">
        <v>2.0999999999999999E-5</v>
      </c>
      <c r="AB255" s="868" t="s">
        <v>2283</v>
      </c>
      <c r="AC255" s="869" t="s">
        <v>1750</v>
      </c>
    </row>
    <row r="256" spans="1:29" ht="31.5" thickBot="1">
      <c r="A256" s="871" t="s">
        <v>782</v>
      </c>
      <c r="B256" s="807" t="s">
        <v>783</v>
      </c>
      <c r="C256" s="890">
        <v>0.57999999999999996</v>
      </c>
      <c r="D256" s="874" t="s">
        <v>13</v>
      </c>
      <c r="E256" s="847" t="s">
        <v>1750</v>
      </c>
      <c r="F256" s="873" t="s">
        <v>43</v>
      </c>
      <c r="G256" s="847" t="s">
        <v>1750</v>
      </c>
      <c r="H256" s="873" t="s">
        <v>43</v>
      </c>
      <c r="I256" s="847" t="s">
        <v>1750</v>
      </c>
      <c r="J256" s="873" t="s">
        <v>43</v>
      </c>
      <c r="K256" s="873" t="s">
        <v>43</v>
      </c>
      <c r="L256" s="873" t="s">
        <v>43</v>
      </c>
      <c r="M256" s="874">
        <v>1</v>
      </c>
      <c r="N256" s="874">
        <v>0.1</v>
      </c>
      <c r="O256" s="875" t="s">
        <v>1750</v>
      </c>
      <c r="P256" s="876">
        <v>0.94</v>
      </c>
      <c r="Q256" s="877" t="s">
        <v>2283</v>
      </c>
      <c r="R256" s="876">
        <v>4</v>
      </c>
      <c r="S256" s="877" t="s">
        <v>2283</v>
      </c>
      <c r="T256" s="878" t="s">
        <v>1750</v>
      </c>
      <c r="U256" s="879" t="s">
        <v>43</v>
      </c>
      <c r="V256" s="878" t="s">
        <v>1750</v>
      </c>
      <c r="W256" s="879" t="s">
        <v>43</v>
      </c>
      <c r="X256" s="876">
        <v>0.13</v>
      </c>
      <c r="Y256" s="880" t="s">
        <v>2283</v>
      </c>
      <c r="Z256" s="881" t="s">
        <v>43</v>
      </c>
      <c r="AA256" s="882">
        <v>1.2E-4</v>
      </c>
      <c r="AB256" s="883" t="s">
        <v>2283</v>
      </c>
      <c r="AC256" s="884" t="s">
        <v>1750</v>
      </c>
    </row>
    <row r="257" spans="1:29" ht="30.75">
      <c r="A257" s="856" t="s">
        <v>784</v>
      </c>
      <c r="B257" s="792" t="s">
        <v>785</v>
      </c>
      <c r="C257" s="889">
        <v>0.2</v>
      </c>
      <c r="D257" s="859" t="s">
        <v>281</v>
      </c>
      <c r="E257" s="843" t="s">
        <v>1750</v>
      </c>
      <c r="F257" s="858" t="s">
        <v>43</v>
      </c>
      <c r="G257" s="804">
        <v>2E-3</v>
      </c>
      <c r="H257" s="859" t="s">
        <v>0</v>
      </c>
      <c r="I257" s="843" t="s">
        <v>1750</v>
      </c>
      <c r="J257" s="858" t="s">
        <v>43</v>
      </c>
      <c r="K257" s="858" t="s">
        <v>43</v>
      </c>
      <c r="L257" s="858" t="s">
        <v>43</v>
      </c>
      <c r="M257" s="859">
        <v>1</v>
      </c>
      <c r="N257" s="859">
        <v>0.1</v>
      </c>
      <c r="O257" s="860" t="s">
        <v>1750</v>
      </c>
      <c r="P257" s="861">
        <v>2.7</v>
      </c>
      <c r="Q257" s="862" t="s">
        <v>2279</v>
      </c>
      <c r="R257" s="861">
        <v>11</v>
      </c>
      <c r="S257" s="862" t="s">
        <v>2283</v>
      </c>
      <c r="T257" s="863" t="s">
        <v>1750</v>
      </c>
      <c r="U257" s="864" t="s">
        <v>43</v>
      </c>
      <c r="V257" s="863" t="s">
        <v>1750</v>
      </c>
      <c r="W257" s="864" t="s">
        <v>43</v>
      </c>
      <c r="X257" s="861">
        <v>0.37</v>
      </c>
      <c r="Y257" s="865" t="s">
        <v>2283</v>
      </c>
      <c r="Z257" s="866" t="s">
        <v>43</v>
      </c>
      <c r="AA257" s="867">
        <v>2.1000000000000001E-4</v>
      </c>
      <c r="AB257" s="868" t="s">
        <v>2283</v>
      </c>
      <c r="AC257" s="869" t="s">
        <v>1750</v>
      </c>
    </row>
    <row r="258" spans="1:29" ht="30.75">
      <c r="A258" s="856" t="s">
        <v>786</v>
      </c>
      <c r="B258" s="792" t="s">
        <v>787</v>
      </c>
      <c r="C258" s="889">
        <v>2.7E-2</v>
      </c>
      <c r="D258" s="859" t="s">
        <v>281</v>
      </c>
      <c r="E258" s="843" t="s">
        <v>1750</v>
      </c>
      <c r="F258" s="858" t="s">
        <v>43</v>
      </c>
      <c r="G258" s="804">
        <v>2E-3</v>
      </c>
      <c r="H258" s="859" t="s">
        <v>280</v>
      </c>
      <c r="I258" s="843" t="s">
        <v>1750</v>
      </c>
      <c r="J258" s="858" t="s">
        <v>43</v>
      </c>
      <c r="K258" s="859" t="s">
        <v>1634</v>
      </c>
      <c r="L258" s="858" t="s">
        <v>43</v>
      </c>
      <c r="M258" s="859">
        <v>1</v>
      </c>
      <c r="N258" s="870" t="s">
        <v>1750</v>
      </c>
      <c r="O258" s="805">
        <v>830</v>
      </c>
      <c r="P258" s="861">
        <v>26</v>
      </c>
      <c r="Q258" s="862" t="s">
        <v>2278</v>
      </c>
      <c r="R258" s="861">
        <v>120</v>
      </c>
      <c r="S258" s="862" t="s">
        <v>2279</v>
      </c>
      <c r="T258" s="863" t="s">
        <v>1750</v>
      </c>
      <c r="U258" s="864" t="s">
        <v>43</v>
      </c>
      <c r="V258" s="863" t="s">
        <v>1750</v>
      </c>
      <c r="W258" s="864" t="s">
        <v>43</v>
      </c>
      <c r="X258" s="861">
        <v>2.5</v>
      </c>
      <c r="Y258" s="865" t="s">
        <v>2279</v>
      </c>
      <c r="Z258" s="866" t="s">
        <v>43</v>
      </c>
      <c r="AA258" s="867">
        <v>8.9999999999999998E-4</v>
      </c>
      <c r="AB258" s="868" t="s">
        <v>2279</v>
      </c>
      <c r="AC258" s="869" t="s">
        <v>1750</v>
      </c>
    </row>
    <row r="259" spans="1:29" ht="31.5" thickBot="1">
      <c r="A259" s="871" t="s">
        <v>788</v>
      </c>
      <c r="B259" s="807" t="s">
        <v>789</v>
      </c>
      <c r="C259" s="890">
        <v>11</v>
      </c>
      <c r="D259" s="874" t="s">
        <v>281</v>
      </c>
      <c r="E259" s="847" t="s">
        <v>1750</v>
      </c>
      <c r="F259" s="873" t="s">
        <v>43</v>
      </c>
      <c r="G259" s="847" t="s">
        <v>1750</v>
      </c>
      <c r="H259" s="873" t="s">
        <v>43</v>
      </c>
      <c r="I259" s="847" t="s">
        <v>1750</v>
      </c>
      <c r="J259" s="873" t="s">
        <v>43</v>
      </c>
      <c r="K259" s="873" t="s">
        <v>43</v>
      </c>
      <c r="L259" s="873" t="s">
        <v>43</v>
      </c>
      <c r="M259" s="874">
        <v>1</v>
      </c>
      <c r="N259" s="874">
        <v>0.1</v>
      </c>
      <c r="O259" s="875" t="s">
        <v>1750</v>
      </c>
      <c r="P259" s="876">
        <v>4.9000000000000002E-2</v>
      </c>
      <c r="Q259" s="877" t="s">
        <v>2283</v>
      </c>
      <c r="R259" s="876">
        <v>0.21</v>
      </c>
      <c r="S259" s="877" t="s">
        <v>2283</v>
      </c>
      <c r="T259" s="878" t="s">
        <v>1750</v>
      </c>
      <c r="U259" s="879" t="s">
        <v>43</v>
      </c>
      <c r="V259" s="878" t="s">
        <v>1750</v>
      </c>
      <c r="W259" s="879" t="s">
        <v>43</v>
      </c>
      <c r="X259" s="876">
        <v>6.4999999999999997E-3</v>
      </c>
      <c r="Y259" s="880" t="s">
        <v>2283</v>
      </c>
      <c r="Z259" s="881" t="s">
        <v>43</v>
      </c>
      <c r="AA259" s="882">
        <v>4.3000000000000002E-5</v>
      </c>
      <c r="AB259" s="883" t="s">
        <v>2283</v>
      </c>
      <c r="AC259" s="884" t="s">
        <v>1750</v>
      </c>
    </row>
    <row r="260" spans="1:29" ht="30.75">
      <c r="A260" s="856" t="s">
        <v>790</v>
      </c>
      <c r="B260" s="792" t="s">
        <v>791</v>
      </c>
      <c r="C260" s="857" t="s">
        <v>1750</v>
      </c>
      <c r="D260" s="858" t="s">
        <v>43</v>
      </c>
      <c r="E260" s="843" t="s">
        <v>1750</v>
      </c>
      <c r="F260" s="858" t="s">
        <v>43</v>
      </c>
      <c r="G260" s="804">
        <v>0.1</v>
      </c>
      <c r="H260" s="859" t="s">
        <v>281</v>
      </c>
      <c r="I260" s="804">
        <v>0.03</v>
      </c>
      <c r="J260" s="859" t="s">
        <v>280</v>
      </c>
      <c r="K260" s="859" t="s">
        <v>1634</v>
      </c>
      <c r="L260" s="858" t="s">
        <v>43</v>
      </c>
      <c r="M260" s="859">
        <v>1</v>
      </c>
      <c r="N260" s="870" t="s">
        <v>1750</v>
      </c>
      <c r="O260" s="805">
        <v>106000</v>
      </c>
      <c r="P260" s="861">
        <v>2600</v>
      </c>
      <c r="Q260" s="862" t="s">
        <v>179</v>
      </c>
      <c r="R260" s="861">
        <v>15000</v>
      </c>
      <c r="S260" s="862" t="s">
        <v>179</v>
      </c>
      <c r="T260" s="861">
        <v>31</v>
      </c>
      <c r="U260" s="862" t="s">
        <v>179</v>
      </c>
      <c r="V260" s="861">
        <v>130</v>
      </c>
      <c r="W260" s="862" t="s">
        <v>179</v>
      </c>
      <c r="X260" s="861">
        <v>61</v>
      </c>
      <c r="Y260" s="865" t="s">
        <v>179</v>
      </c>
      <c r="Z260" s="866" t="s">
        <v>43</v>
      </c>
      <c r="AA260" s="867">
        <v>1.2E-2</v>
      </c>
      <c r="AB260" s="868" t="s">
        <v>179</v>
      </c>
      <c r="AC260" s="869" t="s">
        <v>1750</v>
      </c>
    </row>
    <row r="261" spans="1:29" ht="30.75">
      <c r="A261" s="856" t="s">
        <v>792</v>
      </c>
      <c r="B261" s="792" t="s">
        <v>793</v>
      </c>
      <c r="C261" s="857" t="s">
        <v>1750</v>
      </c>
      <c r="D261" s="858" t="s">
        <v>43</v>
      </c>
      <c r="E261" s="843" t="s">
        <v>1750</v>
      </c>
      <c r="F261" s="858" t="s">
        <v>43</v>
      </c>
      <c r="G261" s="804">
        <v>1E-4</v>
      </c>
      <c r="H261" s="859" t="s">
        <v>0</v>
      </c>
      <c r="I261" s="804">
        <v>1.9999999999999999E-6</v>
      </c>
      <c r="J261" s="859" t="s">
        <v>0</v>
      </c>
      <c r="K261" s="859" t="s">
        <v>1634</v>
      </c>
      <c r="L261" s="858" t="s">
        <v>43</v>
      </c>
      <c r="M261" s="859">
        <v>1</v>
      </c>
      <c r="N261" s="870" t="s">
        <v>1750</v>
      </c>
      <c r="O261" s="805">
        <v>172000</v>
      </c>
      <c r="P261" s="861">
        <v>5.7000000000000002E-2</v>
      </c>
      <c r="Q261" s="862" t="s">
        <v>179</v>
      </c>
      <c r="R261" s="861">
        <v>0.24</v>
      </c>
      <c r="S261" s="862" t="s">
        <v>179</v>
      </c>
      <c r="T261" s="861">
        <v>2.0999999999999999E-3</v>
      </c>
      <c r="U261" s="862" t="s">
        <v>179</v>
      </c>
      <c r="V261" s="861">
        <v>8.8000000000000005E-3</v>
      </c>
      <c r="W261" s="862" t="s">
        <v>179</v>
      </c>
      <c r="X261" s="861">
        <v>4.1999999999999997E-3</v>
      </c>
      <c r="Y261" s="865" t="s">
        <v>179</v>
      </c>
      <c r="Z261" s="866" t="s">
        <v>43</v>
      </c>
      <c r="AA261" s="867">
        <v>9.2999999999999999E-7</v>
      </c>
      <c r="AB261" s="868" t="s">
        <v>179</v>
      </c>
      <c r="AC261" s="869" t="s">
        <v>1750</v>
      </c>
    </row>
    <row r="262" spans="1:29" ht="31.5" thickBot="1">
      <c r="A262" s="871" t="s">
        <v>794</v>
      </c>
      <c r="B262" s="807" t="s">
        <v>795</v>
      </c>
      <c r="C262" s="890">
        <v>550</v>
      </c>
      <c r="D262" s="874" t="s">
        <v>3</v>
      </c>
      <c r="E262" s="819">
        <v>0.16</v>
      </c>
      <c r="F262" s="874" t="s">
        <v>3</v>
      </c>
      <c r="G262" s="847" t="s">
        <v>1750</v>
      </c>
      <c r="H262" s="873" t="s">
        <v>43</v>
      </c>
      <c r="I262" s="847" t="s">
        <v>1750</v>
      </c>
      <c r="J262" s="873" t="s">
        <v>43</v>
      </c>
      <c r="K262" s="874" t="s">
        <v>1634</v>
      </c>
      <c r="L262" s="873" t="s">
        <v>43</v>
      </c>
      <c r="M262" s="874">
        <v>1</v>
      </c>
      <c r="N262" s="888" t="s">
        <v>1750</v>
      </c>
      <c r="O262" s="820">
        <v>189000</v>
      </c>
      <c r="P262" s="876">
        <v>8.8000000000000003E-4</v>
      </c>
      <c r="Q262" s="877" t="s">
        <v>2283</v>
      </c>
      <c r="R262" s="876">
        <v>4.1000000000000003E-3</v>
      </c>
      <c r="S262" s="877" t="s">
        <v>2283</v>
      </c>
      <c r="T262" s="876">
        <v>1.8E-5</v>
      </c>
      <c r="U262" s="877" t="s">
        <v>2283</v>
      </c>
      <c r="V262" s="876">
        <v>7.7000000000000001E-5</v>
      </c>
      <c r="W262" s="877" t="s">
        <v>2283</v>
      </c>
      <c r="X262" s="876">
        <v>2.8E-5</v>
      </c>
      <c r="Y262" s="880" t="s">
        <v>2283</v>
      </c>
      <c r="Z262" s="881" t="s">
        <v>43</v>
      </c>
      <c r="AA262" s="882">
        <v>6.5000000000000003E-9</v>
      </c>
      <c r="AB262" s="883" t="s">
        <v>2283</v>
      </c>
      <c r="AC262" s="884" t="s">
        <v>1750</v>
      </c>
    </row>
    <row r="263" spans="1:29" ht="30.75">
      <c r="A263" s="856" t="s">
        <v>796</v>
      </c>
      <c r="B263" s="792" t="s">
        <v>797</v>
      </c>
      <c r="C263" s="857" t="s">
        <v>1750</v>
      </c>
      <c r="D263" s="858" t="s">
        <v>43</v>
      </c>
      <c r="E263" s="843" t="s">
        <v>1750</v>
      </c>
      <c r="F263" s="858" t="s">
        <v>43</v>
      </c>
      <c r="G263" s="804">
        <v>0.02</v>
      </c>
      <c r="H263" s="859" t="s">
        <v>280</v>
      </c>
      <c r="I263" s="843" t="s">
        <v>1750</v>
      </c>
      <c r="J263" s="858" t="s">
        <v>43</v>
      </c>
      <c r="K263" s="858" t="s">
        <v>43</v>
      </c>
      <c r="L263" s="858" t="s">
        <v>43</v>
      </c>
      <c r="M263" s="859">
        <v>1</v>
      </c>
      <c r="N263" s="859">
        <v>0.1</v>
      </c>
      <c r="O263" s="860" t="s">
        <v>1750</v>
      </c>
      <c r="P263" s="861">
        <v>1300</v>
      </c>
      <c r="Q263" s="862" t="s">
        <v>179</v>
      </c>
      <c r="R263" s="861">
        <v>16000</v>
      </c>
      <c r="S263" s="862" t="s">
        <v>179</v>
      </c>
      <c r="T263" s="863" t="s">
        <v>1750</v>
      </c>
      <c r="U263" s="864" t="s">
        <v>43</v>
      </c>
      <c r="V263" s="863" t="s">
        <v>1750</v>
      </c>
      <c r="W263" s="864" t="s">
        <v>43</v>
      </c>
      <c r="X263" s="861">
        <v>360</v>
      </c>
      <c r="Y263" s="865" t="s">
        <v>179</v>
      </c>
      <c r="Z263" s="866" t="s">
        <v>43</v>
      </c>
      <c r="AA263" s="867">
        <v>0.42</v>
      </c>
      <c r="AB263" s="868" t="s">
        <v>179</v>
      </c>
      <c r="AC263" s="869" t="s">
        <v>1750</v>
      </c>
    </row>
    <row r="264" spans="1:29" ht="30.75">
      <c r="A264" s="856" t="s">
        <v>798</v>
      </c>
      <c r="B264" s="792" t="s">
        <v>799</v>
      </c>
      <c r="C264" s="857" t="s">
        <v>1750</v>
      </c>
      <c r="D264" s="858" t="s">
        <v>43</v>
      </c>
      <c r="E264" s="843" t="s">
        <v>1750</v>
      </c>
      <c r="F264" s="858" t="s">
        <v>43</v>
      </c>
      <c r="G264" s="804">
        <v>5.9999999999999995E-4</v>
      </c>
      <c r="H264" s="859" t="s">
        <v>280</v>
      </c>
      <c r="I264" s="843" t="s">
        <v>1750</v>
      </c>
      <c r="J264" s="858" t="s">
        <v>43</v>
      </c>
      <c r="K264" s="858" t="s">
        <v>43</v>
      </c>
      <c r="L264" s="858" t="s">
        <v>43</v>
      </c>
      <c r="M264" s="859">
        <v>1</v>
      </c>
      <c r="N264" s="859">
        <v>0.1</v>
      </c>
      <c r="O264" s="860" t="s">
        <v>1750</v>
      </c>
      <c r="P264" s="861">
        <v>38</v>
      </c>
      <c r="Q264" s="862" t="s">
        <v>179</v>
      </c>
      <c r="R264" s="861">
        <v>490</v>
      </c>
      <c r="S264" s="862" t="s">
        <v>179</v>
      </c>
      <c r="T264" s="863" t="s">
        <v>1750</v>
      </c>
      <c r="U264" s="864" t="s">
        <v>43</v>
      </c>
      <c r="V264" s="863" t="s">
        <v>1750</v>
      </c>
      <c r="W264" s="864" t="s">
        <v>43</v>
      </c>
      <c r="X264" s="861">
        <v>11</v>
      </c>
      <c r="Y264" s="865" t="s">
        <v>179</v>
      </c>
      <c r="Z264" s="866" t="s">
        <v>43</v>
      </c>
      <c r="AA264" s="867">
        <v>1.2999999999999999E-2</v>
      </c>
      <c r="AB264" s="868" t="s">
        <v>179</v>
      </c>
      <c r="AC264" s="869" t="s">
        <v>1750</v>
      </c>
    </row>
    <row r="265" spans="1:29" ht="31.5" thickBot="1">
      <c r="A265" s="871" t="s">
        <v>800</v>
      </c>
      <c r="B265" s="807" t="s">
        <v>801</v>
      </c>
      <c r="C265" s="872" t="s">
        <v>1750</v>
      </c>
      <c r="D265" s="873" t="s">
        <v>43</v>
      </c>
      <c r="E265" s="847" t="s">
        <v>1750</v>
      </c>
      <c r="F265" s="873" t="s">
        <v>43</v>
      </c>
      <c r="G265" s="819">
        <v>1E-3</v>
      </c>
      <c r="H265" s="874" t="s">
        <v>280</v>
      </c>
      <c r="I265" s="847" t="s">
        <v>1750</v>
      </c>
      <c r="J265" s="873" t="s">
        <v>43</v>
      </c>
      <c r="K265" s="873" t="s">
        <v>43</v>
      </c>
      <c r="L265" s="873" t="s">
        <v>43</v>
      </c>
      <c r="M265" s="874">
        <v>1</v>
      </c>
      <c r="N265" s="874">
        <v>0.1</v>
      </c>
      <c r="O265" s="875" t="s">
        <v>1750</v>
      </c>
      <c r="P265" s="876">
        <v>63</v>
      </c>
      <c r="Q265" s="877" t="s">
        <v>179</v>
      </c>
      <c r="R265" s="876">
        <v>820</v>
      </c>
      <c r="S265" s="877" t="s">
        <v>179</v>
      </c>
      <c r="T265" s="878" t="s">
        <v>1750</v>
      </c>
      <c r="U265" s="879" t="s">
        <v>43</v>
      </c>
      <c r="V265" s="878" t="s">
        <v>1750</v>
      </c>
      <c r="W265" s="879" t="s">
        <v>43</v>
      </c>
      <c r="X265" s="876">
        <v>18</v>
      </c>
      <c r="Y265" s="880" t="s">
        <v>179</v>
      </c>
      <c r="Z265" s="881" t="s">
        <v>43</v>
      </c>
      <c r="AA265" s="882">
        <v>2.1000000000000001E-2</v>
      </c>
      <c r="AB265" s="883" t="s">
        <v>179</v>
      </c>
      <c r="AC265" s="884" t="s">
        <v>1750</v>
      </c>
    </row>
    <row r="266" spans="1:29" ht="30.75">
      <c r="A266" s="856" t="s">
        <v>803</v>
      </c>
      <c r="B266" s="792" t="s">
        <v>804</v>
      </c>
      <c r="C266" s="889">
        <v>4.4999999999999998E-2</v>
      </c>
      <c r="D266" s="859" t="s">
        <v>3</v>
      </c>
      <c r="E266" s="804">
        <v>1.2999999999999999E-5</v>
      </c>
      <c r="F266" s="859" t="s">
        <v>3</v>
      </c>
      <c r="G266" s="843" t="s">
        <v>1750</v>
      </c>
      <c r="H266" s="858" t="s">
        <v>43</v>
      </c>
      <c r="I266" s="843" t="s">
        <v>1750</v>
      </c>
      <c r="J266" s="858" t="s">
        <v>43</v>
      </c>
      <c r="K266" s="859" t="s">
        <v>1634</v>
      </c>
      <c r="L266" s="858" t="s">
        <v>43</v>
      </c>
      <c r="M266" s="859">
        <v>1</v>
      </c>
      <c r="N266" s="870" t="s">
        <v>1750</v>
      </c>
      <c r="O266" s="805">
        <v>473</v>
      </c>
      <c r="P266" s="861">
        <v>1.1000000000000001</v>
      </c>
      <c r="Q266" s="862" t="s">
        <v>2283</v>
      </c>
      <c r="R266" s="861">
        <v>4.8</v>
      </c>
      <c r="S266" s="862" t="s">
        <v>2283</v>
      </c>
      <c r="T266" s="861">
        <v>0.22</v>
      </c>
      <c r="U266" s="862" t="s">
        <v>2283</v>
      </c>
      <c r="V266" s="861">
        <v>0.94</v>
      </c>
      <c r="W266" s="862" t="s">
        <v>2283</v>
      </c>
      <c r="X266" s="861">
        <v>0.33</v>
      </c>
      <c r="Y266" s="865" t="s">
        <v>2283</v>
      </c>
      <c r="Z266" s="866" t="s">
        <v>43</v>
      </c>
      <c r="AA266" s="867">
        <v>1.1E-4</v>
      </c>
      <c r="AB266" s="868" t="s">
        <v>2283</v>
      </c>
      <c r="AC266" s="869" t="s">
        <v>1750</v>
      </c>
    </row>
    <row r="267" spans="1:29" ht="30.75">
      <c r="A267" s="856" t="s">
        <v>805</v>
      </c>
      <c r="B267" s="792" t="s">
        <v>806</v>
      </c>
      <c r="C267" s="857" t="s">
        <v>1750</v>
      </c>
      <c r="D267" s="858" t="s">
        <v>43</v>
      </c>
      <c r="E267" s="843" t="s">
        <v>1750</v>
      </c>
      <c r="F267" s="858" t="s">
        <v>43</v>
      </c>
      <c r="G267" s="804">
        <v>8.0000000000000007E-5</v>
      </c>
      <c r="H267" s="859" t="s">
        <v>0</v>
      </c>
      <c r="I267" s="843" t="s">
        <v>1750</v>
      </c>
      <c r="J267" s="858" t="s">
        <v>43</v>
      </c>
      <c r="K267" s="858" t="s">
        <v>43</v>
      </c>
      <c r="L267" s="858" t="s">
        <v>43</v>
      </c>
      <c r="M267" s="859">
        <v>1</v>
      </c>
      <c r="N267" s="859">
        <v>0.1</v>
      </c>
      <c r="O267" s="860" t="s">
        <v>1750</v>
      </c>
      <c r="P267" s="861">
        <v>5.0999999999999996</v>
      </c>
      <c r="Q267" s="862" t="s">
        <v>179</v>
      </c>
      <c r="R267" s="861">
        <v>66</v>
      </c>
      <c r="S267" s="862" t="s">
        <v>179</v>
      </c>
      <c r="T267" s="863" t="s">
        <v>1750</v>
      </c>
      <c r="U267" s="864" t="s">
        <v>43</v>
      </c>
      <c r="V267" s="863" t="s">
        <v>1750</v>
      </c>
      <c r="W267" s="864" t="s">
        <v>43</v>
      </c>
      <c r="X267" s="861">
        <v>1.5</v>
      </c>
      <c r="Y267" s="865" t="s">
        <v>179</v>
      </c>
      <c r="Z267" s="866" t="s">
        <v>43</v>
      </c>
      <c r="AA267" s="867">
        <v>2.5999999999999999E-3</v>
      </c>
      <c r="AB267" s="868" t="s">
        <v>179</v>
      </c>
      <c r="AC267" s="869" t="s">
        <v>1750</v>
      </c>
    </row>
    <row r="268" spans="1:29" ht="46.5" thickBot="1">
      <c r="A268" s="871" t="s">
        <v>807</v>
      </c>
      <c r="B268" s="807" t="s">
        <v>808</v>
      </c>
      <c r="C268" s="872" t="s">
        <v>1750</v>
      </c>
      <c r="D268" s="873" t="s">
        <v>43</v>
      </c>
      <c r="E268" s="847" t="s">
        <v>1750</v>
      </c>
      <c r="F268" s="873" t="s">
        <v>43</v>
      </c>
      <c r="G268" s="819">
        <v>2E-3</v>
      </c>
      <c r="H268" s="874" t="s">
        <v>280</v>
      </c>
      <c r="I268" s="847" t="s">
        <v>1750</v>
      </c>
      <c r="J268" s="873" t="s">
        <v>43</v>
      </c>
      <c r="K268" s="873" t="s">
        <v>43</v>
      </c>
      <c r="L268" s="873" t="s">
        <v>43</v>
      </c>
      <c r="M268" s="874">
        <v>1</v>
      </c>
      <c r="N268" s="874">
        <v>0.1</v>
      </c>
      <c r="O268" s="875" t="s">
        <v>1750</v>
      </c>
      <c r="P268" s="876">
        <v>130</v>
      </c>
      <c r="Q268" s="877" t="s">
        <v>179</v>
      </c>
      <c r="R268" s="876">
        <v>1600</v>
      </c>
      <c r="S268" s="877" t="s">
        <v>179</v>
      </c>
      <c r="T268" s="878" t="s">
        <v>1750</v>
      </c>
      <c r="U268" s="879" t="s">
        <v>43</v>
      </c>
      <c r="V268" s="878" t="s">
        <v>1750</v>
      </c>
      <c r="W268" s="879" t="s">
        <v>43</v>
      </c>
      <c r="X268" s="876">
        <v>23</v>
      </c>
      <c r="Y268" s="880" t="s">
        <v>179</v>
      </c>
      <c r="Z268" s="881" t="s">
        <v>43</v>
      </c>
      <c r="AA268" s="882">
        <v>0.77</v>
      </c>
      <c r="AB268" s="883" t="s">
        <v>179</v>
      </c>
      <c r="AC268" s="884" t="s">
        <v>1750</v>
      </c>
    </row>
    <row r="269" spans="1:29" ht="30.75">
      <c r="A269" s="856" t="s">
        <v>809</v>
      </c>
      <c r="B269" s="792" t="s">
        <v>810</v>
      </c>
      <c r="C269" s="857" t="s">
        <v>1750</v>
      </c>
      <c r="D269" s="858" t="s">
        <v>43</v>
      </c>
      <c r="E269" s="843" t="s">
        <v>1750</v>
      </c>
      <c r="F269" s="858" t="s">
        <v>43</v>
      </c>
      <c r="G269" s="804">
        <v>1E-4</v>
      </c>
      <c r="H269" s="859" t="s">
        <v>281</v>
      </c>
      <c r="I269" s="843" t="s">
        <v>1750</v>
      </c>
      <c r="J269" s="858" t="s">
        <v>43</v>
      </c>
      <c r="K269" s="858" t="s">
        <v>43</v>
      </c>
      <c r="L269" s="858" t="s">
        <v>43</v>
      </c>
      <c r="M269" s="859">
        <v>1</v>
      </c>
      <c r="N269" s="859">
        <v>0.1</v>
      </c>
      <c r="O269" s="860" t="s">
        <v>1750</v>
      </c>
      <c r="P269" s="861">
        <v>6.3</v>
      </c>
      <c r="Q269" s="862" t="s">
        <v>179</v>
      </c>
      <c r="R269" s="861">
        <v>82</v>
      </c>
      <c r="S269" s="862" t="s">
        <v>179</v>
      </c>
      <c r="T269" s="863" t="s">
        <v>1750</v>
      </c>
      <c r="U269" s="864" t="s">
        <v>43</v>
      </c>
      <c r="V269" s="863" t="s">
        <v>1750</v>
      </c>
      <c r="W269" s="864" t="s">
        <v>43</v>
      </c>
      <c r="X269" s="861">
        <v>1.9</v>
      </c>
      <c r="Y269" s="865" t="s">
        <v>179</v>
      </c>
      <c r="Z269" s="866" t="s">
        <v>43</v>
      </c>
      <c r="AA269" s="867">
        <v>1.8E-3</v>
      </c>
      <c r="AB269" s="868" t="s">
        <v>179</v>
      </c>
      <c r="AC269" s="869" t="s">
        <v>1750</v>
      </c>
    </row>
    <row r="270" spans="1:29" ht="30.75">
      <c r="A270" s="856" t="s">
        <v>811</v>
      </c>
      <c r="B270" s="792" t="s">
        <v>812</v>
      </c>
      <c r="C270" s="857" t="s">
        <v>1750</v>
      </c>
      <c r="D270" s="858" t="s">
        <v>43</v>
      </c>
      <c r="E270" s="843" t="s">
        <v>1750</v>
      </c>
      <c r="F270" s="858" t="s">
        <v>43</v>
      </c>
      <c r="G270" s="804">
        <v>1E-4</v>
      </c>
      <c r="H270" s="859" t="s">
        <v>280</v>
      </c>
      <c r="I270" s="843" t="s">
        <v>1750</v>
      </c>
      <c r="J270" s="858" t="s">
        <v>43</v>
      </c>
      <c r="K270" s="858" t="s">
        <v>43</v>
      </c>
      <c r="L270" s="858" t="s">
        <v>43</v>
      </c>
      <c r="M270" s="859">
        <v>1</v>
      </c>
      <c r="N270" s="859">
        <v>0.1</v>
      </c>
      <c r="O270" s="860" t="s">
        <v>1750</v>
      </c>
      <c r="P270" s="861">
        <v>6.3</v>
      </c>
      <c r="Q270" s="862" t="s">
        <v>179</v>
      </c>
      <c r="R270" s="861">
        <v>82</v>
      </c>
      <c r="S270" s="862" t="s">
        <v>179</v>
      </c>
      <c r="T270" s="863" t="s">
        <v>1750</v>
      </c>
      <c r="U270" s="864" t="s">
        <v>43</v>
      </c>
      <c r="V270" s="863" t="s">
        <v>1750</v>
      </c>
      <c r="W270" s="864" t="s">
        <v>43</v>
      </c>
      <c r="X270" s="861">
        <v>2</v>
      </c>
      <c r="Y270" s="865" t="s">
        <v>179</v>
      </c>
      <c r="Z270" s="866" t="s">
        <v>43</v>
      </c>
      <c r="AA270" s="867">
        <v>1.8E-3</v>
      </c>
      <c r="AB270" s="868" t="s">
        <v>179</v>
      </c>
      <c r="AC270" s="869" t="s">
        <v>1750</v>
      </c>
    </row>
    <row r="271" spans="1:29" ht="31.5" thickBot="1">
      <c r="A271" s="871" t="s">
        <v>813</v>
      </c>
      <c r="B271" s="807" t="s">
        <v>814</v>
      </c>
      <c r="C271" s="872" t="s">
        <v>1750</v>
      </c>
      <c r="D271" s="873" t="s">
        <v>43</v>
      </c>
      <c r="E271" s="847" t="s">
        <v>1750</v>
      </c>
      <c r="F271" s="873" t="s">
        <v>43</v>
      </c>
      <c r="G271" s="819">
        <v>1E-4</v>
      </c>
      <c r="H271" s="874" t="s">
        <v>281</v>
      </c>
      <c r="I271" s="847" t="s">
        <v>1750</v>
      </c>
      <c r="J271" s="873" t="s">
        <v>43</v>
      </c>
      <c r="K271" s="873" t="s">
        <v>43</v>
      </c>
      <c r="L271" s="873" t="s">
        <v>43</v>
      </c>
      <c r="M271" s="874">
        <v>1</v>
      </c>
      <c r="N271" s="874">
        <v>0.1</v>
      </c>
      <c r="O271" s="875" t="s">
        <v>1750</v>
      </c>
      <c r="P271" s="876">
        <v>6.3</v>
      </c>
      <c r="Q271" s="877" t="s">
        <v>179</v>
      </c>
      <c r="R271" s="876">
        <v>82</v>
      </c>
      <c r="S271" s="877" t="s">
        <v>179</v>
      </c>
      <c r="T271" s="878" t="s">
        <v>1750</v>
      </c>
      <c r="U271" s="879" t="s">
        <v>43</v>
      </c>
      <c r="V271" s="878" t="s">
        <v>1750</v>
      </c>
      <c r="W271" s="879" t="s">
        <v>43</v>
      </c>
      <c r="X271" s="876">
        <v>2</v>
      </c>
      <c r="Y271" s="880" t="s">
        <v>179</v>
      </c>
      <c r="Z271" s="881" t="s">
        <v>43</v>
      </c>
      <c r="AA271" s="882">
        <v>1.8E-3</v>
      </c>
      <c r="AB271" s="883" t="s">
        <v>179</v>
      </c>
      <c r="AC271" s="884" t="s">
        <v>1750</v>
      </c>
    </row>
    <row r="272" spans="1:29" ht="15.75">
      <c r="A272" s="856" t="s">
        <v>815</v>
      </c>
      <c r="B272" s="792" t="s">
        <v>816</v>
      </c>
      <c r="C272" s="857" t="s">
        <v>1750</v>
      </c>
      <c r="D272" s="858" t="s">
        <v>43</v>
      </c>
      <c r="E272" s="843" t="s">
        <v>1750</v>
      </c>
      <c r="F272" s="858" t="s">
        <v>43</v>
      </c>
      <c r="G272" s="804">
        <v>2E-3</v>
      </c>
      <c r="H272" s="859" t="s">
        <v>280</v>
      </c>
      <c r="I272" s="843" t="s">
        <v>1750</v>
      </c>
      <c r="J272" s="858" t="s">
        <v>43</v>
      </c>
      <c r="K272" s="858" t="s">
        <v>43</v>
      </c>
      <c r="L272" s="858" t="s">
        <v>43</v>
      </c>
      <c r="M272" s="859">
        <v>1</v>
      </c>
      <c r="N272" s="859">
        <v>0.1</v>
      </c>
      <c r="O272" s="860" t="s">
        <v>1750</v>
      </c>
      <c r="P272" s="861">
        <v>130</v>
      </c>
      <c r="Q272" s="862" t="s">
        <v>179</v>
      </c>
      <c r="R272" s="861">
        <v>1600</v>
      </c>
      <c r="S272" s="862" t="s">
        <v>179</v>
      </c>
      <c r="T272" s="863" t="s">
        <v>1750</v>
      </c>
      <c r="U272" s="864" t="s">
        <v>43</v>
      </c>
      <c r="V272" s="863" t="s">
        <v>1750</v>
      </c>
      <c r="W272" s="864" t="s">
        <v>43</v>
      </c>
      <c r="X272" s="861">
        <v>39</v>
      </c>
      <c r="Y272" s="865" t="s">
        <v>179</v>
      </c>
      <c r="Z272" s="866" t="s">
        <v>43</v>
      </c>
      <c r="AA272" s="867">
        <v>4.3999999999999997E-2</v>
      </c>
      <c r="AB272" s="868" t="s">
        <v>179</v>
      </c>
      <c r="AC272" s="869" t="s">
        <v>1750</v>
      </c>
    </row>
    <row r="273" spans="1:29" ht="30.75">
      <c r="A273" s="856" t="s">
        <v>817</v>
      </c>
      <c r="B273" s="792" t="s">
        <v>2408</v>
      </c>
      <c r="C273" s="889">
        <v>0.68</v>
      </c>
      <c r="D273" s="859" t="s">
        <v>280</v>
      </c>
      <c r="E273" s="843" t="s">
        <v>1750</v>
      </c>
      <c r="F273" s="858" t="s">
        <v>43</v>
      </c>
      <c r="G273" s="843" t="s">
        <v>1750</v>
      </c>
      <c r="H273" s="858" t="s">
        <v>43</v>
      </c>
      <c r="I273" s="843" t="s">
        <v>1750</v>
      </c>
      <c r="J273" s="858" t="s">
        <v>43</v>
      </c>
      <c r="K273" s="858" t="s">
        <v>43</v>
      </c>
      <c r="L273" s="858" t="s">
        <v>43</v>
      </c>
      <c r="M273" s="859">
        <v>1</v>
      </c>
      <c r="N273" s="859">
        <v>0.1</v>
      </c>
      <c r="O273" s="860" t="s">
        <v>1750</v>
      </c>
      <c r="P273" s="861">
        <v>0.8</v>
      </c>
      <c r="Q273" s="862" t="s">
        <v>2283</v>
      </c>
      <c r="R273" s="861">
        <v>3.4</v>
      </c>
      <c r="S273" s="862" t="s">
        <v>2283</v>
      </c>
      <c r="T273" s="863" t="s">
        <v>1750</v>
      </c>
      <c r="U273" s="864" t="s">
        <v>43</v>
      </c>
      <c r="V273" s="863" t="s">
        <v>1750</v>
      </c>
      <c r="W273" s="864" t="s">
        <v>43</v>
      </c>
      <c r="X273" s="861">
        <v>0.11</v>
      </c>
      <c r="Y273" s="865" t="s">
        <v>2283</v>
      </c>
      <c r="Z273" s="866" t="s">
        <v>43</v>
      </c>
      <c r="AA273" s="867">
        <v>1.4999999999999999E-4</v>
      </c>
      <c r="AB273" s="868" t="s">
        <v>2283</v>
      </c>
      <c r="AC273" s="869" t="s">
        <v>1750</v>
      </c>
    </row>
    <row r="274" spans="1:29" ht="16.5" thickBot="1">
      <c r="A274" s="871" t="s">
        <v>819</v>
      </c>
      <c r="B274" s="807" t="s">
        <v>820</v>
      </c>
      <c r="C274" s="890">
        <v>0.31</v>
      </c>
      <c r="D274" s="874" t="s">
        <v>3</v>
      </c>
      <c r="E274" s="819">
        <v>8.8999999999999995E-5</v>
      </c>
      <c r="F274" s="874" t="s">
        <v>3</v>
      </c>
      <c r="G274" s="819">
        <v>2E-3</v>
      </c>
      <c r="H274" s="874" t="s">
        <v>280</v>
      </c>
      <c r="I274" s="847" t="s">
        <v>1750</v>
      </c>
      <c r="J274" s="873" t="s">
        <v>43</v>
      </c>
      <c r="K274" s="873" t="s">
        <v>43</v>
      </c>
      <c r="L274" s="873" t="s">
        <v>43</v>
      </c>
      <c r="M274" s="874">
        <v>1</v>
      </c>
      <c r="N274" s="874">
        <v>0.10199999999999999</v>
      </c>
      <c r="O274" s="875" t="s">
        <v>1750</v>
      </c>
      <c r="P274" s="876">
        <v>1.7</v>
      </c>
      <c r="Q274" s="877" t="s">
        <v>2279</v>
      </c>
      <c r="R274" s="876">
        <v>7.4</v>
      </c>
      <c r="S274" s="877" t="s">
        <v>2283</v>
      </c>
      <c r="T274" s="876">
        <v>3.2000000000000001E-2</v>
      </c>
      <c r="U274" s="877" t="s">
        <v>2283</v>
      </c>
      <c r="V274" s="876">
        <v>0.14000000000000001</v>
      </c>
      <c r="W274" s="877" t="s">
        <v>2283</v>
      </c>
      <c r="X274" s="876">
        <v>0.24</v>
      </c>
      <c r="Y274" s="880" t="s">
        <v>2283</v>
      </c>
      <c r="Z274" s="881" t="s">
        <v>43</v>
      </c>
      <c r="AA274" s="882">
        <v>3.2000000000000003E-4</v>
      </c>
      <c r="AB274" s="883" t="s">
        <v>2283</v>
      </c>
      <c r="AC274" s="884" t="s">
        <v>1750</v>
      </c>
    </row>
    <row r="275" spans="1:29" ht="15.75">
      <c r="A275" s="856" t="s">
        <v>821</v>
      </c>
      <c r="B275" s="792" t="s">
        <v>822</v>
      </c>
      <c r="C275" s="889">
        <v>1.5</v>
      </c>
      <c r="D275" s="859" t="s">
        <v>281</v>
      </c>
      <c r="E275" s="843" t="s">
        <v>1750</v>
      </c>
      <c r="F275" s="858" t="s">
        <v>43</v>
      </c>
      <c r="G275" s="804">
        <v>2.9999999999999997E-4</v>
      </c>
      <c r="H275" s="859" t="s">
        <v>0</v>
      </c>
      <c r="I275" s="843" t="s">
        <v>1750</v>
      </c>
      <c r="J275" s="858" t="s">
        <v>43</v>
      </c>
      <c r="K275" s="858" t="s">
        <v>43</v>
      </c>
      <c r="L275" s="858" t="s">
        <v>43</v>
      </c>
      <c r="M275" s="859">
        <v>1</v>
      </c>
      <c r="N275" s="859">
        <v>9.9000000000000005E-2</v>
      </c>
      <c r="O275" s="860" t="s">
        <v>1750</v>
      </c>
      <c r="P275" s="861">
        <v>0.36</v>
      </c>
      <c r="Q275" s="862" t="s">
        <v>2279</v>
      </c>
      <c r="R275" s="861">
        <v>1.5</v>
      </c>
      <c r="S275" s="862" t="s">
        <v>2283</v>
      </c>
      <c r="T275" s="863" t="s">
        <v>1750</v>
      </c>
      <c r="U275" s="864" t="s">
        <v>43</v>
      </c>
      <c r="V275" s="863" t="s">
        <v>1750</v>
      </c>
      <c r="W275" s="864" t="s">
        <v>43</v>
      </c>
      <c r="X275" s="861">
        <v>4.9000000000000002E-2</v>
      </c>
      <c r="Y275" s="865" t="s">
        <v>2283</v>
      </c>
      <c r="Z275" s="866" t="s">
        <v>43</v>
      </c>
      <c r="AA275" s="867">
        <v>6.7000000000000002E-5</v>
      </c>
      <c r="AB275" s="868" t="s">
        <v>2283</v>
      </c>
      <c r="AC275" s="869" t="s">
        <v>1750</v>
      </c>
    </row>
    <row r="276" spans="1:29" ht="30.75">
      <c r="A276" s="856" t="s">
        <v>823</v>
      </c>
      <c r="B276" s="792" t="s">
        <v>824</v>
      </c>
      <c r="C276" s="857" t="s">
        <v>1750</v>
      </c>
      <c r="D276" s="858" t="s">
        <v>43</v>
      </c>
      <c r="E276" s="843" t="s">
        <v>1750</v>
      </c>
      <c r="F276" s="858" t="s">
        <v>43</v>
      </c>
      <c r="G276" s="804">
        <v>2E-3</v>
      </c>
      <c r="H276" s="859" t="s">
        <v>14</v>
      </c>
      <c r="I276" s="843" t="s">
        <v>1750</v>
      </c>
      <c r="J276" s="858" t="s">
        <v>43</v>
      </c>
      <c r="K276" s="858" t="s">
        <v>43</v>
      </c>
      <c r="L276" s="858" t="s">
        <v>43</v>
      </c>
      <c r="M276" s="859">
        <v>1</v>
      </c>
      <c r="N276" s="859">
        <v>6.0000000000000001E-3</v>
      </c>
      <c r="O276" s="860" t="s">
        <v>1750</v>
      </c>
      <c r="P276" s="861">
        <v>150</v>
      </c>
      <c r="Q276" s="862" t="s">
        <v>179</v>
      </c>
      <c r="R276" s="861">
        <v>2300</v>
      </c>
      <c r="S276" s="862" t="s">
        <v>179</v>
      </c>
      <c r="T276" s="863" t="s">
        <v>1750</v>
      </c>
      <c r="U276" s="864" t="s">
        <v>43</v>
      </c>
      <c r="V276" s="863" t="s">
        <v>1750</v>
      </c>
      <c r="W276" s="864" t="s">
        <v>43</v>
      </c>
      <c r="X276" s="861">
        <v>39</v>
      </c>
      <c r="Y276" s="865" t="s">
        <v>179</v>
      </c>
      <c r="Z276" s="866" t="s">
        <v>43</v>
      </c>
      <c r="AA276" s="867">
        <v>0.03</v>
      </c>
      <c r="AB276" s="868" t="s">
        <v>179</v>
      </c>
      <c r="AC276" s="869" t="s">
        <v>1750</v>
      </c>
    </row>
    <row r="277" spans="1:29" ht="31.5" thickBot="1">
      <c r="A277" s="871" t="s">
        <v>825</v>
      </c>
      <c r="B277" s="807" t="s">
        <v>826</v>
      </c>
      <c r="C277" s="872" t="s">
        <v>1750</v>
      </c>
      <c r="D277" s="873" t="s">
        <v>43</v>
      </c>
      <c r="E277" s="847" t="s">
        <v>1750</v>
      </c>
      <c r="F277" s="873" t="s">
        <v>43</v>
      </c>
      <c r="G277" s="819">
        <v>2E-3</v>
      </c>
      <c r="H277" s="874" t="s">
        <v>14</v>
      </c>
      <c r="I277" s="847" t="s">
        <v>1750</v>
      </c>
      <c r="J277" s="873" t="s">
        <v>43</v>
      </c>
      <c r="K277" s="873" t="s">
        <v>43</v>
      </c>
      <c r="L277" s="873" t="s">
        <v>43</v>
      </c>
      <c r="M277" s="874">
        <v>1</v>
      </c>
      <c r="N277" s="874">
        <v>8.9999999999999993E-3</v>
      </c>
      <c r="O277" s="875" t="s">
        <v>1750</v>
      </c>
      <c r="P277" s="876">
        <v>150</v>
      </c>
      <c r="Q277" s="877" t="s">
        <v>179</v>
      </c>
      <c r="R277" s="876">
        <v>2300</v>
      </c>
      <c r="S277" s="877" t="s">
        <v>179</v>
      </c>
      <c r="T277" s="878" t="s">
        <v>1750</v>
      </c>
      <c r="U277" s="879" t="s">
        <v>43</v>
      </c>
      <c r="V277" s="878" t="s">
        <v>1750</v>
      </c>
      <c r="W277" s="879" t="s">
        <v>43</v>
      </c>
      <c r="X277" s="876">
        <v>39</v>
      </c>
      <c r="Y277" s="880" t="s">
        <v>179</v>
      </c>
      <c r="Z277" s="881" t="s">
        <v>43</v>
      </c>
      <c r="AA277" s="882">
        <v>0.03</v>
      </c>
      <c r="AB277" s="883" t="s">
        <v>179</v>
      </c>
      <c r="AC277" s="884" t="s">
        <v>1750</v>
      </c>
    </row>
    <row r="278" spans="1:29" ht="30.75">
      <c r="A278" s="856" t="s">
        <v>2055</v>
      </c>
      <c r="B278" s="792" t="s">
        <v>818</v>
      </c>
      <c r="C278" s="889">
        <v>0.45</v>
      </c>
      <c r="D278" s="859" t="s">
        <v>0</v>
      </c>
      <c r="E278" s="843" t="s">
        <v>1750</v>
      </c>
      <c r="F278" s="858" t="s">
        <v>43</v>
      </c>
      <c r="G278" s="804">
        <v>8.9999999999999998E-4</v>
      </c>
      <c r="H278" s="859" t="s">
        <v>0</v>
      </c>
      <c r="I278" s="843" t="s">
        <v>1750</v>
      </c>
      <c r="J278" s="858" t="s">
        <v>43</v>
      </c>
      <c r="K278" s="858" t="s">
        <v>43</v>
      </c>
      <c r="L278" s="858" t="s">
        <v>43</v>
      </c>
      <c r="M278" s="859">
        <v>1</v>
      </c>
      <c r="N278" s="859">
        <v>0.1</v>
      </c>
      <c r="O278" s="860" t="s">
        <v>1750</v>
      </c>
      <c r="P278" s="861">
        <v>1.2</v>
      </c>
      <c r="Q278" s="862" t="s">
        <v>2279</v>
      </c>
      <c r="R278" s="861">
        <v>5.0999999999999996</v>
      </c>
      <c r="S278" s="862" t="s">
        <v>2283</v>
      </c>
      <c r="T278" s="863" t="s">
        <v>1750</v>
      </c>
      <c r="U278" s="864" t="s">
        <v>43</v>
      </c>
      <c r="V278" s="863" t="s">
        <v>1750</v>
      </c>
      <c r="W278" s="864" t="s">
        <v>43</v>
      </c>
      <c r="X278" s="861">
        <v>0.1</v>
      </c>
      <c r="Y278" s="865" t="s">
        <v>2283</v>
      </c>
      <c r="Z278" s="866" t="s">
        <v>43</v>
      </c>
      <c r="AA278" s="867">
        <v>1.3999999999999999E-4</v>
      </c>
      <c r="AB278" s="868" t="s">
        <v>2283</v>
      </c>
      <c r="AC278" s="869" t="s">
        <v>1750</v>
      </c>
    </row>
    <row r="279" spans="1:29" ht="15.75">
      <c r="A279" s="856" t="s">
        <v>827</v>
      </c>
      <c r="B279" s="792" t="s">
        <v>828</v>
      </c>
      <c r="C279" s="857" t="s">
        <v>1750</v>
      </c>
      <c r="D279" s="858" t="s">
        <v>43</v>
      </c>
      <c r="E279" s="843" t="s">
        <v>1750</v>
      </c>
      <c r="F279" s="858" t="s">
        <v>43</v>
      </c>
      <c r="G279" s="804">
        <v>1E-3</v>
      </c>
      <c r="H279" s="859" t="s">
        <v>280</v>
      </c>
      <c r="I279" s="843" t="s">
        <v>1750</v>
      </c>
      <c r="J279" s="858" t="s">
        <v>43</v>
      </c>
      <c r="K279" s="858" t="s">
        <v>43</v>
      </c>
      <c r="L279" s="858" t="s">
        <v>43</v>
      </c>
      <c r="M279" s="859">
        <v>1</v>
      </c>
      <c r="N279" s="859">
        <v>0.1</v>
      </c>
      <c r="O279" s="860" t="s">
        <v>1750</v>
      </c>
      <c r="P279" s="861">
        <v>63</v>
      </c>
      <c r="Q279" s="862" t="s">
        <v>179</v>
      </c>
      <c r="R279" s="861">
        <v>820</v>
      </c>
      <c r="S279" s="862" t="s">
        <v>179</v>
      </c>
      <c r="T279" s="863" t="s">
        <v>1750</v>
      </c>
      <c r="U279" s="864" t="s">
        <v>43</v>
      </c>
      <c r="V279" s="863" t="s">
        <v>1750</v>
      </c>
      <c r="W279" s="864" t="s">
        <v>43</v>
      </c>
      <c r="X279" s="861">
        <v>15</v>
      </c>
      <c r="Y279" s="865" t="s">
        <v>179</v>
      </c>
      <c r="Z279" s="891">
        <v>7</v>
      </c>
      <c r="AA279" s="867">
        <v>0.13</v>
      </c>
      <c r="AB279" s="868" t="s">
        <v>179</v>
      </c>
      <c r="AC279" s="892">
        <v>6.2E-2</v>
      </c>
    </row>
    <row r="280" spans="1:29" ht="16.5" thickBot="1">
      <c r="A280" s="871" t="s">
        <v>829</v>
      </c>
      <c r="B280" s="807" t="s">
        <v>830</v>
      </c>
      <c r="C280" s="890">
        <v>0.1</v>
      </c>
      <c r="D280" s="874" t="s">
        <v>280</v>
      </c>
      <c r="E280" s="819">
        <v>5.0000000000000004E-6</v>
      </c>
      <c r="F280" s="874" t="s">
        <v>280</v>
      </c>
      <c r="G280" s="819">
        <v>0.03</v>
      </c>
      <c r="H280" s="874" t="s">
        <v>280</v>
      </c>
      <c r="I280" s="819">
        <v>0.03</v>
      </c>
      <c r="J280" s="874" t="s">
        <v>280</v>
      </c>
      <c r="K280" s="874" t="s">
        <v>1634</v>
      </c>
      <c r="L280" s="873" t="s">
        <v>43</v>
      </c>
      <c r="M280" s="874">
        <v>1</v>
      </c>
      <c r="N280" s="888" t="s">
        <v>1750</v>
      </c>
      <c r="O280" s="820">
        <v>116000</v>
      </c>
      <c r="P280" s="876">
        <v>5.3</v>
      </c>
      <c r="Q280" s="877" t="s">
        <v>2283</v>
      </c>
      <c r="R280" s="876">
        <v>24</v>
      </c>
      <c r="S280" s="877" t="s">
        <v>2283</v>
      </c>
      <c r="T280" s="876">
        <v>0.56000000000000005</v>
      </c>
      <c r="U280" s="877" t="s">
        <v>2279</v>
      </c>
      <c r="V280" s="876">
        <v>2.5</v>
      </c>
      <c r="W280" s="877" t="s">
        <v>2279</v>
      </c>
      <c r="X280" s="876">
        <v>0.46</v>
      </c>
      <c r="Y280" s="880" t="s">
        <v>2283</v>
      </c>
      <c r="Z280" s="881" t="s">
        <v>43</v>
      </c>
      <c r="AA280" s="882">
        <v>9.3999999999999994E-5</v>
      </c>
      <c r="AB280" s="883" t="s">
        <v>2283</v>
      </c>
      <c r="AC280" s="884" t="s">
        <v>1750</v>
      </c>
    </row>
    <row r="281" spans="1:29" ht="15.75">
      <c r="A281" s="856" t="s">
        <v>831</v>
      </c>
      <c r="B281" s="792" t="s">
        <v>43</v>
      </c>
      <c r="C281" s="857" t="s">
        <v>1750</v>
      </c>
      <c r="D281" s="858" t="s">
        <v>43</v>
      </c>
      <c r="E281" s="843" t="s">
        <v>1750</v>
      </c>
      <c r="F281" s="858" t="s">
        <v>43</v>
      </c>
      <c r="G281" s="843" t="s">
        <v>1750</v>
      </c>
      <c r="H281" s="858" t="s">
        <v>43</v>
      </c>
      <c r="I281" s="843" t="s">
        <v>1750</v>
      </c>
      <c r="J281" s="858" t="s">
        <v>43</v>
      </c>
      <c r="K281" s="858" t="s">
        <v>43</v>
      </c>
      <c r="L281" s="858" t="s">
        <v>43</v>
      </c>
      <c r="M281" s="870" t="s">
        <v>1750</v>
      </c>
      <c r="N281" s="870" t="s">
        <v>1750</v>
      </c>
      <c r="O281" s="860" t="s">
        <v>1750</v>
      </c>
      <c r="P281" s="863" t="s">
        <v>1750</v>
      </c>
      <c r="Q281" s="864" t="s">
        <v>43</v>
      </c>
      <c r="R281" s="863" t="s">
        <v>1750</v>
      </c>
      <c r="S281" s="864" t="s">
        <v>43</v>
      </c>
      <c r="T281" s="863" t="s">
        <v>1750</v>
      </c>
      <c r="U281" s="864" t="s">
        <v>43</v>
      </c>
      <c r="V281" s="863" t="s">
        <v>1750</v>
      </c>
      <c r="W281" s="864" t="s">
        <v>43</v>
      </c>
      <c r="X281" s="863" t="s">
        <v>1750</v>
      </c>
      <c r="Y281" s="885" t="s">
        <v>43</v>
      </c>
      <c r="Z281" s="866" t="s">
        <v>43</v>
      </c>
      <c r="AA281" s="886" t="s">
        <v>1750</v>
      </c>
      <c r="AB281" s="887" t="s">
        <v>43</v>
      </c>
      <c r="AC281" s="869" t="s">
        <v>1750</v>
      </c>
    </row>
    <row r="282" spans="1:29" ht="45.75">
      <c r="A282" s="856" t="s">
        <v>832</v>
      </c>
      <c r="B282" s="792" t="s">
        <v>43</v>
      </c>
      <c r="C282" s="889">
        <v>6200</v>
      </c>
      <c r="D282" s="859" t="s">
        <v>280</v>
      </c>
      <c r="E282" s="804">
        <v>1.3</v>
      </c>
      <c r="F282" s="859" t="s">
        <v>280</v>
      </c>
      <c r="G282" s="843" t="s">
        <v>1750</v>
      </c>
      <c r="H282" s="858" t="s">
        <v>43</v>
      </c>
      <c r="I282" s="843" t="s">
        <v>1750</v>
      </c>
      <c r="J282" s="858" t="s">
        <v>43</v>
      </c>
      <c r="K282" s="858" t="s">
        <v>43</v>
      </c>
      <c r="L282" s="858" t="s">
        <v>43</v>
      </c>
      <c r="M282" s="859">
        <v>1</v>
      </c>
      <c r="N282" s="859">
        <v>0.03</v>
      </c>
      <c r="O282" s="860" t="s">
        <v>1750</v>
      </c>
      <c r="P282" s="861">
        <v>1E-4</v>
      </c>
      <c r="Q282" s="862" t="s">
        <v>2283</v>
      </c>
      <c r="R282" s="861">
        <v>4.6999999999999999E-4</v>
      </c>
      <c r="S282" s="862" t="s">
        <v>2283</v>
      </c>
      <c r="T282" s="861">
        <v>2.2000000000000001E-6</v>
      </c>
      <c r="U282" s="862" t="s">
        <v>2283</v>
      </c>
      <c r="V282" s="861">
        <v>9.3999999999999998E-6</v>
      </c>
      <c r="W282" s="862" t="s">
        <v>2283</v>
      </c>
      <c r="X282" s="861">
        <v>1.2999999999999999E-5</v>
      </c>
      <c r="Y282" s="865" t="s">
        <v>2283</v>
      </c>
      <c r="Z282" s="866" t="s">
        <v>43</v>
      </c>
      <c r="AA282" s="867">
        <v>1.7E-5</v>
      </c>
      <c r="AB282" s="868" t="s">
        <v>2283</v>
      </c>
      <c r="AC282" s="869" t="s">
        <v>1750</v>
      </c>
    </row>
    <row r="283" spans="1:29" ht="16.5" thickBot="1">
      <c r="A283" s="871" t="s">
        <v>833</v>
      </c>
      <c r="B283" s="807" t="s">
        <v>834</v>
      </c>
      <c r="C283" s="890">
        <v>130000</v>
      </c>
      <c r="D283" s="874" t="s">
        <v>3</v>
      </c>
      <c r="E283" s="819">
        <v>38</v>
      </c>
      <c r="F283" s="874" t="s">
        <v>3</v>
      </c>
      <c r="G283" s="819">
        <v>6.9999999999999996E-10</v>
      </c>
      <c r="H283" s="874" t="s">
        <v>280</v>
      </c>
      <c r="I283" s="819">
        <v>4.0000000000000001E-8</v>
      </c>
      <c r="J283" s="874" t="s">
        <v>3</v>
      </c>
      <c r="K283" s="874" t="s">
        <v>1634</v>
      </c>
      <c r="L283" s="873" t="s">
        <v>43</v>
      </c>
      <c r="M283" s="874">
        <v>1</v>
      </c>
      <c r="N283" s="874">
        <v>0.03</v>
      </c>
      <c r="O283" s="875" t="s">
        <v>1750</v>
      </c>
      <c r="P283" s="876">
        <v>4.7999999999999998E-6</v>
      </c>
      <c r="Q283" s="877" t="s">
        <v>2279</v>
      </c>
      <c r="R283" s="876">
        <v>2.1999999999999999E-5</v>
      </c>
      <c r="S283" s="877" t="s">
        <v>2279</v>
      </c>
      <c r="T283" s="876">
        <v>7.4000000000000001E-8</v>
      </c>
      <c r="U283" s="877" t="s">
        <v>2283</v>
      </c>
      <c r="V283" s="876">
        <v>3.2000000000000001E-7</v>
      </c>
      <c r="W283" s="877" t="s">
        <v>2283</v>
      </c>
      <c r="X283" s="876">
        <v>1.1999999999999999E-7</v>
      </c>
      <c r="Y283" s="880" t="s">
        <v>2283</v>
      </c>
      <c r="Z283" s="893">
        <v>3.0000000000000001E-5</v>
      </c>
      <c r="AA283" s="882">
        <v>5.8999999999999999E-8</v>
      </c>
      <c r="AB283" s="883" t="s">
        <v>2283</v>
      </c>
      <c r="AC283" s="894">
        <v>1.5E-5</v>
      </c>
    </row>
    <row r="284" spans="1:29" ht="15.75">
      <c r="A284" s="856" t="s">
        <v>835</v>
      </c>
      <c r="B284" s="792" t="s">
        <v>836</v>
      </c>
      <c r="C284" s="857" t="s">
        <v>1750</v>
      </c>
      <c r="D284" s="858" t="s">
        <v>43</v>
      </c>
      <c r="E284" s="843" t="s">
        <v>1750</v>
      </c>
      <c r="F284" s="858" t="s">
        <v>43</v>
      </c>
      <c r="G284" s="804">
        <v>0.03</v>
      </c>
      <c r="H284" s="859" t="s">
        <v>280</v>
      </c>
      <c r="I284" s="843" t="s">
        <v>1750</v>
      </c>
      <c r="J284" s="858" t="s">
        <v>43</v>
      </c>
      <c r="K284" s="858" t="s">
        <v>43</v>
      </c>
      <c r="L284" s="858" t="s">
        <v>43</v>
      </c>
      <c r="M284" s="859">
        <v>1</v>
      </c>
      <c r="N284" s="859">
        <v>0.1</v>
      </c>
      <c r="O284" s="860" t="s">
        <v>1750</v>
      </c>
      <c r="P284" s="861">
        <v>1900</v>
      </c>
      <c r="Q284" s="862" t="s">
        <v>179</v>
      </c>
      <c r="R284" s="861">
        <v>25000</v>
      </c>
      <c r="S284" s="862" t="s">
        <v>179</v>
      </c>
      <c r="T284" s="863" t="s">
        <v>1750</v>
      </c>
      <c r="U284" s="864" t="s">
        <v>43</v>
      </c>
      <c r="V284" s="863" t="s">
        <v>1750</v>
      </c>
      <c r="W284" s="864" t="s">
        <v>43</v>
      </c>
      <c r="X284" s="861">
        <v>530</v>
      </c>
      <c r="Y284" s="865" t="s">
        <v>179</v>
      </c>
      <c r="Z284" s="866" t="s">
        <v>43</v>
      </c>
      <c r="AA284" s="867">
        <v>5.2</v>
      </c>
      <c r="AB284" s="868" t="s">
        <v>179</v>
      </c>
      <c r="AC284" s="869" t="s">
        <v>1750</v>
      </c>
    </row>
    <row r="285" spans="1:29" ht="15.75">
      <c r="A285" s="856" t="s">
        <v>837</v>
      </c>
      <c r="B285" s="792" t="s">
        <v>838</v>
      </c>
      <c r="C285" s="857" t="s">
        <v>1750</v>
      </c>
      <c r="D285" s="858" t="s">
        <v>43</v>
      </c>
      <c r="E285" s="843" t="s">
        <v>1750</v>
      </c>
      <c r="F285" s="858" t="s">
        <v>43</v>
      </c>
      <c r="G285" s="804">
        <v>8.0000000000000004E-4</v>
      </c>
      <c r="H285" s="859" t="s">
        <v>0</v>
      </c>
      <c r="I285" s="843" t="s">
        <v>1750</v>
      </c>
      <c r="J285" s="858" t="s">
        <v>43</v>
      </c>
      <c r="K285" s="858" t="s">
        <v>43</v>
      </c>
      <c r="L285" s="858" t="s">
        <v>43</v>
      </c>
      <c r="M285" s="859">
        <v>1</v>
      </c>
      <c r="N285" s="859">
        <v>0.1</v>
      </c>
      <c r="O285" s="860" t="s">
        <v>1750</v>
      </c>
      <c r="P285" s="861">
        <v>51</v>
      </c>
      <c r="Q285" s="862" t="s">
        <v>179</v>
      </c>
      <c r="R285" s="861">
        <v>660</v>
      </c>
      <c r="S285" s="862" t="s">
        <v>179</v>
      </c>
      <c r="T285" s="863" t="s">
        <v>1750</v>
      </c>
      <c r="U285" s="864" t="s">
        <v>43</v>
      </c>
      <c r="V285" s="863" t="s">
        <v>1750</v>
      </c>
      <c r="W285" s="864" t="s">
        <v>43</v>
      </c>
      <c r="X285" s="861">
        <v>15</v>
      </c>
      <c r="Y285" s="865" t="s">
        <v>179</v>
      </c>
      <c r="Z285" s="866" t="s">
        <v>43</v>
      </c>
      <c r="AA285" s="867">
        <v>3.5999999999999997E-2</v>
      </c>
      <c r="AB285" s="868" t="s">
        <v>179</v>
      </c>
      <c r="AC285" s="869" t="s">
        <v>1750</v>
      </c>
    </row>
    <row r="286" spans="1:29" ht="16.5" thickBot="1">
      <c r="A286" s="871" t="s">
        <v>839</v>
      </c>
      <c r="B286" s="807" t="s">
        <v>840</v>
      </c>
      <c r="C286" s="872" t="s">
        <v>1750</v>
      </c>
      <c r="D286" s="873" t="s">
        <v>43</v>
      </c>
      <c r="E286" s="847" t="s">
        <v>1750</v>
      </c>
      <c r="F286" s="873" t="s">
        <v>43</v>
      </c>
      <c r="G286" s="819">
        <v>0.1</v>
      </c>
      <c r="H286" s="874" t="s">
        <v>2463</v>
      </c>
      <c r="I286" s="847" t="s">
        <v>1750</v>
      </c>
      <c r="J286" s="873" t="s">
        <v>43</v>
      </c>
      <c r="K286" s="873" t="s">
        <v>43</v>
      </c>
      <c r="L286" s="873" t="s">
        <v>43</v>
      </c>
      <c r="M286" s="874">
        <v>1</v>
      </c>
      <c r="N286" s="874">
        <v>0.1</v>
      </c>
      <c r="O286" s="875" t="s">
        <v>1750</v>
      </c>
      <c r="P286" s="876">
        <v>6300</v>
      </c>
      <c r="Q286" s="877" t="s">
        <v>179</v>
      </c>
      <c r="R286" s="876">
        <v>82000</v>
      </c>
      <c r="S286" s="877" t="s">
        <v>179</v>
      </c>
      <c r="T286" s="878" t="s">
        <v>1750</v>
      </c>
      <c r="U286" s="879" t="s">
        <v>43</v>
      </c>
      <c r="V286" s="878" t="s">
        <v>1750</v>
      </c>
      <c r="W286" s="879" t="s">
        <v>43</v>
      </c>
      <c r="X286" s="876">
        <v>1300</v>
      </c>
      <c r="Y286" s="880" t="s">
        <v>179</v>
      </c>
      <c r="Z286" s="881" t="s">
        <v>43</v>
      </c>
      <c r="AA286" s="882">
        <v>2.2999999999999998</v>
      </c>
      <c r="AB286" s="883" t="s">
        <v>179</v>
      </c>
      <c r="AC286" s="884" t="s">
        <v>1750</v>
      </c>
    </row>
    <row r="287" spans="1:29" ht="30.75">
      <c r="A287" s="856" t="s">
        <v>841</v>
      </c>
      <c r="B287" s="792" t="s">
        <v>842</v>
      </c>
      <c r="C287" s="889">
        <v>0.8</v>
      </c>
      <c r="D287" s="859" t="s">
        <v>280</v>
      </c>
      <c r="E287" s="804">
        <v>2.2000000000000001E-4</v>
      </c>
      <c r="F287" s="859" t="s">
        <v>280</v>
      </c>
      <c r="G287" s="843" t="s">
        <v>1750</v>
      </c>
      <c r="H287" s="858" t="s">
        <v>43</v>
      </c>
      <c r="I287" s="843" t="s">
        <v>1750</v>
      </c>
      <c r="J287" s="858" t="s">
        <v>43</v>
      </c>
      <c r="K287" s="858" t="s">
        <v>43</v>
      </c>
      <c r="L287" s="858" t="s">
        <v>43</v>
      </c>
      <c r="M287" s="859">
        <v>1</v>
      </c>
      <c r="N287" s="859">
        <v>0.1</v>
      </c>
      <c r="O287" s="860" t="s">
        <v>1750</v>
      </c>
      <c r="P287" s="861">
        <v>0.68</v>
      </c>
      <c r="Q287" s="862" t="s">
        <v>2283</v>
      </c>
      <c r="R287" s="861">
        <v>2.9</v>
      </c>
      <c r="S287" s="862" t="s">
        <v>2283</v>
      </c>
      <c r="T287" s="861">
        <v>1.2999999999999999E-2</v>
      </c>
      <c r="U287" s="862" t="s">
        <v>2283</v>
      </c>
      <c r="V287" s="861">
        <v>5.6000000000000001E-2</v>
      </c>
      <c r="W287" s="862" t="s">
        <v>2283</v>
      </c>
      <c r="X287" s="861">
        <v>7.8E-2</v>
      </c>
      <c r="Y287" s="865" t="s">
        <v>2283</v>
      </c>
      <c r="Z287" s="866" t="s">
        <v>43</v>
      </c>
      <c r="AA287" s="867">
        <v>2.5000000000000001E-4</v>
      </c>
      <c r="AB287" s="868" t="s">
        <v>2283</v>
      </c>
      <c r="AC287" s="869" t="s">
        <v>1750</v>
      </c>
    </row>
    <row r="288" spans="1:29" ht="15.75">
      <c r="A288" s="856" t="s">
        <v>843</v>
      </c>
      <c r="B288" s="792" t="s">
        <v>844</v>
      </c>
      <c r="C288" s="857" t="s">
        <v>1750</v>
      </c>
      <c r="D288" s="858" t="s">
        <v>43</v>
      </c>
      <c r="E288" s="843" t="s">
        <v>1750</v>
      </c>
      <c r="F288" s="858" t="s">
        <v>43</v>
      </c>
      <c r="G288" s="804">
        <v>2.2000000000000001E-3</v>
      </c>
      <c r="H288" s="859" t="s">
        <v>280</v>
      </c>
      <c r="I288" s="843" t="s">
        <v>1750</v>
      </c>
      <c r="J288" s="858" t="s">
        <v>43</v>
      </c>
      <c r="K288" s="858" t="s">
        <v>43</v>
      </c>
      <c r="L288" s="858" t="s">
        <v>43</v>
      </c>
      <c r="M288" s="859">
        <v>1</v>
      </c>
      <c r="N288" s="859">
        <v>0.1</v>
      </c>
      <c r="O288" s="860" t="s">
        <v>1750</v>
      </c>
      <c r="P288" s="861">
        <v>140</v>
      </c>
      <c r="Q288" s="862" t="s">
        <v>179</v>
      </c>
      <c r="R288" s="861">
        <v>1800</v>
      </c>
      <c r="S288" s="862" t="s">
        <v>179</v>
      </c>
      <c r="T288" s="863" t="s">
        <v>1750</v>
      </c>
      <c r="U288" s="864" t="s">
        <v>43</v>
      </c>
      <c r="V288" s="863" t="s">
        <v>1750</v>
      </c>
      <c r="W288" s="864" t="s">
        <v>43</v>
      </c>
      <c r="X288" s="861">
        <v>44</v>
      </c>
      <c r="Y288" s="865" t="s">
        <v>179</v>
      </c>
      <c r="Z288" s="891">
        <v>20</v>
      </c>
      <c r="AA288" s="867">
        <v>0.83</v>
      </c>
      <c r="AB288" s="868" t="s">
        <v>179</v>
      </c>
      <c r="AC288" s="892">
        <v>0.37</v>
      </c>
    </row>
    <row r="289" spans="1:29" ht="16.5" thickBot="1">
      <c r="A289" s="871" t="s">
        <v>845</v>
      </c>
      <c r="B289" s="807" t="s">
        <v>846</v>
      </c>
      <c r="C289" s="890">
        <v>7.1</v>
      </c>
      <c r="D289" s="874" t="s">
        <v>3</v>
      </c>
      <c r="E289" s="819">
        <v>0.14000000000000001</v>
      </c>
      <c r="F289" s="874" t="s">
        <v>3</v>
      </c>
      <c r="G289" s="847" t="s">
        <v>1750</v>
      </c>
      <c r="H289" s="873" t="s">
        <v>43</v>
      </c>
      <c r="I289" s="847" t="s">
        <v>1750</v>
      </c>
      <c r="J289" s="873" t="s">
        <v>43</v>
      </c>
      <c r="K289" s="873" t="s">
        <v>43</v>
      </c>
      <c r="L289" s="873" t="s">
        <v>43</v>
      </c>
      <c r="M289" s="874">
        <v>1</v>
      </c>
      <c r="N289" s="874">
        <v>0.1</v>
      </c>
      <c r="O289" s="875" t="s">
        <v>1750</v>
      </c>
      <c r="P289" s="876">
        <v>7.5999999999999998E-2</v>
      </c>
      <c r="Q289" s="877" t="s">
        <v>2283</v>
      </c>
      <c r="R289" s="876">
        <v>0.32</v>
      </c>
      <c r="S289" s="877" t="s">
        <v>2283</v>
      </c>
      <c r="T289" s="876">
        <v>2.0000000000000002E-5</v>
      </c>
      <c r="U289" s="877" t="s">
        <v>2283</v>
      </c>
      <c r="V289" s="876">
        <v>8.7999999999999998E-5</v>
      </c>
      <c r="W289" s="877" t="s">
        <v>2283</v>
      </c>
      <c r="X289" s="876">
        <v>1.0999999999999999E-2</v>
      </c>
      <c r="Y289" s="880" t="s">
        <v>2283</v>
      </c>
      <c r="Z289" s="881" t="s">
        <v>43</v>
      </c>
      <c r="AA289" s="882">
        <v>5.3</v>
      </c>
      <c r="AB289" s="883" t="s">
        <v>2283</v>
      </c>
      <c r="AC289" s="884" t="s">
        <v>1750</v>
      </c>
    </row>
    <row r="290" spans="1:29" ht="15.75">
      <c r="A290" s="856" t="s">
        <v>847</v>
      </c>
      <c r="B290" s="792" t="s">
        <v>848</v>
      </c>
      <c r="C290" s="889">
        <v>7.4</v>
      </c>
      <c r="D290" s="859" t="s">
        <v>3</v>
      </c>
      <c r="E290" s="804">
        <v>0.14000000000000001</v>
      </c>
      <c r="F290" s="859" t="s">
        <v>3</v>
      </c>
      <c r="G290" s="843" t="s">
        <v>1750</v>
      </c>
      <c r="H290" s="858" t="s">
        <v>43</v>
      </c>
      <c r="I290" s="843" t="s">
        <v>1750</v>
      </c>
      <c r="J290" s="858" t="s">
        <v>43</v>
      </c>
      <c r="K290" s="858" t="s">
        <v>43</v>
      </c>
      <c r="L290" s="858" t="s">
        <v>43</v>
      </c>
      <c r="M290" s="859">
        <v>1</v>
      </c>
      <c r="N290" s="859">
        <v>0.1</v>
      </c>
      <c r="O290" s="860" t="s">
        <v>1750</v>
      </c>
      <c r="P290" s="861">
        <v>7.2999999999999995E-2</v>
      </c>
      <c r="Q290" s="862" t="s">
        <v>2283</v>
      </c>
      <c r="R290" s="861">
        <v>0.31</v>
      </c>
      <c r="S290" s="862" t="s">
        <v>2283</v>
      </c>
      <c r="T290" s="861">
        <v>2.0000000000000002E-5</v>
      </c>
      <c r="U290" s="862" t="s">
        <v>2283</v>
      </c>
      <c r="V290" s="861">
        <v>8.7999999999999998E-5</v>
      </c>
      <c r="W290" s="862" t="s">
        <v>2283</v>
      </c>
      <c r="X290" s="861">
        <v>1.0999999999999999E-2</v>
      </c>
      <c r="Y290" s="865" t="s">
        <v>2283</v>
      </c>
      <c r="Z290" s="866" t="s">
        <v>43</v>
      </c>
      <c r="AA290" s="867">
        <v>17</v>
      </c>
      <c r="AB290" s="868" t="s">
        <v>2283</v>
      </c>
      <c r="AC290" s="869" t="s">
        <v>1750</v>
      </c>
    </row>
    <row r="291" spans="1:29" ht="30.75">
      <c r="A291" s="856" t="s">
        <v>849</v>
      </c>
      <c r="B291" s="792" t="s">
        <v>850</v>
      </c>
      <c r="C291" s="889">
        <v>6.7</v>
      </c>
      <c r="D291" s="859" t="s">
        <v>3</v>
      </c>
      <c r="E291" s="804">
        <v>0.14000000000000001</v>
      </c>
      <c r="F291" s="859" t="s">
        <v>3</v>
      </c>
      <c r="G291" s="843" t="s">
        <v>1750</v>
      </c>
      <c r="H291" s="858" t="s">
        <v>43</v>
      </c>
      <c r="I291" s="843" t="s">
        <v>1750</v>
      </c>
      <c r="J291" s="858" t="s">
        <v>43</v>
      </c>
      <c r="K291" s="858" t="s">
        <v>43</v>
      </c>
      <c r="L291" s="858" t="s">
        <v>43</v>
      </c>
      <c r="M291" s="859">
        <v>1</v>
      </c>
      <c r="N291" s="859">
        <v>0.1</v>
      </c>
      <c r="O291" s="860" t="s">
        <v>1750</v>
      </c>
      <c r="P291" s="861">
        <v>8.1000000000000003E-2</v>
      </c>
      <c r="Q291" s="862" t="s">
        <v>2283</v>
      </c>
      <c r="R291" s="861">
        <v>0.34</v>
      </c>
      <c r="S291" s="862" t="s">
        <v>2283</v>
      </c>
      <c r="T291" s="861">
        <v>2.0000000000000002E-5</v>
      </c>
      <c r="U291" s="862" t="s">
        <v>2283</v>
      </c>
      <c r="V291" s="861">
        <v>8.7999999999999998E-5</v>
      </c>
      <c r="W291" s="862" t="s">
        <v>2283</v>
      </c>
      <c r="X291" s="861">
        <v>1.2E-2</v>
      </c>
      <c r="Y291" s="865" t="s">
        <v>2283</v>
      </c>
      <c r="Z291" s="866" t="s">
        <v>43</v>
      </c>
      <c r="AA291" s="867">
        <v>0.16</v>
      </c>
      <c r="AB291" s="868" t="s">
        <v>2283</v>
      </c>
      <c r="AC291" s="869" t="s">
        <v>1750</v>
      </c>
    </row>
    <row r="292" spans="1:29" ht="16.5" thickBot="1">
      <c r="A292" s="871" t="s">
        <v>851</v>
      </c>
      <c r="B292" s="807" t="s">
        <v>852</v>
      </c>
      <c r="C292" s="872" t="s">
        <v>1750</v>
      </c>
      <c r="D292" s="873" t="s">
        <v>43</v>
      </c>
      <c r="E292" s="847" t="s">
        <v>1750</v>
      </c>
      <c r="F292" s="873" t="s">
        <v>43</v>
      </c>
      <c r="G292" s="819">
        <v>4.0000000000000003E-5</v>
      </c>
      <c r="H292" s="874" t="s">
        <v>280</v>
      </c>
      <c r="I292" s="847" t="s">
        <v>1750</v>
      </c>
      <c r="J292" s="873" t="s">
        <v>43</v>
      </c>
      <c r="K292" s="873" t="s">
        <v>43</v>
      </c>
      <c r="L292" s="873" t="s">
        <v>43</v>
      </c>
      <c r="M292" s="874">
        <v>1</v>
      </c>
      <c r="N292" s="874">
        <v>0.1</v>
      </c>
      <c r="O292" s="875" t="s">
        <v>1750</v>
      </c>
      <c r="P292" s="876">
        <v>2.5</v>
      </c>
      <c r="Q292" s="877" t="s">
        <v>179</v>
      </c>
      <c r="R292" s="876">
        <v>33</v>
      </c>
      <c r="S292" s="877" t="s">
        <v>179</v>
      </c>
      <c r="T292" s="878" t="s">
        <v>1750</v>
      </c>
      <c r="U292" s="879" t="s">
        <v>43</v>
      </c>
      <c r="V292" s="878" t="s">
        <v>1750</v>
      </c>
      <c r="W292" s="879" t="s">
        <v>43</v>
      </c>
      <c r="X292" s="876">
        <v>0.5</v>
      </c>
      <c r="Y292" s="880" t="s">
        <v>179</v>
      </c>
      <c r="Z292" s="881" t="s">
        <v>43</v>
      </c>
      <c r="AA292" s="882">
        <v>9.3999999999999997E-4</v>
      </c>
      <c r="AB292" s="883" t="s">
        <v>179</v>
      </c>
      <c r="AC292" s="884" t="s">
        <v>1750</v>
      </c>
    </row>
    <row r="293" spans="1:29" ht="15.75">
      <c r="A293" s="856" t="s">
        <v>853</v>
      </c>
      <c r="B293" s="792" t="s">
        <v>854</v>
      </c>
      <c r="C293" s="857" t="s">
        <v>1750</v>
      </c>
      <c r="D293" s="858" t="s">
        <v>43</v>
      </c>
      <c r="E293" s="843" t="s">
        <v>1750</v>
      </c>
      <c r="F293" s="858" t="s">
        <v>43</v>
      </c>
      <c r="G293" s="804">
        <v>0.01</v>
      </c>
      <c r="H293" s="859" t="s">
        <v>280</v>
      </c>
      <c r="I293" s="843" t="s">
        <v>1750</v>
      </c>
      <c r="J293" s="858" t="s">
        <v>43</v>
      </c>
      <c r="K293" s="859" t="s">
        <v>1634</v>
      </c>
      <c r="L293" s="858" t="s">
        <v>43</v>
      </c>
      <c r="M293" s="859">
        <v>1</v>
      </c>
      <c r="N293" s="870" t="s">
        <v>1750</v>
      </c>
      <c r="O293" s="860" t="s">
        <v>1750</v>
      </c>
      <c r="P293" s="861">
        <v>780</v>
      </c>
      <c r="Q293" s="862" t="s">
        <v>179</v>
      </c>
      <c r="R293" s="861">
        <v>12000</v>
      </c>
      <c r="S293" s="862" t="s">
        <v>179</v>
      </c>
      <c r="T293" s="863" t="s">
        <v>1750</v>
      </c>
      <c r="U293" s="864" t="s">
        <v>43</v>
      </c>
      <c r="V293" s="863" t="s">
        <v>1750</v>
      </c>
      <c r="W293" s="864" t="s">
        <v>43</v>
      </c>
      <c r="X293" s="861">
        <v>200</v>
      </c>
      <c r="Y293" s="865" t="s">
        <v>179</v>
      </c>
      <c r="Z293" s="866" t="s">
        <v>43</v>
      </c>
      <c r="AA293" s="867">
        <v>9.7000000000000003E-2</v>
      </c>
      <c r="AB293" s="868" t="s">
        <v>179</v>
      </c>
      <c r="AC293" s="869" t="s">
        <v>1750</v>
      </c>
    </row>
    <row r="294" spans="1:29" ht="15.75">
      <c r="A294" s="856" t="s">
        <v>855</v>
      </c>
      <c r="B294" s="792" t="s">
        <v>856</v>
      </c>
      <c r="C294" s="857" t="s">
        <v>1750</v>
      </c>
      <c r="D294" s="858" t="s">
        <v>43</v>
      </c>
      <c r="E294" s="843" t="s">
        <v>1750</v>
      </c>
      <c r="F294" s="858" t="s">
        <v>43</v>
      </c>
      <c r="G294" s="804">
        <v>2E-3</v>
      </c>
      <c r="H294" s="859" t="s">
        <v>280</v>
      </c>
      <c r="I294" s="843" t="s">
        <v>1750</v>
      </c>
      <c r="J294" s="858" t="s">
        <v>43</v>
      </c>
      <c r="K294" s="858" t="s">
        <v>43</v>
      </c>
      <c r="L294" s="858" t="s">
        <v>43</v>
      </c>
      <c r="M294" s="859">
        <v>1</v>
      </c>
      <c r="N294" s="859">
        <v>0.1</v>
      </c>
      <c r="O294" s="860" t="s">
        <v>1750</v>
      </c>
      <c r="P294" s="861">
        <v>130</v>
      </c>
      <c r="Q294" s="862" t="s">
        <v>179</v>
      </c>
      <c r="R294" s="861">
        <v>1600</v>
      </c>
      <c r="S294" s="862" t="s">
        <v>179</v>
      </c>
      <c r="T294" s="863" t="s">
        <v>1750</v>
      </c>
      <c r="U294" s="864" t="s">
        <v>43</v>
      </c>
      <c r="V294" s="863" t="s">
        <v>1750</v>
      </c>
      <c r="W294" s="864" t="s">
        <v>43</v>
      </c>
      <c r="X294" s="861">
        <v>36</v>
      </c>
      <c r="Y294" s="865" t="s">
        <v>179</v>
      </c>
      <c r="Z294" s="866" t="s">
        <v>43</v>
      </c>
      <c r="AA294" s="867">
        <v>1.4999999999999999E-2</v>
      </c>
      <c r="AB294" s="868" t="s">
        <v>179</v>
      </c>
      <c r="AC294" s="869" t="s">
        <v>1750</v>
      </c>
    </row>
    <row r="295" spans="1:29" ht="16.5" thickBot="1">
      <c r="A295" s="871" t="s">
        <v>857</v>
      </c>
      <c r="B295" s="807" t="s">
        <v>858</v>
      </c>
      <c r="C295" s="872" t="s">
        <v>1750</v>
      </c>
      <c r="D295" s="873" t="s">
        <v>43</v>
      </c>
      <c r="E295" s="847" t="s">
        <v>1750</v>
      </c>
      <c r="F295" s="873" t="s">
        <v>43</v>
      </c>
      <c r="G295" s="819">
        <v>0.02</v>
      </c>
      <c r="H295" s="874" t="s">
        <v>2463</v>
      </c>
      <c r="I295" s="847" t="s">
        <v>1750</v>
      </c>
      <c r="J295" s="873" t="s">
        <v>43</v>
      </c>
      <c r="K295" s="873" t="s">
        <v>43</v>
      </c>
      <c r="L295" s="873" t="s">
        <v>43</v>
      </c>
      <c r="M295" s="874">
        <v>1</v>
      </c>
      <c r="N295" s="874">
        <v>0.1</v>
      </c>
      <c r="O295" s="875" t="s">
        <v>1750</v>
      </c>
      <c r="P295" s="876">
        <v>1300</v>
      </c>
      <c r="Q295" s="877" t="s">
        <v>179</v>
      </c>
      <c r="R295" s="876">
        <v>16000</v>
      </c>
      <c r="S295" s="877" t="s">
        <v>179</v>
      </c>
      <c r="T295" s="878" t="s">
        <v>1750</v>
      </c>
      <c r="U295" s="879" t="s">
        <v>43</v>
      </c>
      <c r="V295" s="878" t="s">
        <v>1750</v>
      </c>
      <c r="W295" s="879" t="s">
        <v>43</v>
      </c>
      <c r="X295" s="876">
        <v>400</v>
      </c>
      <c r="Y295" s="880" t="s">
        <v>179</v>
      </c>
      <c r="Z295" s="881" t="s">
        <v>43</v>
      </c>
      <c r="AA295" s="882">
        <v>2.1</v>
      </c>
      <c r="AB295" s="883" t="s">
        <v>179</v>
      </c>
      <c r="AC295" s="884" t="s">
        <v>1750</v>
      </c>
    </row>
    <row r="296" spans="1:29" ht="15.75">
      <c r="A296" s="856" t="s">
        <v>859</v>
      </c>
      <c r="B296" s="792" t="s">
        <v>860</v>
      </c>
      <c r="C296" s="857" t="s">
        <v>1750</v>
      </c>
      <c r="D296" s="858" t="s">
        <v>43</v>
      </c>
      <c r="E296" s="843" t="s">
        <v>1750</v>
      </c>
      <c r="F296" s="858" t="s">
        <v>43</v>
      </c>
      <c r="G296" s="804">
        <v>0.05</v>
      </c>
      <c r="H296" s="859" t="s">
        <v>2463</v>
      </c>
      <c r="I296" s="843" t="s">
        <v>1750</v>
      </c>
      <c r="J296" s="858" t="s">
        <v>43</v>
      </c>
      <c r="K296" s="859" t="s">
        <v>1634</v>
      </c>
      <c r="L296" s="858" t="s">
        <v>43</v>
      </c>
      <c r="M296" s="859">
        <v>1</v>
      </c>
      <c r="N296" s="870" t="s">
        <v>1750</v>
      </c>
      <c r="O296" s="860" t="s">
        <v>1750</v>
      </c>
      <c r="P296" s="861">
        <v>3900</v>
      </c>
      <c r="Q296" s="862" t="s">
        <v>179</v>
      </c>
      <c r="R296" s="861">
        <v>58000</v>
      </c>
      <c r="S296" s="862" t="s">
        <v>179</v>
      </c>
      <c r="T296" s="863" t="s">
        <v>1750</v>
      </c>
      <c r="U296" s="864" t="s">
        <v>43</v>
      </c>
      <c r="V296" s="863" t="s">
        <v>1750</v>
      </c>
      <c r="W296" s="864" t="s">
        <v>43</v>
      </c>
      <c r="X296" s="861">
        <v>750</v>
      </c>
      <c r="Y296" s="865" t="s">
        <v>179</v>
      </c>
      <c r="Z296" s="866" t="s">
        <v>43</v>
      </c>
      <c r="AA296" s="867">
        <v>0.4</v>
      </c>
      <c r="AB296" s="868" t="s">
        <v>179</v>
      </c>
      <c r="AC296" s="869" t="s">
        <v>1750</v>
      </c>
    </row>
    <row r="297" spans="1:29" ht="15.75">
      <c r="A297" s="856" t="s">
        <v>100</v>
      </c>
      <c r="B297" s="792" t="s">
        <v>861</v>
      </c>
      <c r="C297" s="857" t="s">
        <v>1750</v>
      </c>
      <c r="D297" s="858" t="s">
        <v>43</v>
      </c>
      <c r="E297" s="843" t="s">
        <v>1750</v>
      </c>
      <c r="F297" s="858" t="s">
        <v>43</v>
      </c>
      <c r="G297" s="804">
        <v>6.0000000000000001E-3</v>
      </c>
      <c r="H297" s="859" t="s">
        <v>280</v>
      </c>
      <c r="I297" s="843" t="s">
        <v>1750</v>
      </c>
      <c r="J297" s="858" t="s">
        <v>43</v>
      </c>
      <c r="K297" s="859" t="s">
        <v>1634</v>
      </c>
      <c r="L297" s="858" t="s">
        <v>43</v>
      </c>
      <c r="M297" s="859">
        <v>1</v>
      </c>
      <c r="N297" s="870" t="s">
        <v>1750</v>
      </c>
      <c r="O297" s="860" t="s">
        <v>1750</v>
      </c>
      <c r="P297" s="861">
        <v>470</v>
      </c>
      <c r="Q297" s="862" t="s">
        <v>179</v>
      </c>
      <c r="R297" s="861">
        <v>7000</v>
      </c>
      <c r="S297" s="862" t="s">
        <v>179</v>
      </c>
      <c r="T297" s="863" t="s">
        <v>1750</v>
      </c>
      <c r="U297" s="864" t="s">
        <v>43</v>
      </c>
      <c r="V297" s="863" t="s">
        <v>1750</v>
      </c>
      <c r="W297" s="864" t="s">
        <v>43</v>
      </c>
      <c r="X297" s="861">
        <v>100</v>
      </c>
      <c r="Y297" s="865" t="s">
        <v>179</v>
      </c>
      <c r="Z297" s="866" t="s">
        <v>43</v>
      </c>
      <c r="AA297" s="867">
        <v>1.4</v>
      </c>
      <c r="AB297" s="868" t="s">
        <v>179</v>
      </c>
      <c r="AC297" s="869" t="s">
        <v>1750</v>
      </c>
    </row>
    <row r="298" spans="1:29" ht="16.5" thickBot="1">
      <c r="A298" s="871" t="s">
        <v>862</v>
      </c>
      <c r="B298" s="807" t="s">
        <v>863</v>
      </c>
      <c r="C298" s="872" t="s">
        <v>1750</v>
      </c>
      <c r="D298" s="873" t="s">
        <v>43</v>
      </c>
      <c r="E298" s="847" t="s">
        <v>1750</v>
      </c>
      <c r="F298" s="873" t="s">
        <v>43</v>
      </c>
      <c r="G298" s="819">
        <v>0.02</v>
      </c>
      <c r="H298" s="874" t="s">
        <v>280</v>
      </c>
      <c r="I298" s="847" t="s">
        <v>1750</v>
      </c>
      <c r="J298" s="873" t="s">
        <v>43</v>
      </c>
      <c r="K298" s="873" t="s">
        <v>43</v>
      </c>
      <c r="L298" s="873" t="s">
        <v>43</v>
      </c>
      <c r="M298" s="874">
        <v>1</v>
      </c>
      <c r="N298" s="874">
        <v>0.1</v>
      </c>
      <c r="O298" s="875" t="s">
        <v>1750</v>
      </c>
      <c r="P298" s="876">
        <v>1300</v>
      </c>
      <c r="Q298" s="877" t="s">
        <v>179</v>
      </c>
      <c r="R298" s="876">
        <v>16000</v>
      </c>
      <c r="S298" s="877" t="s">
        <v>179</v>
      </c>
      <c r="T298" s="878" t="s">
        <v>1750</v>
      </c>
      <c r="U298" s="879" t="s">
        <v>43</v>
      </c>
      <c r="V298" s="878" t="s">
        <v>1750</v>
      </c>
      <c r="W298" s="879" t="s">
        <v>43</v>
      </c>
      <c r="X298" s="876">
        <v>380</v>
      </c>
      <c r="Y298" s="880" t="s">
        <v>179</v>
      </c>
      <c r="Z298" s="893">
        <v>100</v>
      </c>
      <c r="AA298" s="882">
        <v>9.0999999999999998E-2</v>
      </c>
      <c r="AB298" s="883" t="s">
        <v>179</v>
      </c>
      <c r="AC298" s="894">
        <v>2.4E-2</v>
      </c>
    </row>
    <row r="299" spans="1:29" ht="15.75">
      <c r="A299" s="856" t="s">
        <v>864</v>
      </c>
      <c r="B299" s="792" t="s">
        <v>865</v>
      </c>
      <c r="C299" s="857" t="s">
        <v>1750</v>
      </c>
      <c r="D299" s="858" t="s">
        <v>43</v>
      </c>
      <c r="E299" s="843" t="s">
        <v>1750</v>
      </c>
      <c r="F299" s="858" t="s">
        <v>43</v>
      </c>
      <c r="G299" s="804">
        <v>2.9999999999999997E-4</v>
      </c>
      <c r="H299" s="859" t="s">
        <v>280</v>
      </c>
      <c r="I299" s="843" t="s">
        <v>1750</v>
      </c>
      <c r="J299" s="858" t="s">
        <v>43</v>
      </c>
      <c r="K299" s="858" t="s">
        <v>43</v>
      </c>
      <c r="L299" s="858" t="s">
        <v>43</v>
      </c>
      <c r="M299" s="859">
        <v>1</v>
      </c>
      <c r="N299" s="859">
        <v>0.1</v>
      </c>
      <c r="O299" s="860" t="s">
        <v>1750</v>
      </c>
      <c r="P299" s="861">
        <v>19</v>
      </c>
      <c r="Q299" s="862" t="s">
        <v>179</v>
      </c>
      <c r="R299" s="861">
        <v>250</v>
      </c>
      <c r="S299" s="862" t="s">
        <v>179</v>
      </c>
      <c r="T299" s="863" t="s">
        <v>1750</v>
      </c>
      <c r="U299" s="864" t="s">
        <v>43</v>
      </c>
      <c r="V299" s="863" t="s">
        <v>1750</v>
      </c>
      <c r="W299" s="864" t="s">
        <v>43</v>
      </c>
      <c r="X299" s="861">
        <v>2.2999999999999998</v>
      </c>
      <c r="Y299" s="865" t="s">
        <v>179</v>
      </c>
      <c r="Z299" s="891">
        <v>2</v>
      </c>
      <c r="AA299" s="867">
        <v>9.1999999999999998E-2</v>
      </c>
      <c r="AB299" s="868" t="s">
        <v>179</v>
      </c>
      <c r="AC299" s="892">
        <v>8.1000000000000003E-2</v>
      </c>
    </row>
    <row r="300" spans="1:29" ht="15.75">
      <c r="A300" s="856" t="s">
        <v>866</v>
      </c>
      <c r="B300" s="792" t="s">
        <v>867</v>
      </c>
      <c r="C300" s="889">
        <v>9.9000000000000008E-3</v>
      </c>
      <c r="D300" s="859" t="s">
        <v>280</v>
      </c>
      <c r="E300" s="804">
        <v>1.1999999999999999E-6</v>
      </c>
      <c r="F300" s="859" t="s">
        <v>280</v>
      </c>
      <c r="G300" s="804">
        <v>6.0000000000000001E-3</v>
      </c>
      <c r="H300" s="859" t="s">
        <v>281</v>
      </c>
      <c r="I300" s="804">
        <v>1E-3</v>
      </c>
      <c r="J300" s="859" t="s">
        <v>280</v>
      </c>
      <c r="K300" s="859" t="s">
        <v>1634</v>
      </c>
      <c r="L300" s="858" t="s">
        <v>43</v>
      </c>
      <c r="M300" s="859">
        <v>1</v>
      </c>
      <c r="N300" s="870" t="s">
        <v>1750</v>
      </c>
      <c r="O300" s="805">
        <v>10500</v>
      </c>
      <c r="P300" s="861">
        <v>19</v>
      </c>
      <c r="Q300" s="862" t="s">
        <v>179</v>
      </c>
      <c r="R300" s="861">
        <v>82</v>
      </c>
      <c r="S300" s="862" t="s">
        <v>179</v>
      </c>
      <c r="T300" s="861">
        <v>1</v>
      </c>
      <c r="U300" s="862" t="s">
        <v>179</v>
      </c>
      <c r="V300" s="861">
        <v>4.4000000000000004</v>
      </c>
      <c r="W300" s="862" t="s">
        <v>179</v>
      </c>
      <c r="X300" s="861">
        <v>2</v>
      </c>
      <c r="Y300" s="865" t="s">
        <v>179</v>
      </c>
      <c r="Z300" s="866" t="s">
        <v>43</v>
      </c>
      <c r="AA300" s="867">
        <v>4.4999999999999999E-4</v>
      </c>
      <c r="AB300" s="868" t="s">
        <v>179</v>
      </c>
      <c r="AC300" s="869" t="s">
        <v>1750</v>
      </c>
    </row>
    <row r="301" spans="1:29" ht="16.5" thickBot="1">
      <c r="A301" s="871" t="s">
        <v>868</v>
      </c>
      <c r="B301" s="807" t="s">
        <v>869</v>
      </c>
      <c r="C301" s="872" t="s">
        <v>1750</v>
      </c>
      <c r="D301" s="873" t="s">
        <v>43</v>
      </c>
      <c r="E301" s="847" t="s">
        <v>1750</v>
      </c>
      <c r="F301" s="873" t="s">
        <v>43</v>
      </c>
      <c r="G301" s="847" t="s">
        <v>1750</v>
      </c>
      <c r="H301" s="873" t="s">
        <v>43</v>
      </c>
      <c r="I301" s="819">
        <v>0.02</v>
      </c>
      <c r="J301" s="874" t="s">
        <v>280</v>
      </c>
      <c r="K301" s="874" t="s">
        <v>1634</v>
      </c>
      <c r="L301" s="873" t="s">
        <v>43</v>
      </c>
      <c r="M301" s="874">
        <v>1</v>
      </c>
      <c r="N301" s="888" t="s">
        <v>1750</v>
      </c>
      <c r="O301" s="820">
        <v>15300</v>
      </c>
      <c r="P301" s="876">
        <v>160</v>
      </c>
      <c r="Q301" s="877" t="s">
        <v>179</v>
      </c>
      <c r="R301" s="876">
        <v>670</v>
      </c>
      <c r="S301" s="877" t="s">
        <v>179</v>
      </c>
      <c r="T301" s="876">
        <v>21</v>
      </c>
      <c r="U301" s="877" t="s">
        <v>179</v>
      </c>
      <c r="V301" s="876">
        <v>88</v>
      </c>
      <c r="W301" s="877" t="s">
        <v>179</v>
      </c>
      <c r="X301" s="876">
        <v>42</v>
      </c>
      <c r="Y301" s="880" t="s">
        <v>179</v>
      </c>
      <c r="Z301" s="881" t="s">
        <v>43</v>
      </c>
      <c r="AA301" s="882">
        <v>9.1999999999999998E-3</v>
      </c>
      <c r="AB301" s="883" t="s">
        <v>179</v>
      </c>
      <c r="AC301" s="884" t="s">
        <v>1750</v>
      </c>
    </row>
    <row r="302" spans="1:29" ht="30.75">
      <c r="A302" s="856" t="s">
        <v>2221</v>
      </c>
      <c r="B302" s="792" t="s">
        <v>2222</v>
      </c>
      <c r="C302" s="857" t="s">
        <v>1750</v>
      </c>
      <c r="D302" s="858" t="s">
        <v>43</v>
      </c>
      <c r="E302" s="843" t="s">
        <v>1750</v>
      </c>
      <c r="F302" s="858" t="s">
        <v>43</v>
      </c>
      <c r="G302" s="804">
        <v>0.04</v>
      </c>
      <c r="H302" s="859" t="s">
        <v>281</v>
      </c>
      <c r="I302" s="843" t="s">
        <v>1750</v>
      </c>
      <c r="J302" s="858" t="s">
        <v>43</v>
      </c>
      <c r="K302" s="858" t="s">
        <v>43</v>
      </c>
      <c r="L302" s="858" t="s">
        <v>43</v>
      </c>
      <c r="M302" s="859">
        <v>1</v>
      </c>
      <c r="N302" s="859">
        <v>0.1</v>
      </c>
      <c r="O302" s="860" t="s">
        <v>1750</v>
      </c>
      <c r="P302" s="861">
        <v>2500</v>
      </c>
      <c r="Q302" s="862" t="s">
        <v>179</v>
      </c>
      <c r="R302" s="861">
        <v>33000</v>
      </c>
      <c r="S302" s="862" t="s">
        <v>179</v>
      </c>
      <c r="T302" s="863" t="s">
        <v>1750</v>
      </c>
      <c r="U302" s="864" t="s">
        <v>43</v>
      </c>
      <c r="V302" s="863" t="s">
        <v>1750</v>
      </c>
      <c r="W302" s="864" t="s">
        <v>43</v>
      </c>
      <c r="X302" s="861">
        <v>800</v>
      </c>
      <c r="Y302" s="865" t="s">
        <v>179</v>
      </c>
      <c r="Z302" s="866" t="s">
        <v>43</v>
      </c>
      <c r="AA302" s="867">
        <v>0.16</v>
      </c>
      <c r="AB302" s="868" t="s">
        <v>179</v>
      </c>
      <c r="AC302" s="869" t="s">
        <v>1750</v>
      </c>
    </row>
    <row r="303" spans="1:29" ht="30.75">
      <c r="A303" s="856" t="s">
        <v>870</v>
      </c>
      <c r="B303" s="792" t="s">
        <v>871</v>
      </c>
      <c r="C303" s="857" t="s">
        <v>1750</v>
      </c>
      <c r="D303" s="858" t="s">
        <v>43</v>
      </c>
      <c r="E303" s="843" t="s">
        <v>1750</v>
      </c>
      <c r="F303" s="858" t="s">
        <v>43</v>
      </c>
      <c r="G303" s="804">
        <v>5.0000000000000001E-3</v>
      </c>
      <c r="H303" s="859" t="s">
        <v>280</v>
      </c>
      <c r="I303" s="843" t="s">
        <v>1750</v>
      </c>
      <c r="J303" s="858" t="s">
        <v>43</v>
      </c>
      <c r="K303" s="858" t="s">
        <v>43</v>
      </c>
      <c r="L303" s="858" t="s">
        <v>43</v>
      </c>
      <c r="M303" s="859">
        <v>1</v>
      </c>
      <c r="N303" s="859">
        <v>0.1</v>
      </c>
      <c r="O303" s="860" t="s">
        <v>1750</v>
      </c>
      <c r="P303" s="861">
        <v>320</v>
      </c>
      <c r="Q303" s="862" t="s">
        <v>179</v>
      </c>
      <c r="R303" s="861">
        <v>4100</v>
      </c>
      <c r="S303" s="862" t="s">
        <v>179</v>
      </c>
      <c r="T303" s="863" t="s">
        <v>1750</v>
      </c>
      <c r="U303" s="864" t="s">
        <v>43</v>
      </c>
      <c r="V303" s="863" t="s">
        <v>1750</v>
      </c>
      <c r="W303" s="864" t="s">
        <v>43</v>
      </c>
      <c r="X303" s="861">
        <v>100</v>
      </c>
      <c r="Y303" s="865" t="s">
        <v>179</v>
      </c>
      <c r="Z303" s="866" t="s">
        <v>43</v>
      </c>
      <c r="AA303" s="867">
        <v>2.1000000000000001E-2</v>
      </c>
      <c r="AB303" s="868" t="s">
        <v>179</v>
      </c>
      <c r="AC303" s="869" t="s">
        <v>1750</v>
      </c>
    </row>
    <row r="304" spans="1:29" ht="16.5" thickBot="1">
      <c r="A304" s="871" t="s">
        <v>872</v>
      </c>
      <c r="B304" s="807" t="s">
        <v>873</v>
      </c>
      <c r="C304" s="872" t="s">
        <v>1750</v>
      </c>
      <c r="D304" s="873" t="s">
        <v>43</v>
      </c>
      <c r="E304" s="847" t="s">
        <v>1750</v>
      </c>
      <c r="F304" s="873" t="s">
        <v>43</v>
      </c>
      <c r="G304" s="819">
        <v>5.0000000000000001E-4</v>
      </c>
      <c r="H304" s="874" t="s">
        <v>280</v>
      </c>
      <c r="I304" s="847" t="s">
        <v>1750</v>
      </c>
      <c r="J304" s="873" t="s">
        <v>43</v>
      </c>
      <c r="K304" s="873" t="s">
        <v>43</v>
      </c>
      <c r="L304" s="873" t="s">
        <v>43</v>
      </c>
      <c r="M304" s="874">
        <v>1</v>
      </c>
      <c r="N304" s="874">
        <v>0.1</v>
      </c>
      <c r="O304" s="875" t="s">
        <v>1750</v>
      </c>
      <c r="P304" s="876">
        <v>32</v>
      </c>
      <c r="Q304" s="877" t="s">
        <v>179</v>
      </c>
      <c r="R304" s="876">
        <v>410</v>
      </c>
      <c r="S304" s="877" t="s">
        <v>179</v>
      </c>
      <c r="T304" s="878" t="s">
        <v>1750</v>
      </c>
      <c r="U304" s="879" t="s">
        <v>43</v>
      </c>
      <c r="V304" s="878" t="s">
        <v>1750</v>
      </c>
      <c r="W304" s="879" t="s">
        <v>43</v>
      </c>
      <c r="X304" s="876">
        <v>4.3</v>
      </c>
      <c r="Y304" s="880" t="s">
        <v>179</v>
      </c>
      <c r="Z304" s="881" t="s">
        <v>43</v>
      </c>
      <c r="AA304" s="882">
        <v>8.5000000000000006E-3</v>
      </c>
      <c r="AB304" s="883" t="s">
        <v>179</v>
      </c>
      <c r="AC304" s="884" t="s">
        <v>1750</v>
      </c>
    </row>
    <row r="305" spans="1:29" ht="30.75">
      <c r="A305" s="856" t="s">
        <v>874</v>
      </c>
      <c r="B305" s="792" t="s">
        <v>875</v>
      </c>
      <c r="C305" s="857" t="s">
        <v>1750</v>
      </c>
      <c r="D305" s="858" t="s">
        <v>43</v>
      </c>
      <c r="E305" s="843" t="s">
        <v>1750</v>
      </c>
      <c r="F305" s="858" t="s">
        <v>43</v>
      </c>
      <c r="G305" s="804">
        <v>0.1</v>
      </c>
      <c r="H305" s="859" t="s">
        <v>281</v>
      </c>
      <c r="I305" s="804">
        <v>0.06</v>
      </c>
      <c r="J305" s="859" t="s">
        <v>281</v>
      </c>
      <c r="K305" s="859" t="s">
        <v>1634</v>
      </c>
      <c r="L305" s="858" t="s">
        <v>43</v>
      </c>
      <c r="M305" s="859">
        <v>1</v>
      </c>
      <c r="N305" s="870" t="s">
        <v>1750</v>
      </c>
      <c r="O305" s="805">
        <v>23800</v>
      </c>
      <c r="P305" s="861">
        <v>2600</v>
      </c>
      <c r="Q305" s="862" t="s">
        <v>179</v>
      </c>
      <c r="R305" s="861">
        <v>14000</v>
      </c>
      <c r="S305" s="862" t="s">
        <v>179</v>
      </c>
      <c r="T305" s="861">
        <v>63</v>
      </c>
      <c r="U305" s="862" t="s">
        <v>179</v>
      </c>
      <c r="V305" s="861">
        <v>260</v>
      </c>
      <c r="W305" s="862" t="s">
        <v>179</v>
      </c>
      <c r="X305" s="861">
        <v>120</v>
      </c>
      <c r="Y305" s="865" t="s">
        <v>179</v>
      </c>
      <c r="Z305" s="866" t="s">
        <v>43</v>
      </c>
      <c r="AA305" s="867">
        <v>2.5000000000000001E-2</v>
      </c>
      <c r="AB305" s="868" t="s">
        <v>179</v>
      </c>
      <c r="AC305" s="869" t="s">
        <v>1750</v>
      </c>
    </row>
    <row r="306" spans="1:29" ht="15.75">
      <c r="A306" s="856" t="s">
        <v>876</v>
      </c>
      <c r="B306" s="792" t="s">
        <v>877</v>
      </c>
      <c r="C306" s="857" t="s">
        <v>1750</v>
      </c>
      <c r="D306" s="858" t="s">
        <v>43</v>
      </c>
      <c r="E306" s="843" t="s">
        <v>1750</v>
      </c>
      <c r="F306" s="858" t="s">
        <v>43</v>
      </c>
      <c r="G306" s="804">
        <v>0.09</v>
      </c>
      <c r="H306" s="859" t="s">
        <v>281</v>
      </c>
      <c r="I306" s="804">
        <v>0.2</v>
      </c>
      <c r="J306" s="859" t="s">
        <v>280</v>
      </c>
      <c r="K306" s="859" t="s">
        <v>1634</v>
      </c>
      <c r="L306" s="858" t="s">
        <v>43</v>
      </c>
      <c r="M306" s="859">
        <v>1</v>
      </c>
      <c r="N306" s="870" t="s">
        <v>1750</v>
      </c>
      <c r="O306" s="805">
        <v>106000</v>
      </c>
      <c r="P306" s="861">
        <v>5200</v>
      </c>
      <c r="Q306" s="862" t="s">
        <v>179</v>
      </c>
      <c r="R306" s="861">
        <v>47000</v>
      </c>
      <c r="S306" s="862" t="s">
        <v>179</v>
      </c>
      <c r="T306" s="861">
        <v>210</v>
      </c>
      <c r="U306" s="862" t="s">
        <v>179</v>
      </c>
      <c r="V306" s="861">
        <v>880</v>
      </c>
      <c r="W306" s="862" t="s">
        <v>179</v>
      </c>
      <c r="X306" s="861">
        <v>340</v>
      </c>
      <c r="Y306" s="865" t="s">
        <v>179</v>
      </c>
      <c r="Z306" s="866" t="s">
        <v>43</v>
      </c>
      <c r="AA306" s="867">
        <v>6.8000000000000005E-2</v>
      </c>
      <c r="AB306" s="868" t="s">
        <v>179</v>
      </c>
      <c r="AC306" s="869" t="s">
        <v>1750</v>
      </c>
    </row>
    <row r="307" spans="1:29" ht="16.5" thickBot="1">
      <c r="A307" s="871" t="s">
        <v>878</v>
      </c>
      <c r="B307" s="807" t="s">
        <v>879</v>
      </c>
      <c r="C307" s="872" t="s">
        <v>1750</v>
      </c>
      <c r="D307" s="873" t="s">
        <v>43</v>
      </c>
      <c r="E307" s="847" t="s">
        <v>1750</v>
      </c>
      <c r="F307" s="873" t="s">
        <v>43</v>
      </c>
      <c r="G307" s="819">
        <v>0.9</v>
      </c>
      <c r="H307" s="874" t="s">
        <v>280</v>
      </c>
      <c r="I307" s="819">
        <v>7.0000000000000007E-2</v>
      </c>
      <c r="J307" s="874" t="s">
        <v>281</v>
      </c>
      <c r="K307" s="874" t="s">
        <v>1634</v>
      </c>
      <c r="L307" s="873" t="s">
        <v>43</v>
      </c>
      <c r="M307" s="874">
        <v>1</v>
      </c>
      <c r="N307" s="888" t="s">
        <v>1750</v>
      </c>
      <c r="O307" s="820">
        <v>10800</v>
      </c>
      <c r="P307" s="876">
        <v>620</v>
      </c>
      <c r="Q307" s="877" t="s">
        <v>179</v>
      </c>
      <c r="R307" s="876">
        <v>2600</v>
      </c>
      <c r="S307" s="877" t="s">
        <v>179</v>
      </c>
      <c r="T307" s="876">
        <v>73</v>
      </c>
      <c r="U307" s="877" t="s">
        <v>179</v>
      </c>
      <c r="V307" s="876">
        <v>310</v>
      </c>
      <c r="W307" s="877" t="s">
        <v>179</v>
      </c>
      <c r="X307" s="876">
        <v>140</v>
      </c>
      <c r="Y307" s="880" t="s">
        <v>179</v>
      </c>
      <c r="Z307" s="881" t="s">
        <v>43</v>
      </c>
      <c r="AA307" s="882">
        <v>3.1E-2</v>
      </c>
      <c r="AB307" s="883" t="s">
        <v>179</v>
      </c>
      <c r="AC307" s="884" t="s">
        <v>1750</v>
      </c>
    </row>
    <row r="308" spans="1:29" ht="15.75">
      <c r="A308" s="856" t="s">
        <v>880</v>
      </c>
      <c r="B308" s="792" t="s">
        <v>881</v>
      </c>
      <c r="C308" s="857" t="s">
        <v>1750</v>
      </c>
      <c r="D308" s="858" t="s">
        <v>43</v>
      </c>
      <c r="E308" s="843" t="s">
        <v>1750</v>
      </c>
      <c r="F308" s="858" t="s">
        <v>43</v>
      </c>
      <c r="G308" s="804">
        <v>5.0000000000000001E-3</v>
      </c>
      <c r="H308" s="859" t="s">
        <v>281</v>
      </c>
      <c r="I308" s="804">
        <v>8.0000000000000002E-3</v>
      </c>
      <c r="J308" s="859" t="s">
        <v>281</v>
      </c>
      <c r="K308" s="859" t="s">
        <v>1634</v>
      </c>
      <c r="L308" s="858" t="s">
        <v>43</v>
      </c>
      <c r="M308" s="859">
        <v>1</v>
      </c>
      <c r="N308" s="870" t="s">
        <v>1750</v>
      </c>
      <c r="O308" s="805">
        <v>2500</v>
      </c>
      <c r="P308" s="861">
        <v>47</v>
      </c>
      <c r="Q308" s="862" t="s">
        <v>179</v>
      </c>
      <c r="R308" s="861">
        <v>210</v>
      </c>
      <c r="S308" s="862" t="s">
        <v>179</v>
      </c>
      <c r="T308" s="861">
        <v>8.3000000000000007</v>
      </c>
      <c r="U308" s="862" t="s">
        <v>179</v>
      </c>
      <c r="V308" s="861">
        <v>35</v>
      </c>
      <c r="W308" s="862" t="s">
        <v>179</v>
      </c>
      <c r="X308" s="861">
        <v>14</v>
      </c>
      <c r="Y308" s="865" t="s">
        <v>179</v>
      </c>
      <c r="Z308" s="866" t="s">
        <v>43</v>
      </c>
      <c r="AA308" s="867">
        <v>3.2000000000000002E-3</v>
      </c>
      <c r="AB308" s="868" t="s">
        <v>179</v>
      </c>
      <c r="AC308" s="869" t="s">
        <v>1750</v>
      </c>
    </row>
    <row r="309" spans="1:29" ht="30.75">
      <c r="A309" s="856" t="s">
        <v>2110</v>
      </c>
      <c r="B309" s="792" t="s">
        <v>882</v>
      </c>
      <c r="C309" s="857" t="s">
        <v>1750</v>
      </c>
      <c r="D309" s="858" t="s">
        <v>43</v>
      </c>
      <c r="E309" s="843" t="s">
        <v>1750</v>
      </c>
      <c r="F309" s="858" t="s">
        <v>43</v>
      </c>
      <c r="G309" s="843" t="s">
        <v>1750</v>
      </c>
      <c r="H309" s="858" t="s">
        <v>43</v>
      </c>
      <c r="I309" s="804">
        <v>10</v>
      </c>
      <c r="J309" s="859" t="s">
        <v>280</v>
      </c>
      <c r="K309" s="859" t="s">
        <v>1634</v>
      </c>
      <c r="L309" s="858" t="s">
        <v>43</v>
      </c>
      <c r="M309" s="859">
        <v>1</v>
      </c>
      <c r="N309" s="870" t="s">
        <v>1750</v>
      </c>
      <c r="O309" s="805">
        <v>2120</v>
      </c>
      <c r="P309" s="861">
        <v>14000</v>
      </c>
      <c r="Q309" s="862" t="s">
        <v>2282</v>
      </c>
      <c r="R309" s="861">
        <v>57000</v>
      </c>
      <c r="S309" s="862" t="s">
        <v>2282</v>
      </c>
      <c r="T309" s="861">
        <v>10000</v>
      </c>
      <c r="U309" s="862" t="s">
        <v>179</v>
      </c>
      <c r="V309" s="861">
        <v>44000</v>
      </c>
      <c r="W309" s="862" t="s">
        <v>179</v>
      </c>
      <c r="X309" s="861">
        <v>21000</v>
      </c>
      <c r="Y309" s="865" t="s">
        <v>179</v>
      </c>
      <c r="Z309" s="866" t="s">
        <v>43</v>
      </c>
      <c r="AA309" s="867">
        <v>5.9</v>
      </c>
      <c r="AB309" s="868" t="s">
        <v>179</v>
      </c>
      <c r="AC309" s="869" t="s">
        <v>1750</v>
      </c>
    </row>
    <row r="310" spans="1:29" ht="16.5" thickBot="1">
      <c r="A310" s="871" t="s">
        <v>883</v>
      </c>
      <c r="B310" s="807" t="s">
        <v>884</v>
      </c>
      <c r="C310" s="872" t="s">
        <v>1750</v>
      </c>
      <c r="D310" s="873" t="s">
        <v>43</v>
      </c>
      <c r="E310" s="847" t="s">
        <v>1750</v>
      </c>
      <c r="F310" s="873" t="s">
        <v>43</v>
      </c>
      <c r="G310" s="819">
        <v>0.2</v>
      </c>
      <c r="H310" s="874" t="s">
        <v>280</v>
      </c>
      <c r="I310" s="847" t="s">
        <v>1750</v>
      </c>
      <c r="J310" s="873" t="s">
        <v>43</v>
      </c>
      <c r="K310" s="874" t="s">
        <v>1634</v>
      </c>
      <c r="L310" s="873" t="s">
        <v>43</v>
      </c>
      <c r="M310" s="874">
        <v>1</v>
      </c>
      <c r="N310" s="888" t="s">
        <v>1750</v>
      </c>
      <c r="O310" s="820">
        <v>10100</v>
      </c>
      <c r="P310" s="876">
        <v>16000</v>
      </c>
      <c r="Q310" s="877" t="s">
        <v>2282</v>
      </c>
      <c r="R310" s="876">
        <v>230000</v>
      </c>
      <c r="S310" s="877" t="s">
        <v>2280</v>
      </c>
      <c r="T310" s="878" t="s">
        <v>1750</v>
      </c>
      <c r="U310" s="879" t="s">
        <v>43</v>
      </c>
      <c r="V310" s="878" t="s">
        <v>1750</v>
      </c>
      <c r="W310" s="879" t="s">
        <v>43</v>
      </c>
      <c r="X310" s="876">
        <v>3900</v>
      </c>
      <c r="Y310" s="880" t="s">
        <v>179</v>
      </c>
      <c r="Z310" s="881" t="s">
        <v>43</v>
      </c>
      <c r="AA310" s="882">
        <v>0.88</v>
      </c>
      <c r="AB310" s="883" t="s">
        <v>179</v>
      </c>
      <c r="AC310" s="884" t="s">
        <v>1750</v>
      </c>
    </row>
    <row r="311" spans="1:29" ht="15.75">
      <c r="A311" s="856" t="s">
        <v>885</v>
      </c>
      <c r="B311" s="792" t="s">
        <v>886</v>
      </c>
      <c r="C311" s="857" t="s">
        <v>1750</v>
      </c>
      <c r="D311" s="858" t="s">
        <v>43</v>
      </c>
      <c r="E311" s="843" t="s">
        <v>1750</v>
      </c>
      <c r="F311" s="858" t="s">
        <v>43</v>
      </c>
      <c r="G311" s="843" t="s">
        <v>1750</v>
      </c>
      <c r="H311" s="858" t="s">
        <v>43</v>
      </c>
      <c r="I311" s="804">
        <v>0.3</v>
      </c>
      <c r="J311" s="859" t="s">
        <v>281</v>
      </c>
      <c r="K311" s="859" t="s">
        <v>1634</v>
      </c>
      <c r="L311" s="858" t="s">
        <v>43</v>
      </c>
      <c r="M311" s="859">
        <v>1</v>
      </c>
      <c r="N311" s="870" t="s">
        <v>1750</v>
      </c>
      <c r="O311" s="805">
        <v>1100</v>
      </c>
      <c r="P311" s="861">
        <v>1800</v>
      </c>
      <c r="Q311" s="862" t="s">
        <v>2282</v>
      </c>
      <c r="R311" s="861">
        <v>7600</v>
      </c>
      <c r="S311" s="862" t="s">
        <v>2282</v>
      </c>
      <c r="T311" s="861">
        <v>310</v>
      </c>
      <c r="U311" s="862" t="s">
        <v>179</v>
      </c>
      <c r="V311" s="861">
        <v>1300</v>
      </c>
      <c r="W311" s="862" t="s">
        <v>179</v>
      </c>
      <c r="X311" s="861">
        <v>630</v>
      </c>
      <c r="Y311" s="865" t="s">
        <v>179</v>
      </c>
      <c r="Z311" s="866" t="s">
        <v>43</v>
      </c>
      <c r="AA311" s="867">
        <v>0.15</v>
      </c>
      <c r="AB311" s="868" t="s">
        <v>179</v>
      </c>
      <c r="AC311" s="869" t="s">
        <v>1750</v>
      </c>
    </row>
    <row r="312" spans="1:29" ht="30.75">
      <c r="A312" s="856" t="s">
        <v>887</v>
      </c>
      <c r="B312" s="792" t="s">
        <v>888</v>
      </c>
      <c r="C312" s="857" t="s">
        <v>1750</v>
      </c>
      <c r="D312" s="858" t="s">
        <v>43</v>
      </c>
      <c r="E312" s="843" t="s">
        <v>1750</v>
      </c>
      <c r="F312" s="858" t="s">
        <v>43</v>
      </c>
      <c r="G312" s="804">
        <v>1.0000000000000001E-5</v>
      </c>
      <c r="H312" s="859" t="s">
        <v>280</v>
      </c>
      <c r="I312" s="843" t="s">
        <v>1750</v>
      </c>
      <c r="J312" s="858" t="s">
        <v>43</v>
      </c>
      <c r="K312" s="858" t="s">
        <v>43</v>
      </c>
      <c r="L312" s="858" t="s">
        <v>43</v>
      </c>
      <c r="M312" s="859">
        <v>1</v>
      </c>
      <c r="N312" s="859">
        <v>0.1</v>
      </c>
      <c r="O312" s="860" t="s">
        <v>1750</v>
      </c>
      <c r="P312" s="861">
        <v>0.63</v>
      </c>
      <c r="Q312" s="862" t="s">
        <v>179</v>
      </c>
      <c r="R312" s="861">
        <v>8.1999999999999993</v>
      </c>
      <c r="S312" s="862" t="s">
        <v>179</v>
      </c>
      <c r="T312" s="863" t="s">
        <v>1750</v>
      </c>
      <c r="U312" s="864" t="s">
        <v>43</v>
      </c>
      <c r="V312" s="863" t="s">
        <v>1750</v>
      </c>
      <c r="W312" s="864" t="s">
        <v>43</v>
      </c>
      <c r="X312" s="861">
        <v>8.8999999999999996E-2</v>
      </c>
      <c r="Y312" s="865" t="s">
        <v>179</v>
      </c>
      <c r="Z312" s="866" t="s">
        <v>43</v>
      </c>
      <c r="AA312" s="867">
        <v>2.8E-3</v>
      </c>
      <c r="AB312" s="868" t="s">
        <v>179</v>
      </c>
      <c r="AC312" s="869" t="s">
        <v>1750</v>
      </c>
    </row>
    <row r="313" spans="1:29" ht="16.5" thickBot="1">
      <c r="A313" s="871" t="s">
        <v>84</v>
      </c>
      <c r="B313" s="807" t="s">
        <v>889</v>
      </c>
      <c r="C313" s="890">
        <v>1.0999999999999999E-2</v>
      </c>
      <c r="D313" s="874" t="s">
        <v>3</v>
      </c>
      <c r="E313" s="819">
        <v>2.5000000000000002E-6</v>
      </c>
      <c r="F313" s="874" t="s">
        <v>3</v>
      </c>
      <c r="G313" s="819">
        <v>0.1</v>
      </c>
      <c r="H313" s="874" t="s">
        <v>280</v>
      </c>
      <c r="I313" s="819">
        <v>1</v>
      </c>
      <c r="J313" s="874" t="s">
        <v>280</v>
      </c>
      <c r="K313" s="874" t="s">
        <v>1634</v>
      </c>
      <c r="L313" s="873" t="s">
        <v>43</v>
      </c>
      <c r="M313" s="874">
        <v>1</v>
      </c>
      <c r="N313" s="888" t="s">
        <v>1750</v>
      </c>
      <c r="O313" s="820">
        <v>480</v>
      </c>
      <c r="P313" s="876">
        <v>5.8</v>
      </c>
      <c r="Q313" s="877" t="s">
        <v>2283</v>
      </c>
      <c r="R313" s="876">
        <v>25</v>
      </c>
      <c r="S313" s="877" t="s">
        <v>2283</v>
      </c>
      <c r="T313" s="876">
        <v>1.1000000000000001</v>
      </c>
      <c r="U313" s="877" t="s">
        <v>2283</v>
      </c>
      <c r="V313" s="876">
        <v>4.9000000000000004</v>
      </c>
      <c r="W313" s="877" t="s">
        <v>2283</v>
      </c>
      <c r="X313" s="876">
        <v>1.5</v>
      </c>
      <c r="Y313" s="880" t="s">
        <v>2283</v>
      </c>
      <c r="Z313" s="893">
        <v>700</v>
      </c>
      <c r="AA313" s="882">
        <v>1.6999999999999999E-3</v>
      </c>
      <c r="AB313" s="883" t="s">
        <v>2283</v>
      </c>
      <c r="AC313" s="894">
        <v>0.78</v>
      </c>
    </row>
    <row r="314" spans="1:29" ht="30.75">
      <c r="A314" s="856" t="s">
        <v>890</v>
      </c>
      <c r="B314" s="792" t="s">
        <v>891</v>
      </c>
      <c r="C314" s="857" t="s">
        <v>1750</v>
      </c>
      <c r="D314" s="858" t="s">
        <v>43</v>
      </c>
      <c r="E314" s="843" t="s">
        <v>1750</v>
      </c>
      <c r="F314" s="858" t="s">
        <v>43</v>
      </c>
      <c r="G314" s="804">
        <v>7.0000000000000007E-2</v>
      </c>
      <c r="H314" s="859" t="s">
        <v>281</v>
      </c>
      <c r="I314" s="843" t="s">
        <v>1750</v>
      </c>
      <c r="J314" s="858" t="s">
        <v>43</v>
      </c>
      <c r="K314" s="858" t="s">
        <v>43</v>
      </c>
      <c r="L314" s="858" t="s">
        <v>43</v>
      </c>
      <c r="M314" s="859">
        <v>1</v>
      </c>
      <c r="N314" s="859">
        <v>0.1</v>
      </c>
      <c r="O314" s="860" t="s">
        <v>1750</v>
      </c>
      <c r="P314" s="861">
        <v>4400</v>
      </c>
      <c r="Q314" s="862" t="s">
        <v>179</v>
      </c>
      <c r="R314" s="861">
        <v>57000</v>
      </c>
      <c r="S314" s="862" t="s">
        <v>179</v>
      </c>
      <c r="T314" s="863" t="s">
        <v>1750</v>
      </c>
      <c r="U314" s="864" t="s">
        <v>43</v>
      </c>
      <c r="V314" s="863" t="s">
        <v>1750</v>
      </c>
      <c r="W314" s="864" t="s">
        <v>43</v>
      </c>
      <c r="X314" s="861">
        <v>1400</v>
      </c>
      <c r="Y314" s="865" t="s">
        <v>179</v>
      </c>
      <c r="Z314" s="866" t="s">
        <v>43</v>
      </c>
      <c r="AA314" s="867">
        <v>0.28000000000000003</v>
      </c>
      <c r="AB314" s="868" t="s">
        <v>179</v>
      </c>
      <c r="AC314" s="869" t="s">
        <v>1750</v>
      </c>
    </row>
    <row r="315" spans="1:29" ht="15.75">
      <c r="A315" s="856" t="s">
        <v>892</v>
      </c>
      <c r="B315" s="792" t="s">
        <v>893</v>
      </c>
      <c r="C315" s="857" t="s">
        <v>1750</v>
      </c>
      <c r="D315" s="858" t="s">
        <v>43</v>
      </c>
      <c r="E315" s="843" t="s">
        <v>1750</v>
      </c>
      <c r="F315" s="858" t="s">
        <v>43</v>
      </c>
      <c r="G315" s="804">
        <v>0.09</v>
      </c>
      <c r="H315" s="859" t="s">
        <v>281</v>
      </c>
      <c r="I315" s="843" t="s">
        <v>1750</v>
      </c>
      <c r="J315" s="858" t="s">
        <v>43</v>
      </c>
      <c r="K315" s="859" t="s">
        <v>1634</v>
      </c>
      <c r="L315" s="858" t="s">
        <v>43</v>
      </c>
      <c r="M315" s="859">
        <v>1</v>
      </c>
      <c r="N315" s="870" t="s">
        <v>1750</v>
      </c>
      <c r="O315" s="805">
        <v>189000</v>
      </c>
      <c r="P315" s="861">
        <v>7000</v>
      </c>
      <c r="Q315" s="862" t="s">
        <v>179</v>
      </c>
      <c r="R315" s="861">
        <v>110000</v>
      </c>
      <c r="S315" s="862" t="s">
        <v>2281</v>
      </c>
      <c r="T315" s="863" t="s">
        <v>1750</v>
      </c>
      <c r="U315" s="864" t="s">
        <v>43</v>
      </c>
      <c r="V315" s="863" t="s">
        <v>1750</v>
      </c>
      <c r="W315" s="864" t="s">
        <v>43</v>
      </c>
      <c r="X315" s="861">
        <v>1800</v>
      </c>
      <c r="Y315" s="865" t="s">
        <v>179</v>
      </c>
      <c r="Z315" s="866" t="s">
        <v>43</v>
      </c>
      <c r="AA315" s="867">
        <v>0.41</v>
      </c>
      <c r="AB315" s="868" t="s">
        <v>179</v>
      </c>
      <c r="AC315" s="869" t="s">
        <v>1750</v>
      </c>
    </row>
    <row r="316" spans="1:29" ht="16.5" thickBot="1">
      <c r="A316" s="871" t="s">
        <v>894</v>
      </c>
      <c r="B316" s="807" t="s">
        <v>895</v>
      </c>
      <c r="C316" s="872" t="s">
        <v>1750</v>
      </c>
      <c r="D316" s="873" t="s">
        <v>43</v>
      </c>
      <c r="E316" s="847" t="s">
        <v>1750</v>
      </c>
      <c r="F316" s="873" t="s">
        <v>43</v>
      </c>
      <c r="G316" s="819">
        <v>2</v>
      </c>
      <c r="H316" s="874" t="s">
        <v>280</v>
      </c>
      <c r="I316" s="819">
        <v>0.4</v>
      </c>
      <c r="J316" s="874" t="s">
        <v>3</v>
      </c>
      <c r="K316" s="873" t="s">
        <v>43</v>
      </c>
      <c r="L316" s="873" t="s">
        <v>43</v>
      </c>
      <c r="M316" s="874">
        <v>1</v>
      </c>
      <c r="N316" s="874">
        <v>0.1</v>
      </c>
      <c r="O316" s="875" t="s">
        <v>1750</v>
      </c>
      <c r="P316" s="876">
        <v>130000</v>
      </c>
      <c r="Q316" s="877" t="s">
        <v>2281</v>
      </c>
      <c r="R316" s="876">
        <v>1600000</v>
      </c>
      <c r="S316" s="877" t="s">
        <v>2281</v>
      </c>
      <c r="T316" s="876">
        <v>420</v>
      </c>
      <c r="U316" s="877" t="s">
        <v>179</v>
      </c>
      <c r="V316" s="876">
        <v>1800</v>
      </c>
      <c r="W316" s="877" t="s">
        <v>179</v>
      </c>
      <c r="X316" s="876">
        <v>40000</v>
      </c>
      <c r="Y316" s="880" t="s">
        <v>179</v>
      </c>
      <c r="Z316" s="881" t="s">
        <v>43</v>
      </c>
      <c r="AA316" s="882">
        <v>8.1</v>
      </c>
      <c r="AB316" s="883" t="s">
        <v>179</v>
      </c>
      <c r="AC316" s="884" t="s">
        <v>1750</v>
      </c>
    </row>
    <row r="317" spans="1:29" ht="30.75">
      <c r="A317" s="856" t="s">
        <v>896</v>
      </c>
      <c r="B317" s="792" t="s">
        <v>897</v>
      </c>
      <c r="C317" s="857" t="s">
        <v>1750</v>
      </c>
      <c r="D317" s="858" t="s">
        <v>43</v>
      </c>
      <c r="E317" s="843" t="s">
        <v>1750</v>
      </c>
      <c r="F317" s="858" t="s">
        <v>43</v>
      </c>
      <c r="G317" s="804">
        <v>0.1</v>
      </c>
      <c r="H317" s="859" t="s">
        <v>280</v>
      </c>
      <c r="I317" s="804">
        <v>1.6</v>
      </c>
      <c r="J317" s="859" t="s">
        <v>280</v>
      </c>
      <c r="K317" s="858" t="s">
        <v>43</v>
      </c>
      <c r="L317" s="858" t="s">
        <v>43</v>
      </c>
      <c r="M317" s="859">
        <v>1</v>
      </c>
      <c r="N317" s="859">
        <v>0.1</v>
      </c>
      <c r="O317" s="860" t="s">
        <v>1750</v>
      </c>
      <c r="P317" s="861">
        <v>6300</v>
      </c>
      <c r="Q317" s="862" t="s">
        <v>179</v>
      </c>
      <c r="R317" s="861">
        <v>82000</v>
      </c>
      <c r="S317" s="862" t="s">
        <v>179</v>
      </c>
      <c r="T317" s="861">
        <v>1700</v>
      </c>
      <c r="U317" s="862" t="s">
        <v>179</v>
      </c>
      <c r="V317" s="861">
        <v>7000</v>
      </c>
      <c r="W317" s="862" t="s">
        <v>179</v>
      </c>
      <c r="X317" s="861">
        <v>2000</v>
      </c>
      <c r="Y317" s="865" t="s">
        <v>179</v>
      </c>
      <c r="Z317" s="866" t="s">
        <v>43</v>
      </c>
      <c r="AA317" s="867">
        <v>0.41</v>
      </c>
      <c r="AB317" s="868" t="s">
        <v>179</v>
      </c>
      <c r="AC317" s="869" t="s">
        <v>1750</v>
      </c>
    </row>
    <row r="318" spans="1:29" ht="15.75">
      <c r="A318" s="856" t="s">
        <v>898</v>
      </c>
      <c r="B318" s="792" t="s">
        <v>899</v>
      </c>
      <c r="C318" s="889">
        <v>0.31</v>
      </c>
      <c r="D318" s="859" t="s">
        <v>3</v>
      </c>
      <c r="E318" s="804">
        <v>3.0000000000000001E-3</v>
      </c>
      <c r="F318" s="859" t="s">
        <v>280</v>
      </c>
      <c r="G318" s="843" t="s">
        <v>1750</v>
      </c>
      <c r="H318" s="858" t="s">
        <v>43</v>
      </c>
      <c r="I318" s="804">
        <v>0.03</v>
      </c>
      <c r="J318" s="859" t="s">
        <v>3</v>
      </c>
      <c r="K318" s="859" t="s">
        <v>1634</v>
      </c>
      <c r="L318" s="859" t="s">
        <v>247</v>
      </c>
      <c r="M318" s="859">
        <v>1</v>
      </c>
      <c r="N318" s="870" t="s">
        <v>1750</v>
      </c>
      <c r="O318" s="805">
        <v>121000</v>
      </c>
      <c r="P318" s="861">
        <v>2E-3</v>
      </c>
      <c r="Q318" s="862" t="s">
        <v>2283</v>
      </c>
      <c r="R318" s="861">
        <v>2.5000000000000001E-2</v>
      </c>
      <c r="S318" s="862" t="s">
        <v>2283</v>
      </c>
      <c r="T318" s="861">
        <v>3.4000000000000002E-4</v>
      </c>
      <c r="U318" s="862" t="s">
        <v>2283</v>
      </c>
      <c r="V318" s="861">
        <v>4.1000000000000003E-3</v>
      </c>
      <c r="W318" s="862" t="s">
        <v>2283</v>
      </c>
      <c r="X318" s="861">
        <v>6.7000000000000002E-4</v>
      </c>
      <c r="Y318" s="865" t="s">
        <v>2283</v>
      </c>
      <c r="Z318" s="866" t="s">
        <v>43</v>
      </c>
      <c r="AA318" s="867">
        <v>1.4000000000000001E-7</v>
      </c>
      <c r="AB318" s="868" t="s">
        <v>2283</v>
      </c>
      <c r="AC318" s="869" t="s">
        <v>1750</v>
      </c>
    </row>
    <row r="319" spans="1:29" ht="16.5" thickBot="1">
      <c r="A319" s="871" t="s">
        <v>900</v>
      </c>
      <c r="B319" s="807" t="s">
        <v>901</v>
      </c>
      <c r="C319" s="890">
        <v>4.4999999999999998E-2</v>
      </c>
      <c r="D319" s="874" t="s">
        <v>3</v>
      </c>
      <c r="E319" s="819">
        <v>1.2999999999999999E-5</v>
      </c>
      <c r="F319" s="874" t="s">
        <v>3</v>
      </c>
      <c r="G319" s="819">
        <v>8.0000000000000007E-5</v>
      </c>
      <c r="H319" s="874" t="s">
        <v>280</v>
      </c>
      <c r="I319" s="847" t="s">
        <v>1750</v>
      </c>
      <c r="J319" s="873" t="s">
        <v>43</v>
      </c>
      <c r="K319" s="873" t="s">
        <v>43</v>
      </c>
      <c r="L319" s="873" t="s">
        <v>43</v>
      </c>
      <c r="M319" s="874">
        <v>1</v>
      </c>
      <c r="N319" s="874">
        <v>0.1</v>
      </c>
      <c r="O319" s="875" t="s">
        <v>1750</v>
      </c>
      <c r="P319" s="876">
        <v>5.0999999999999996</v>
      </c>
      <c r="Q319" s="877" t="s">
        <v>179</v>
      </c>
      <c r="R319" s="876">
        <v>51</v>
      </c>
      <c r="S319" s="877" t="s">
        <v>2278</v>
      </c>
      <c r="T319" s="876">
        <v>0.22</v>
      </c>
      <c r="U319" s="877" t="s">
        <v>2283</v>
      </c>
      <c r="V319" s="876">
        <v>0.94</v>
      </c>
      <c r="W319" s="877" t="s">
        <v>2283</v>
      </c>
      <c r="X319" s="876">
        <v>1.6</v>
      </c>
      <c r="Y319" s="880" t="s">
        <v>179</v>
      </c>
      <c r="Z319" s="881" t="s">
        <v>43</v>
      </c>
      <c r="AA319" s="882">
        <v>3.6000000000000002E-4</v>
      </c>
      <c r="AB319" s="883" t="s">
        <v>179</v>
      </c>
      <c r="AC319" s="884" t="s">
        <v>1750</v>
      </c>
    </row>
    <row r="320" spans="1:29" ht="15.75">
      <c r="A320" s="856" t="s">
        <v>902</v>
      </c>
      <c r="B320" s="792" t="s">
        <v>903</v>
      </c>
      <c r="C320" s="889">
        <v>65</v>
      </c>
      <c r="D320" s="859" t="s">
        <v>3</v>
      </c>
      <c r="E320" s="804">
        <v>1.9E-2</v>
      </c>
      <c r="F320" s="859" t="s">
        <v>3</v>
      </c>
      <c r="G320" s="843" t="s">
        <v>1750</v>
      </c>
      <c r="H320" s="858" t="s">
        <v>43</v>
      </c>
      <c r="I320" s="843" t="s">
        <v>1750</v>
      </c>
      <c r="J320" s="858" t="s">
        <v>43</v>
      </c>
      <c r="K320" s="859" t="s">
        <v>1634</v>
      </c>
      <c r="L320" s="858" t="s">
        <v>43</v>
      </c>
      <c r="M320" s="859">
        <v>1</v>
      </c>
      <c r="N320" s="870" t="s">
        <v>1750</v>
      </c>
      <c r="O320" s="805">
        <v>154000</v>
      </c>
      <c r="P320" s="861">
        <v>2.7000000000000001E-3</v>
      </c>
      <c r="Q320" s="862" t="s">
        <v>2283</v>
      </c>
      <c r="R320" s="861">
        <v>1.2E-2</v>
      </c>
      <c r="S320" s="862" t="s">
        <v>2283</v>
      </c>
      <c r="T320" s="861">
        <v>1.4999999999999999E-4</v>
      </c>
      <c r="U320" s="862" t="s">
        <v>2283</v>
      </c>
      <c r="V320" s="861">
        <v>6.4999999999999997E-4</v>
      </c>
      <c r="W320" s="862" t="s">
        <v>2283</v>
      </c>
      <c r="X320" s="861">
        <v>2.4000000000000001E-4</v>
      </c>
      <c r="Y320" s="865" t="s">
        <v>2283</v>
      </c>
      <c r="Z320" s="866" t="s">
        <v>43</v>
      </c>
      <c r="AA320" s="867">
        <v>5.2000000000000002E-8</v>
      </c>
      <c r="AB320" s="868" t="s">
        <v>2283</v>
      </c>
      <c r="AC320" s="869" t="s">
        <v>1750</v>
      </c>
    </row>
    <row r="321" spans="1:29" ht="30.75">
      <c r="A321" s="856" t="s">
        <v>904</v>
      </c>
      <c r="B321" s="792" t="s">
        <v>905</v>
      </c>
      <c r="C321" s="857" t="s">
        <v>1750</v>
      </c>
      <c r="D321" s="858" t="s">
        <v>43</v>
      </c>
      <c r="E321" s="843" t="s">
        <v>1750</v>
      </c>
      <c r="F321" s="858" t="s">
        <v>43</v>
      </c>
      <c r="G321" s="804">
        <v>3</v>
      </c>
      <c r="H321" s="859" t="s">
        <v>280</v>
      </c>
      <c r="I321" s="843" t="s">
        <v>1750</v>
      </c>
      <c r="J321" s="858" t="s">
        <v>43</v>
      </c>
      <c r="K321" s="858" t="s">
        <v>43</v>
      </c>
      <c r="L321" s="858" t="s">
        <v>43</v>
      </c>
      <c r="M321" s="859">
        <v>1</v>
      </c>
      <c r="N321" s="859">
        <v>0.1</v>
      </c>
      <c r="O321" s="860" t="s">
        <v>1750</v>
      </c>
      <c r="P321" s="861">
        <v>190000</v>
      </c>
      <c r="Q321" s="862" t="s">
        <v>2281</v>
      </c>
      <c r="R321" s="861">
        <v>2500000</v>
      </c>
      <c r="S321" s="862" t="s">
        <v>2281</v>
      </c>
      <c r="T321" s="863" t="s">
        <v>1750</v>
      </c>
      <c r="U321" s="864" t="s">
        <v>43</v>
      </c>
      <c r="V321" s="863" t="s">
        <v>1750</v>
      </c>
      <c r="W321" s="864" t="s">
        <v>43</v>
      </c>
      <c r="X321" s="861">
        <v>58000</v>
      </c>
      <c r="Y321" s="865" t="s">
        <v>179</v>
      </c>
      <c r="Z321" s="866" t="s">
        <v>43</v>
      </c>
      <c r="AA321" s="867">
        <v>130</v>
      </c>
      <c r="AB321" s="868" t="s">
        <v>179</v>
      </c>
      <c r="AC321" s="869" t="s">
        <v>1750</v>
      </c>
    </row>
    <row r="322" spans="1:29" ht="31.5" thickBot="1">
      <c r="A322" s="871" t="s">
        <v>907</v>
      </c>
      <c r="B322" s="807" t="s">
        <v>908</v>
      </c>
      <c r="C322" s="872" t="s">
        <v>1750</v>
      </c>
      <c r="D322" s="873" t="s">
        <v>43</v>
      </c>
      <c r="E322" s="847" t="s">
        <v>1750</v>
      </c>
      <c r="F322" s="873" t="s">
        <v>43</v>
      </c>
      <c r="G322" s="819">
        <v>2.5000000000000001E-4</v>
      </c>
      <c r="H322" s="874" t="s">
        <v>280</v>
      </c>
      <c r="I322" s="847" t="s">
        <v>1750</v>
      </c>
      <c r="J322" s="873" t="s">
        <v>43</v>
      </c>
      <c r="K322" s="873" t="s">
        <v>43</v>
      </c>
      <c r="L322" s="873" t="s">
        <v>43</v>
      </c>
      <c r="M322" s="874">
        <v>1</v>
      </c>
      <c r="N322" s="874">
        <v>0.1</v>
      </c>
      <c r="O322" s="875" t="s">
        <v>1750</v>
      </c>
      <c r="P322" s="876">
        <v>16</v>
      </c>
      <c r="Q322" s="877" t="s">
        <v>179</v>
      </c>
      <c r="R322" s="876">
        <v>210</v>
      </c>
      <c r="S322" s="877" t="s">
        <v>179</v>
      </c>
      <c r="T322" s="878" t="s">
        <v>1750</v>
      </c>
      <c r="U322" s="879" t="s">
        <v>43</v>
      </c>
      <c r="V322" s="878" t="s">
        <v>1750</v>
      </c>
      <c r="W322" s="879" t="s">
        <v>43</v>
      </c>
      <c r="X322" s="876">
        <v>4.4000000000000004</v>
      </c>
      <c r="Y322" s="880" t="s">
        <v>179</v>
      </c>
      <c r="Z322" s="881" t="s">
        <v>43</v>
      </c>
      <c r="AA322" s="882">
        <v>4.3E-3</v>
      </c>
      <c r="AB322" s="883" t="s">
        <v>179</v>
      </c>
      <c r="AC322" s="884" t="s">
        <v>1750</v>
      </c>
    </row>
    <row r="323" spans="1:29" ht="30.75">
      <c r="A323" s="856" t="s">
        <v>909</v>
      </c>
      <c r="B323" s="792" t="s">
        <v>910</v>
      </c>
      <c r="C323" s="857" t="s">
        <v>1750</v>
      </c>
      <c r="D323" s="858" t="s">
        <v>43</v>
      </c>
      <c r="E323" s="843" t="s">
        <v>1750</v>
      </c>
      <c r="F323" s="858" t="s">
        <v>43</v>
      </c>
      <c r="G323" s="804">
        <v>2.5000000000000001E-2</v>
      </c>
      <c r="H323" s="859" t="s">
        <v>280</v>
      </c>
      <c r="I323" s="843" t="s">
        <v>1750</v>
      </c>
      <c r="J323" s="858" t="s">
        <v>43</v>
      </c>
      <c r="K323" s="858" t="s">
        <v>43</v>
      </c>
      <c r="L323" s="858" t="s">
        <v>43</v>
      </c>
      <c r="M323" s="859">
        <v>1</v>
      </c>
      <c r="N323" s="859">
        <v>0.1</v>
      </c>
      <c r="O323" s="860" t="s">
        <v>1750</v>
      </c>
      <c r="P323" s="861">
        <v>1600</v>
      </c>
      <c r="Q323" s="862" t="s">
        <v>179</v>
      </c>
      <c r="R323" s="861">
        <v>21000</v>
      </c>
      <c r="S323" s="862" t="s">
        <v>179</v>
      </c>
      <c r="T323" s="863" t="s">
        <v>1750</v>
      </c>
      <c r="U323" s="864" t="s">
        <v>43</v>
      </c>
      <c r="V323" s="863" t="s">
        <v>1750</v>
      </c>
      <c r="W323" s="864" t="s">
        <v>43</v>
      </c>
      <c r="X323" s="861">
        <v>64</v>
      </c>
      <c r="Y323" s="865" t="s">
        <v>179</v>
      </c>
      <c r="Z323" s="866" t="s">
        <v>43</v>
      </c>
      <c r="AA323" s="867">
        <v>2.9</v>
      </c>
      <c r="AB323" s="868" t="s">
        <v>179</v>
      </c>
      <c r="AC323" s="869" t="s">
        <v>1750</v>
      </c>
    </row>
    <row r="324" spans="1:29" ht="30.75">
      <c r="A324" s="856" t="s">
        <v>2223</v>
      </c>
      <c r="B324" s="792" t="s">
        <v>1435</v>
      </c>
      <c r="C324" s="857" t="s">
        <v>1750</v>
      </c>
      <c r="D324" s="858" t="s">
        <v>43</v>
      </c>
      <c r="E324" s="843" t="s">
        <v>1750</v>
      </c>
      <c r="F324" s="858" t="s">
        <v>43</v>
      </c>
      <c r="G324" s="804">
        <v>2.5000000000000001E-2</v>
      </c>
      <c r="H324" s="859" t="s">
        <v>280</v>
      </c>
      <c r="I324" s="843" t="s">
        <v>1750</v>
      </c>
      <c r="J324" s="858" t="s">
        <v>43</v>
      </c>
      <c r="K324" s="858" t="s">
        <v>43</v>
      </c>
      <c r="L324" s="858" t="s">
        <v>43</v>
      </c>
      <c r="M324" s="859">
        <v>1</v>
      </c>
      <c r="N324" s="859">
        <v>0.1</v>
      </c>
      <c r="O324" s="860" t="s">
        <v>1750</v>
      </c>
      <c r="P324" s="861">
        <v>1600</v>
      </c>
      <c r="Q324" s="862" t="s">
        <v>179</v>
      </c>
      <c r="R324" s="861">
        <v>21000</v>
      </c>
      <c r="S324" s="862" t="s">
        <v>179</v>
      </c>
      <c r="T324" s="863" t="s">
        <v>1750</v>
      </c>
      <c r="U324" s="864" t="s">
        <v>43</v>
      </c>
      <c r="V324" s="863" t="s">
        <v>1750</v>
      </c>
      <c r="W324" s="864" t="s">
        <v>43</v>
      </c>
      <c r="X324" s="861">
        <v>500</v>
      </c>
      <c r="Y324" s="865" t="s">
        <v>179</v>
      </c>
      <c r="Z324" s="866" t="s">
        <v>43</v>
      </c>
      <c r="AA324" s="867">
        <v>320</v>
      </c>
      <c r="AB324" s="868" t="s">
        <v>179</v>
      </c>
      <c r="AC324" s="869" t="s">
        <v>1750</v>
      </c>
    </row>
    <row r="325" spans="1:29" ht="16.5" thickBot="1">
      <c r="A325" s="871" t="s">
        <v>911</v>
      </c>
      <c r="B325" s="807" t="s">
        <v>912</v>
      </c>
      <c r="C325" s="872" t="s">
        <v>1750</v>
      </c>
      <c r="D325" s="873" t="s">
        <v>43</v>
      </c>
      <c r="E325" s="847" t="s">
        <v>1750</v>
      </c>
      <c r="F325" s="873" t="s">
        <v>43</v>
      </c>
      <c r="G325" s="819">
        <v>1.2999999999999999E-2</v>
      </c>
      <c r="H325" s="874" t="s">
        <v>280</v>
      </c>
      <c r="I325" s="847" t="s">
        <v>1750</v>
      </c>
      <c r="J325" s="873" t="s">
        <v>43</v>
      </c>
      <c r="K325" s="873" t="s">
        <v>43</v>
      </c>
      <c r="L325" s="873" t="s">
        <v>43</v>
      </c>
      <c r="M325" s="874">
        <v>1</v>
      </c>
      <c r="N325" s="874">
        <v>0.1</v>
      </c>
      <c r="O325" s="875" t="s">
        <v>1750</v>
      </c>
      <c r="P325" s="876">
        <v>820</v>
      </c>
      <c r="Q325" s="877" t="s">
        <v>179</v>
      </c>
      <c r="R325" s="876">
        <v>11000</v>
      </c>
      <c r="S325" s="877" t="s">
        <v>179</v>
      </c>
      <c r="T325" s="878" t="s">
        <v>1750</v>
      </c>
      <c r="U325" s="879" t="s">
        <v>43</v>
      </c>
      <c r="V325" s="878" t="s">
        <v>1750</v>
      </c>
      <c r="W325" s="879" t="s">
        <v>43</v>
      </c>
      <c r="X325" s="876">
        <v>240</v>
      </c>
      <c r="Y325" s="880" t="s">
        <v>179</v>
      </c>
      <c r="Z325" s="881" t="s">
        <v>43</v>
      </c>
      <c r="AA325" s="882">
        <v>0.19</v>
      </c>
      <c r="AB325" s="883" t="s">
        <v>179</v>
      </c>
      <c r="AC325" s="884" t="s">
        <v>1750</v>
      </c>
    </row>
    <row r="326" spans="1:29" ht="30.75">
      <c r="A326" s="856" t="s">
        <v>913</v>
      </c>
      <c r="B326" s="792" t="s">
        <v>914</v>
      </c>
      <c r="C326" s="857" t="s">
        <v>1750</v>
      </c>
      <c r="D326" s="858" t="s">
        <v>43</v>
      </c>
      <c r="E326" s="843" t="s">
        <v>1750</v>
      </c>
      <c r="F326" s="858" t="s">
        <v>43</v>
      </c>
      <c r="G326" s="804">
        <v>0.04</v>
      </c>
      <c r="H326" s="859" t="s">
        <v>3</v>
      </c>
      <c r="I326" s="804">
        <v>1.2999999999999999E-2</v>
      </c>
      <c r="J326" s="859" t="s">
        <v>3</v>
      </c>
      <c r="K326" s="858" t="s">
        <v>43</v>
      </c>
      <c r="L326" s="858" t="s">
        <v>43</v>
      </c>
      <c r="M326" s="859">
        <v>1</v>
      </c>
      <c r="N326" s="870" t="s">
        <v>1750</v>
      </c>
      <c r="O326" s="860" t="s">
        <v>1750</v>
      </c>
      <c r="P326" s="861">
        <v>3100</v>
      </c>
      <c r="Q326" s="862" t="s">
        <v>179</v>
      </c>
      <c r="R326" s="861">
        <v>47000</v>
      </c>
      <c r="S326" s="862" t="s">
        <v>179</v>
      </c>
      <c r="T326" s="861">
        <v>14</v>
      </c>
      <c r="U326" s="862" t="s">
        <v>179</v>
      </c>
      <c r="V326" s="861">
        <v>57</v>
      </c>
      <c r="W326" s="862" t="s">
        <v>179</v>
      </c>
      <c r="X326" s="861">
        <v>800</v>
      </c>
      <c r="Y326" s="865" t="s">
        <v>179</v>
      </c>
      <c r="Z326" s="866" t="s">
        <v>43</v>
      </c>
      <c r="AA326" s="867">
        <v>120</v>
      </c>
      <c r="AB326" s="868" t="s">
        <v>179</v>
      </c>
      <c r="AC326" s="869" t="s">
        <v>1750</v>
      </c>
    </row>
    <row r="327" spans="1:29" ht="30.75">
      <c r="A327" s="856" t="s">
        <v>915</v>
      </c>
      <c r="B327" s="792" t="s">
        <v>916</v>
      </c>
      <c r="C327" s="857" t="s">
        <v>1750</v>
      </c>
      <c r="D327" s="858" t="s">
        <v>43</v>
      </c>
      <c r="E327" s="843" t="s">
        <v>1750</v>
      </c>
      <c r="F327" s="858" t="s">
        <v>43</v>
      </c>
      <c r="G327" s="804">
        <v>0.06</v>
      </c>
      <c r="H327" s="859" t="s">
        <v>280</v>
      </c>
      <c r="I327" s="804">
        <v>1.2999999999999999E-2</v>
      </c>
      <c r="J327" s="859" t="s">
        <v>3</v>
      </c>
      <c r="K327" s="858" t="s">
        <v>43</v>
      </c>
      <c r="L327" s="858" t="s">
        <v>43</v>
      </c>
      <c r="M327" s="859">
        <v>1</v>
      </c>
      <c r="N327" s="870" t="s">
        <v>1750</v>
      </c>
      <c r="O327" s="860" t="s">
        <v>1750</v>
      </c>
      <c r="P327" s="861">
        <v>4700</v>
      </c>
      <c r="Q327" s="862" t="s">
        <v>179</v>
      </c>
      <c r="R327" s="861">
        <v>70000</v>
      </c>
      <c r="S327" s="862" t="s">
        <v>179</v>
      </c>
      <c r="T327" s="861">
        <v>14</v>
      </c>
      <c r="U327" s="862" t="s">
        <v>179</v>
      </c>
      <c r="V327" s="861">
        <v>57</v>
      </c>
      <c r="W327" s="862" t="s">
        <v>179</v>
      </c>
      <c r="X327" s="861">
        <v>1200</v>
      </c>
      <c r="Y327" s="865" t="s">
        <v>179</v>
      </c>
      <c r="Z327" s="891">
        <v>4000</v>
      </c>
      <c r="AA327" s="867">
        <v>180</v>
      </c>
      <c r="AB327" s="868" t="s">
        <v>179</v>
      </c>
      <c r="AC327" s="892">
        <v>600</v>
      </c>
    </row>
    <row r="328" spans="1:29" ht="31.5" thickBot="1">
      <c r="A328" s="871" t="s">
        <v>917</v>
      </c>
      <c r="B328" s="807" t="s">
        <v>918</v>
      </c>
      <c r="C328" s="872" t="s">
        <v>1750</v>
      </c>
      <c r="D328" s="873" t="s">
        <v>43</v>
      </c>
      <c r="E328" s="847" t="s">
        <v>1750</v>
      </c>
      <c r="F328" s="873" t="s">
        <v>43</v>
      </c>
      <c r="G328" s="819">
        <v>0.08</v>
      </c>
      <c r="H328" s="874" t="s">
        <v>280</v>
      </c>
      <c r="I328" s="847" t="s">
        <v>1750</v>
      </c>
      <c r="J328" s="873" t="s">
        <v>43</v>
      </c>
      <c r="K328" s="873" t="s">
        <v>43</v>
      </c>
      <c r="L328" s="873" t="s">
        <v>43</v>
      </c>
      <c r="M328" s="874">
        <v>1</v>
      </c>
      <c r="N328" s="874">
        <v>0.1</v>
      </c>
      <c r="O328" s="875" t="s">
        <v>1750</v>
      </c>
      <c r="P328" s="876">
        <v>5100</v>
      </c>
      <c r="Q328" s="877" t="s">
        <v>179</v>
      </c>
      <c r="R328" s="876">
        <v>66000</v>
      </c>
      <c r="S328" s="877" t="s">
        <v>179</v>
      </c>
      <c r="T328" s="878" t="s">
        <v>1750</v>
      </c>
      <c r="U328" s="879" t="s">
        <v>43</v>
      </c>
      <c r="V328" s="878" t="s">
        <v>1750</v>
      </c>
      <c r="W328" s="879" t="s">
        <v>43</v>
      </c>
      <c r="X328" s="876">
        <v>1400</v>
      </c>
      <c r="Y328" s="880" t="s">
        <v>179</v>
      </c>
      <c r="Z328" s="881" t="s">
        <v>43</v>
      </c>
      <c r="AA328" s="882">
        <v>160</v>
      </c>
      <c r="AB328" s="883" t="s">
        <v>179</v>
      </c>
      <c r="AC328" s="884" t="s">
        <v>1750</v>
      </c>
    </row>
    <row r="329" spans="1:29" ht="30.75">
      <c r="A329" s="856" t="s">
        <v>919</v>
      </c>
      <c r="B329" s="792" t="s">
        <v>920</v>
      </c>
      <c r="C329" s="857" t="s">
        <v>1750</v>
      </c>
      <c r="D329" s="858" t="s">
        <v>43</v>
      </c>
      <c r="E329" s="843" t="s">
        <v>1750</v>
      </c>
      <c r="F329" s="858" t="s">
        <v>43</v>
      </c>
      <c r="G329" s="804">
        <v>1.4999999999999999E-2</v>
      </c>
      <c r="H329" s="859" t="s">
        <v>2463</v>
      </c>
      <c r="I329" s="843" t="s">
        <v>1750</v>
      </c>
      <c r="J329" s="858" t="s">
        <v>43</v>
      </c>
      <c r="K329" s="858" t="s">
        <v>43</v>
      </c>
      <c r="L329" s="858" t="s">
        <v>43</v>
      </c>
      <c r="M329" s="859">
        <v>1</v>
      </c>
      <c r="N329" s="859">
        <v>0.1</v>
      </c>
      <c r="O329" s="860" t="s">
        <v>1750</v>
      </c>
      <c r="P329" s="861">
        <v>950</v>
      </c>
      <c r="Q329" s="862" t="s">
        <v>179</v>
      </c>
      <c r="R329" s="861">
        <v>12000</v>
      </c>
      <c r="S329" s="862" t="s">
        <v>179</v>
      </c>
      <c r="T329" s="863" t="s">
        <v>1750</v>
      </c>
      <c r="U329" s="864" t="s">
        <v>43</v>
      </c>
      <c r="V329" s="863" t="s">
        <v>1750</v>
      </c>
      <c r="W329" s="864" t="s">
        <v>43</v>
      </c>
      <c r="X329" s="861">
        <v>260</v>
      </c>
      <c r="Y329" s="865" t="s">
        <v>179</v>
      </c>
      <c r="Z329" s="866" t="s">
        <v>43</v>
      </c>
      <c r="AA329" s="867">
        <v>1.2</v>
      </c>
      <c r="AB329" s="868" t="s">
        <v>179</v>
      </c>
      <c r="AC329" s="869" t="s">
        <v>1750</v>
      </c>
    </row>
    <row r="330" spans="1:29" ht="30.75">
      <c r="A330" s="856" t="s">
        <v>2224</v>
      </c>
      <c r="B330" s="792" t="s">
        <v>1238</v>
      </c>
      <c r="C330" s="857" t="s">
        <v>1750</v>
      </c>
      <c r="D330" s="858" t="s">
        <v>43</v>
      </c>
      <c r="E330" s="843" t="s">
        <v>1750</v>
      </c>
      <c r="F330" s="858" t="s">
        <v>43</v>
      </c>
      <c r="G330" s="804">
        <v>2E-3</v>
      </c>
      <c r="H330" s="859" t="s">
        <v>2463</v>
      </c>
      <c r="I330" s="843" t="s">
        <v>1750</v>
      </c>
      <c r="J330" s="858" t="s">
        <v>43</v>
      </c>
      <c r="K330" s="858" t="s">
        <v>43</v>
      </c>
      <c r="L330" s="858" t="s">
        <v>43</v>
      </c>
      <c r="M330" s="859">
        <v>1</v>
      </c>
      <c r="N330" s="859">
        <v>0.1</v>
      </c>
      <c r="O330" s="860" t="s">
        <v>1750</v>
      </c>
      <c r="P330" s="861">
        <v>130</v>
      </c>
      <c r="Q330" s="862" t="s">
        <v>179</v>
      </c>
      <c r="R330" s="861">
        <v>1600</v>
      </c>
      <c r="S330" s="862" t="s">
        <v>179</v>
      </c>
      <c r="T330" s="863" t="s">
        <v>1750</v>
      </c>
      <c r="U330" s="864" t="s">
        <v>43</v>
      </c>
      <c r="V330" s="863" t="s">
        <v>1750</v>
      </c>
      <c r="W330" s="864" t="s">
        <v>43</v>
      </c>
      <c r="X330" s="861">
        <v>31</v>
      </c>
      <c r="Y330" s="865" t="s">
        <v>179</v>
      </c>
      <c r="Z330" s="866" t="s">
        <v>43</v>
      </c>
      <c r="AA330" s="867">
        <v>5.0999999999999996</v>
      </c>
      <c r="AB330" s="868" t="s">
        <v>179</v>
      </c>
      <c r="AC330" s="869" t="s">
        <v>1750</v>
      </c>
    </row>
    <row r="331" spans="1:29" ht="31.5" thickBot="1">
      <c r="A331" s="871" t="s">
        <v>921</v>
      </c>
      <c r="B331" s="807" t="s">
        <v>922</v>
      </c>
      <c r="C331" s="872" t="s">
        <v>1750</v>
      </c>
      <c r="D331" s="873" t="s">
        <v>43</v>
      </c>
      <c r="E331" s="847" t="s">
        <v>1750</v>
      </c>
      <c r="F331" s="873" t="s">
        <v>43</v>
      </c>
      <c r="G331" s="819">
        <v>0.5</v>
      </c>
      <c r="H331" s="874" t="s">
        <v>2463</v>
      </c>
      <c r="I331" s="847" t="s">
        <v>1750</v>
      </c>
      <c r="J331" s="873" t="s">
        <v>43</v>
      </c>
      <c r="K331" s="873" t="s">
        <v>43</v>
      </c>
      <c r="L331" s="873" t="s">
        <v>43</v>
      </c>
      <c r="M331" s="874">
        <v>1</v>
      </c>
      <c r="N331" s="874">
        <v>0.1</v>
      </c>
      <c r="O331" s="875" t="s">
        <v>1750</v>
      </c>
      <c r="P331" s="876">
        <v>32000</v>
      </c>
      <c r="Q331" s="877" t="s">
        <v>179</v>
      </c>
      <c r="R331" s="876">
        <v>410000</v>
      </c>
      <c r="S331" s="877" t="s">
        <v>2281</v>
      </c>
      <c r="T331" s="878" t="s">
        <v>1750</v>
      </c>
      <c r="U331" s="879" t="s">
        <v>43</v>
      </c>
      <c r="V331" s="878" t="s">
        <v>1750</v>
      </c>
      <c r="W331" s="879" t="s">
        <v>43</v>
      </c>
      <c r="X331" s="876">
        <v>7900</v>
      </c>
      <c r="Y331" s="880" t="s">
        <v>179</v>
      </c>
      <c r="Z331" s="881" t="s">
        <v>43</v>
      </c>
      <c r="AA331" s="882">
        <v>42</v>
      </c>
      <c r="AB331" s="883" t="s">
        <v>179</v>
      </c>
      <c r="AC331" s="884" t="s">
        <v>1750</v>
      </c>
    </row>
    <row r="332" spans="1:29" ht="30.75">
      <c r="A332" s="856" t="s">
        <v>923</v>
      </c>
      <c r="B332" s="792" t="s">
        <v>924</v>
      </c>
      <c r="C332" s="857" t="s">
        <v>1750</v>
      </c>
      <c r="D332" s="858" t="s">
        <v>43</v>
      </c>
      <c r="E332" s="843" t="s">
        <v>1750</v>
      </c>
      <c r="F332" s="858" t="s">
        <v>43</v>
      </c>
      <c r="G332" s="804">
        <v>0.01</v>
      </c>
      <c r="H332" s="859" t="s">
        <v>280</v>
      </c>
      <c r="I332" s="843" t="s">
        <v>1750</v>
      </c>
      <c r="J332" s="858" t="s">
        <v>43</v>
      </c>
      <c r="K332" s="858" t="s">
        <v>43</v>
      </c>
      <c r="L332" s="858" t="s">
        <v>43</v>
      </c>
      <c r="M332" s="859">
        <v>1</v>
      </c>
      <c r="N332" s="859">
        <v>0.1</v>
      </c>
      <c r="O332" s="860" t="s">
        <v>1750</v>
      </c>
      <c r="P332" s="861">
        <v>630</v>
      </c>
      <c r="Q332" s="862" t="s">
        <v>179</v>
      </c>
      <c r="R332" s="861">
        <v>8200</v>
      </c>
      <c r="S332" s="862" t="s">
        <v>179</v>
      </c>
      <c r="T332" s="863" t="s">
        <v>1750</v>
      </c>
      <c r="U332" s="864" t="s">
        <v>43</v>
      </c>
      <c r="V332" s="863" t="s">
        <v>1750</v>
      </c>
      <c r="W332" s="864" t="s">
        <v>43</v>
      </c>
      <c r="X332" s="861">
        <v>200</v>
      </c>
      <c r="Y332" s="865" t="s">
        <v>179</v>
      </c>
      <c r="Z332" s="866" t="s">
        <v>43</v>
      </c>
      <c r="AA332" s="867">
        <v>290</v>
      </c>
      <c r="AB332" s="868" t="s">
        <v>179</v>
      </c>
      <c r="AC332" s="869" t="s">
        <v>1750</v>
      </c>
    </row>
    <row r="333" spans="1:29" ht="15.75">
      <c r="A333" s="856" t="s">
        <v>925</v>
      </c>
      <c r="B333" s="792" t="s">
        <v>926</v>
      </c>
      <c r="C333" s="857" t="s">
        <v>1750</v>
      </c>
      <c r="D333" s="858" t="s">
        <v>43</v>
      </c>
      <c r="E333" s="843" t="s">
        <v>1750</v>
      </c>
      <c r="F333" s="858" t="s">
        <v>43</v>
      </c>
      <c r="G333" s="804">
        <v>0.09</v>
      </c>
      <c r="H333" s="859" t="s">
        <v>2463</v>
      </c>
      <c r="I333" s="843" t="s">
        <v>1750</v>
      </c>
      <c r="J333" s="858" t="s">
        <v>43</v>
      </c>
      <c r="K333" s="858" t="s">
        <v>43</v>
      </c>
      <c r="L333" s="858" t="s">
        <v>43</v>
      </c>
      <c r="M333" s="859">
        <v>1</v>
      </c>
      <c r="N333" s="859">
        <v>0.1</v>
      </c>
      <c r="O333" s="860" t="s">
        <v>1750</v>
      </c>
      <c r="P333" s="861">
        <v>5700</v>
      </c>
      <c r="Q333" s="862" t="s">
        <v>179</v>
      </c>
      <c r="R333" s="861">
        <v>74000</v>
      </c>
      <c r="S333" s="862" t="s">
        <v>179</v>
      </c>
      <c r="T333" s="863" t="s">
        <v>1750</v>
      </c>
      <c r="U333" s="864" t="s">
        <v>43</v>
      </c>
      <c r="V333" s="863" t="s">
        <v>1750</v>
      </c>
      <c r="W333" s="864" t="s">
        <v>43</v>
      </c>
      <c r="X333" s="861">
        <v>1600</v>
      </c>
      <c r="Y333" s="865" t="s">
        <v>179</v>
      </c>
      <c r="Z333" s="866" t="s">
        <v>43</v>
      </c>
      <c r="AA333" s="867">
        <v>0.39</v>
      </c>
      <c r="AB333" s="868" t="s">
        <v>179</v>
      </c>
      <c r="AC333" s="869" t="s">
        <v>1750</v>
      </c>
    </row>
    <row r="334" spans="1:29" ht="31.5" thickBot="1">
      <c r="A334" s="871" t="s">
        <v>927</v>
      </c>
      <c r="B334" s="807" t="s">
        <v>928</v>
      </c>
      <c r="C334" s="872" t="s">
        <v>1750</v>
      </c>
      <c r="D334" s="873" t="s">
        <v>43</v>
      </c>
      <c r="E334" s="847" t="s">
        <v>1750</v>
      </c>
      <c r="F334" s="873" t="s">
        <v>43</v>
      </c>
      <c r="G334" s="819">
        <v>2.5000000000000001E-3</v>
      </c>
      <c r="H334" s="874" t="s">
        <v>2463</v>
      </c>
      <c r="I334" s="847" t="s">
        <v>1750</v>
      </c>
      <c r="J334" s="873" t="s">
        <v>43</v>
      </c>
      <c r="K334" s="873" t="s">
        <v>43</v>
      </c>
      <c r="L334" s="873" t="s">
        <v>43</v>
      </c>
      <c r="M334" s="874">
        <v>1</v>
      </c>
      <c r="N334" s="874">
        <v>0.1</v>
      </c>
      <c r="O334" s="875" t="s">
        <v>1750</v>
      </c>
      <c r="P334" s="876">
        <v>160</v>
      </c>
      <c r="Q334" s="877" t="s">
        <v>179</v>
      </c>
      <c r="R334" s="876">
        <v>2100</v>
      </c>
      <c r="S334" s="877" t="s">
        <v>179</v>
      </c>
      <c r="T334" s="878" t="s">
        <v>1750</v>
      </c>
      <c r="U334" s="879" t="s">
        <v>43</v>
      </c>
      <c r="V334" s="878" t="s">
        <v>1750</v>
      </c>
      <c r="W334" s="879" t="s">
        <v>43</v>
      </c>
      <c r="X334" s="876">
        <v>48</v>
      </c>
      <c r="Y334" s="880" t="s">
        <v>179</v>
      </c>
      <c r="Z334" s="881" t="s">
        <v>43</v>
      </c>
      <c r="AA334" s="882">
        <v>0.16</v>
      </c>
      <c r="AB334" s="883" t="s">
        <v>179</v>
      </c>
      <c r="AC334" s="884" t="s">
        <v>1750</v>
      </c>
    </row>
    <row r="335" spans="1:29" ht="15.75">
      <c r="A335" s="856" t="s">
        <v>929</v>
      </c>
      <c r="B335" s="792" t="s">
        <v>930</v>
      </c>
      <c r="C335" s="857" t="s">
        <v>1750</v>
      </c>
      <c r="D335" s="858" t="s">
        <v>43</v>
      </c>
      <c r="E335" s="843" t="s">
        <v>1750</v>
      </c>
      <c r="F335" s="858" t="s">
        <v>43</v>
      </c>
      <c r="G335" s="804">
        <v>2E-3</v>
      </c>
      <c r="H335" s="859" t="s">
        <v>280</v>
      </c>
      <c r="I335" s="843" t="s">
        <v>1750</v>
      </c>
      <c r="J335" s="858" t="s">
        <v>43</v>
      </c>
      <c r="K335" s="858" t="s">
        <v>43</v>
      </c>
      <c r="L335" s="858" t="s">
        <v>43</v>
      </c>
      <c r="M335" s="859">
        <v>1</v>
      </c>
      <c r="N335" s="859">
        <v>0.1</v>
      </c>
      <c r="O335" s="860" t="s">
        <v>1750</v>
      </c>
      <c r="P335" s="861">
        <v>130</v>
      </c>
      <c r="Q335" s="862" t="s">
        <v>179</v>
      </c>
      <c r="R335" s="861">
        <v>1600</v>
      </c>
      <c r="S335" s="862" t="s">
        <v>179</v>
      </c>
      <c r="T335" s="863" t="s">
        <v>1750</v>
      </c>
      <c r="U335" s="864" t="s">
        <v>43</v>
      </c>
      <c r="V335" s="863" t="s">
        <v>1750</v>
      </c>
      <c r="W335" s="864" t="s">
        <v>43</v>
      </c>
      <c r="X335" s="861">
        <v>24</v>
      </c>
      <c r="Y335" s="865" t="s">
        <v>179</v>
      </c>
      <c r="Z335" s="866" t="s">
        <v>43</v>
      </c>
      <c r="AA335" s="867">
        <v>4.7E-2</v>
      </c>
      <c r="AB335" s="868" t="s">
        <v>179</v>
      </c>
      <c r="AC335" s="869" t="s">
        <v>1750</v>
      </c>
    </row>
    <row r="336" spans="1:29" ht="15.75">
      <c r="A336" s="856" t="s">
        <v>931</v>
      </c>
      <c r="B336" s="792" t="s">
        <v>932</v>
      </c>
      <c r="C336" s="857" t="s">
        <v>1750</v>
      </c>
      <c r="D336" s="858" t="s">
        <v>43</v>
      </c>
      <c r="E336" s="804">
        <v>1.2999999999999999E-5</v>
      </c>
      <c r="F336" s="859" t="s">
        <v>280</v>
      </c>
      <c r="G336" s="804">
        <v>0.2</v>
      </c>
      <c r="H336" s="859" t="s">
        <v>280</v>
      </c>
      <c r="I336" s="804">
        <v>9.7999999999999997E-3</v>
      </c>
      <c r="J336" s="859" t="s">
        <v>18</v>
      </c>
      <c r="K336" s="859" t="s">
        <v>1634</v>
      </c>
      <c r="L336" s="858" t="s">
        <v>43</v>
      </c>
      <c r="M336" s="859">
        <v>1</v>
      </c>
      <c r="N336" s="870" t="s">
        <v>1750</v>
      </c>
      <c r="O336" s="805">
        <v>42400</v>
      </c>
      <c r="P336" s="861">
        <v>17</v>
      </c>
      <c r="Q336" s="862" t="s">
        <v>2279</v>
      </c>
      <c r="R336" s="861">
        <v>73</v>
      </c>
      <c r="S336" s="862" t="s">
        <v>2279</v>
      </c>
      <c r="T336" s="861">
        <v>0.22</v>
      </c>
      <c r="U336" s="862" t="s">
        <v>2279</v>
      </c>
      <c r="V336" s="861">
        <v>0.94</v>
      </c>
      <c r="W336" s="862" t="s">
        <v>2279</v>
      </c>
      <c r="X336" s="861">
        <v>0.43</v>
      </c>
      <c r="Y336" s="865" t="s">
        <v>2279</v>
      </c>
      <c r="Z336" s="866" t="s">
        <v>43</v>
      </c>
      <c r="AA336" s="867">
        <v>8.7000000000000001E-5</v>
      </c>
      <c r="AB336" s="868" t="s">
        <v>2279</v>
      </c>
      <c r="AC336" s="869" t="s">
        <v>1750</v>
      </c>
    </row>
    <row r="337" spans="1:29" ht="16.5" thickBot="1">
      <c r="A337" s="871" t="s">
        <v>933</v>
      </c>
      <c r="B337" s="807" t="s">
        <v>934</v>
      </c>
      <c r="C337" s="872" t="s">
        <v>1750</v>
      </c>
      <c r="D337" s="873" t="s">
        <v>43</v>
      </c>
      <c r="E337" s="847" t="s">
        <v>1750</v>
      </c>
      <c r="F337" s="873" t="s">
        <v>43</v>
      </c>
      <c r="G337" s="819">
        <v>0.9</v>
      </c>
      <c r="H337" s="874" t="s">
        <v>281</v>
      </c>
      <c r="I337" s="819">
        <v>2.9999999999999997E-4</v>
      </c>
      <c r="J337" s="874" t="s">
        <v>0</v>
      </c>
      <c r="K337" s="874" t="s">
        <v>1634</v>
      </c>
      <c r="L337" s="873" t="s">
        <v>43</v>
      </c>
      <c r="M337" s="874">
        <v>1</v>
      </c>
      <c r="N337" s="888" t="s">
        <v>1750</v>
      </c>
      <c r="O337" s="820">
        <v>106000</v>
      </c>
      <c r="P337" s="876">
        <v>29</v>
      </c>
      <c r="Q337" s="877" t="s">
        <v>179</v>
      </c>
      <c r="R337" s="876">
        <v>120</v>
      </c>
      <c r="S337" s="877" t="s">
        <v>179</v>
      </c>
      <c r="T337" s="876">
        <v>0.31</v>
      </c>
      <c r="U337" s="877" t="s">
        <v>179</v>
      </c>
      <c r="V337" s="876">
        <v>1.3</v>
      </c>
      <c r="W337" s="877" t="s">
        <v>179</v>
      </c>
      <c r="X337" s="876">
        <v>0.63</v>
      </c>
      <c r="Y337" s="880" t="s">
        <v>179</v>
      </c>
      <c r="Z337" s="881" t="s">
        <v>43</v>
      </c>
      <c r="AA337" s="882">
        <v>1.2999999999999999E-4</v>
      </c>
      <c r="AB337" s="883" t="s">
        <v>179</v>
      </c>
      <c r="AC337" s="884" t="s">
        <v>1750</v>
      </c>
    </row>
    <row r="338" spans="1:29" ht="30.75">
      <c r="A338" s="856" t="s">
        <v>935</v>
      </c>
      <c r="B338" s="792" t="s">
        <v>936</v>
      </c>
      <c r="C338" s="857" t="s">
        <v>1750</v>
      </c>
      <c r="D338" s="858" t="s">
        <v>43</v>
      </c>
      <c r="E338" s="843" t="s">
        <v>1750</v>
      </c>
      <c r="F338" s="858" t="s">
        <v>43</v>
      </c>
      <c r="G338" s="804">
        <v>2.5</v>
      </c>
      <c r="H338" s="859" t="s">
        <v>2463</v>
      </c>
      <c r="I338" s="843" t="s">
        <v>1750</v>
      </c>
      <c r="J338" s="858" t="s">
        <v>43</v>
      </c>
      <c r="K338" s="858" t="s">
        <v>43</v>
      </c>
      <c r="L338" s="858" t="s">
        <v>43</v>
      </c>
      <c r="M338" s="859">
        <v>1</v>
      </c>
      <c r="N338" s="859">
        <v>0.1</v>
      </c>
      <c r="O338" s="860" t="s">
        <v>1750</v>
      </c>
      <c r="P338" s="861">
        <v>160000</v>
      </c>
      <c r="Q338" s="862" t="s">
        <v>2281</v>
      </c>
      <c r="R338" s="861">
        <v>2100000</v>
      </c>
      <c r="S338" s="862" t="s">
        <v>2281</v>
      </c>
      <c r="T338" s="863" t="s">
        <v>1750</v>
      </c>
      <c r="U338" s="864" t="s">
        <v>43</v>
      </c>
      <c r="V338" s="863" t="s">
        <v>1750</v>
      </c>
      <c r="W338" s="864" t="s">
        <v>43</v>
      </c>
      <c r="X338" s="861">
        <v>50000</v>
      </c>
      <c r="Y338" s="865" t="s">
        <v>179</v>
      </c>
      <c r="Z338" s="866" t="s">
        <v>43</v>
      </c>
      <c r="AA338" s="867">
        <v>660</v>
      </c>
      <c r="AB338" s="868" t="s">
        <v>179</v>
      </c>
      <c r="AC338" s="869" t="s">
        <v>1750</v>
      </c>
    </row>
    <row r="339" spans="1:29" ht="15.75">
      <c r="A339" s="856" t="s">
        <v>937</v>
      </c>
      <c r="B339" s="792" t="s">
        <v>43</v>
      </c>
      <c r="C339" s="857" t="s">
        <v>1750</v>
      </c>
      <c r="D339" s="858" t="s">
        <v>43</v>
      </c>
      <c r="E339" s="843" t="s">
        <v>1750</v>
      </c>
      <c r="F339" s="858" t="s">
        <v>43</v>
      </c>
      <c r="G339" s="843" t="s">
        <v>1750</v>
      </c>
      <c r="H339" s="858" t="s">
        <v>43</v>
      </c>
      <c r="I339" s="843" t="s">
        <v>1750</v>
      </c>
      <c r="J339" s="858" t="s">
        <v>43</v>
      </c>
      <c r="K339" s="858" t="s">
        <v>43</v>
      </c>
      <c r="L339" s="858" t="s">
        <v>43</v>
      </c>
      <c r="M339" s="870" t="s">
        <v>1750</v>
      </c>
      <c r="N339" s="870" t="s">
        <v>1750</v>
      </c>
      <c r="O339" s="860" t="s">
        <v>1750</v>
      </c>
      <c r="P339" s="863" t="s">
        <v>1750</v>
      </c>
      <c r="Q339" s="864" t="s">
        <v>43</v>
      </c>
      <c r="R339" s="863" t="s">
        <v>1750</v>
      </c>
      <c r="S339" s="864" t="s">
        <v>43</v>
      </c>
      <c r="T339" s="863" t="s">
        <v>1750</v>
      </c>
      <c r="U339" s="864" t="s">
        <v>43</v>
      </c>
      <c r="V339" s="863" t="s">
        <v>1750</v>
      </c>
      <c r="W339" s="864" t="s">
        <v>43</v>
      </c>
      <c r="X339" s="863" t="s">
        <v>1750</v>
      </c>
      <c r="Y339" s="885" t="s">
        <v>43</v>
      </c>
      <c r="Z339" s="866" t="s">
        <v>43</v>
      </c>
      <c r="AA339" s="886" t="s">
        <v>1750</v>
      </c>
      <c r="AB339" s="887" t="s">
        <v>43</v>
      </c>
      <c r="AC339" s="869" t="s">
        <v>1750</v>
      </c>
    </row>
    <row r="340" spans="1:29" ht="16.5" thickBot="1">
      <c r="A340" s="871" t="s">
        <v>938</v>
      </c>
      <c r="B340" s="807" t="s">
        <v>939</v>
      </c>
      <c r="C340" s="872" t="s">
        <v>1750</v>
      </c>
      <c r="D340" s="873" t="s">
        <v>43</v>
      </c>
      <c r="E340" s="847" t="s">
        <v>1750</v>
      </c>
      <c r="F340" s="873" t="s">
        <v>43</v>
      </c>
      <c r="G340" s="819">
        <v>1E-3</v>
      </c>
      <c r="H340" s="874" t="s">
        <v>0</v>
      </c>
      <c r="I340" s="847" t="s">
        <v>1750</v>
      </c>
      <c r="J340" s="873" t="s">
        <v>43</v>
      </c>
      <c r="K340" s="874" t="s">
        <v>1634</v>
      </c>
      <c r="L340" s="873" t="s">
        <v>43</v>
      </c>
      <c r="M340" s="874">
        <v>1</v>
      </c>
      <c r="N340" s="874">
        <v>0.03</v>
      </c>
      <c r="O340" s="875" t="s">
        <v>1750</v>
      </c>
      <c r="P340" s="876">
        <v>73</v>
      </c>
      <c r="Q340" s="877" t="s">
        <v>179</v>
      </c>
      <c r="R340" s="876">
        <v>1000</v>
      </c>
      <c r="S340" s="877" t="s">
        <v>179</v>
      </c>
      <c r="T340" s="878" t="s">
        <v>1750</v>
      </c>
      <c r="U340" s="879" t="s">
        <v>43</v>
      </c>
      <c r="V340" s="878" t="s">
        <v>1750</v>
      </c>
      <c r="W340" s="879" t="s">
        <v>43</v>
      </c>
      <c r="X340" s="876">
        <v>7.9</v>
      </c>
      <c r="Y340" s="880" t="s">
        <v>179</v>
      </c>
      <c r="Z340" s="881" t="s">
        <v>43</v>
      </c>
      <c r="AA340" s="882">
        <v>0.15</v>
      </c>
      <c r="AB340" s="883" t="s">
        <v>179</v>
      </c>
      <c r="AC340" s="884" t="s">
        <v>1750</v>
      </c>
    </row>
    <row r="341" spans="1:29" ht="15.75">
      <c r="A341" s="856" t="s">
        <v>940</v>
      </c>
      <c r="B341" s="792" t="s">
        <v>941</v>
      </c>
      <c r="C341" s="857" t="s">
        <v>1750</v>
      </c>
      <c r="D341" s="858" t="s">
        <v>43</v>
      </c>
      <c r="E341" s="843" t="s">
        <v>1750</v>
      </c>
      <c r="F341" s="858" t="s">
        <v>43</v>
      </c>
      <c r="G341" s="804">
        <v>1E-3</v>
      </c>
      <c r="H341" s="859" t="s">
        <v>280</v>
      </c>
      <c r="I341" s="843" t="s">
        <v>1750</v>
      </c>
      <c r="J341" s="858" t="s">
        <v>43</v>
      </c>
      <c r="K341" s="859" t="s">
        <v>1634</v>
      </c>
      <c r="L341" s="858" t="s">
        <v>43</v>
      </c>
      <c r="M341" s="859">
        <v>1</v>
      </c>
      <c r="N341" s="859">
        <v>0.03</v>
      </c>
      <c r="O341" s="805">
        <v>6220</v>
      </c>
      <c r="P341" s="861">
        <v>73</v>
      </c>
      <c r="Q341" s="862" t="s">
        <v>179</v>
      </c>
      <c r="R341" s="861">
        <v>1000</v>
      </c>
      <c r="S341" s="862" t="s">
        <v>179</v>
      </c>
      <c r="T341" s="863" t="s">
        <v>1750</v>
      </c>
      <c r="U341" s="864" t="s">
        <v>43</v>
      </c>
      <c r="V341" s="863" t="s">
        <v>1750</v>
      </c>
      <c r="W341" s="864" t="s">
        <v>43</v>
      </c>
      <c r="X341" s="861">
        <v>19</v>
      </c>
      <c r="Y341" s="865" t="s">
        <v>179</v>
      </c>
      <c r="Z341" s="866" t="s">
        <v>43</v>
      </c>
      <c r="AA341" s="867">
        <v>7.3000000000000001E-3</v>
      </c>
      <c r="AB341" s="868" t="s">
        <v>179</v>
      </c>
      <c r="AC341" s="869" t="s">
        <v>1750</v>
      </c>
    </row>
    <row r="342" spans="1:29" ht="15.75">
      <c r="A342" s="856" t="s">
        <v>1819</v>
      </c>
      <c r="B342" s="792" t="s">
        <v>1820</v>
      </c>
      <c r="C342" s="857" t="s">
        <v>1750</v>
      </c>
      <c r="D342" s="858" t="s">
        <v>43</v>
      </c>
      <c r="E342" s="843" t="s">
        <v>1750</v>
      </c>
      <c r="F342" s="858" t="s">
        <v>43</v>
      </c>
      <c r="G342" s="804">
        <v>0.9</v>
      </c>
      <c r="H342" s="859" t="s">
        <v>280</v>
      </c>
      <c r="I342" s="804">
        <v>2</v>
      </c>
      <c r="J342" s="859" t="s">
        <v>280</v>
      </c>
      <c r="K342" s="859" t="s">
        <v>1634</v>
      </c>
      <c r="L342" s="858" t="s">
        <v>43</v>
      </c>
      <c r="M342" s="859">
        <v>1</v>
      </c>
      <c r="N342" s="859">
        <v>0.03</v>
      </c>
      <c r="O342" s="805">
        <v>165000</v>
      </c>
      <c r="P342" s="861">
        <v>18000</v>
      </c>
      <c r="Q342" s="862" t="s">
        <v>179</v>
      </c>
      <c r="R342" s="861">
        <v>94000</v>
      </c>
      <c r="S342" s="862" t="s">
        <v>179</v>
      </c>
      <c r="T342" s="861">
        <v>2100</v>
      </c>
      <c r="U342" s="862" t="s">
        <v>179</v>
      </c>
      <c r="V342" s="861">
        <v>8800</v>
      </c>
      <c r="W342" s="862" t="s">
        <v>179</v>
      </c>
      <c r="X342" s="861">
        <v>3400</v>
      </c>
      <c r="Y342" s="865" t="s">
        <v>179</v>
      </c>
      <c r="Z342" s="866" t="s">
        <v>43</v>
      </c>
      <c r="AA342" s="867">
        <v>0.75</v>
      </c>
      <c r="AB342" s="868" t="s">
        <v>179</v>
      </c>
      <c r="AC342" s="869" t="s">
        <v>1750</v>
      </c>
    </row>
    <row r="343" spans="1:29" ht="16.5" thickBot="1">
      <c r="A343" s="871" t="s">
        <v>942</v>
      </c>
      <c r="B343" s="807" t="s">
        <v>943</v>
      </c>
      <c r="C343" s="890">
        <v>3.8</v>
      </c>
      <c r="D343" s="874" t="s">
        <v>13</v>
      </c>
      <c r="E343" s="847" t="s">
        <v>1750</v>
      </c>
      <c r="F343" s="873" t="s">
        <v>43</v>
      </c>
      <c r="G343" s="847" t="s">
        <v>1750</v>
      </c>
      <c r="H343" s="873" t="s">
        <v>43</v>
      </c>
      <c r="I343" s="847" t="s">
        <v>1750</v>
      </c>
      <c r="J343" s="873" t="s">
        <v>43</v>
      </c>
      <c r="K343" s="873" t="s">
        <v>43</v>
      </c>
      <c r="L343" s="873" t="s">
        <v>43</v>
      </c>
      <c r="M343" s="874">
        <v>1</v>
      </c>
      <c r="N343" s="874">
        <v>0.1</v>
      </c>
      <c r="O343" s="875" t="s">
        <v>1750</v>
      </c>
      <c r="P343" s="876">
        <v>0.14000000000000001</v>
      </c>
      <c r="Q343" s="877" t="s">
        <v>2283</v>
      </c>
      <c r="R343" s="876">
        <v>0.6</v>
      </c>
      <c r="S343" s="877" t="s">
        <v>2283</v>
      </c>
      <c r="T343" s="878" t="s">
        <v>1750</v>
      </c>
      <c r="U343" s="879" t="s">
        <v>43</v>
      </c>
      <c r="V343" s="878" t="s">
        <v>1750</v>
      </c>
      <c r="W343" s="879" t="s">
        <v>43</v>
      </c>
      <c r="X343" s="876">
        <v>0.02</v>
      </c>
      <c r="Y343" s="880" t="s">
        <v>2283</v>
      </c>
      <c r="Z343" s="881" t="s">
        <v>43</v>
      </c>
      <c r="AA343" s="882">
        <v>3.8999999999999999E-5</v>
      </c>
      <c r="AB343" s="883" t="s">
        <v>2283</v>
      </c>
      <c r="AC343" s="884" t="s">
        <v>1750</v>
      </c>
    </row>
    <row r="344" spans="1:29" ht="15.75">
      <c r="A344" s="856" t="s">
        <v>944</v>
      </c>
      <c r="B344" s="792" t="s">
        <v>945</v>
      </c>
      <c r="C344" s="857" t="s">
        <v>1750</v>
      </c>
      <c r="D344" s="858" t="s">
        <v>43</v>
      </c>
      <c r="E344" s="843" t="s">
        <v>1750</v>
      </c>
      <c r="F344" s="858" t="s">
        <v>43</v>
      </c>
      <c r="G344" s="804">
        <v>3.0000000000000001E-3</v>
      </c>
      <c r="H344" s="859" t="s">
        <v>280</v>
      </c>
      <c r="I344" s="804">
        <v>0.05</v>
      </c>
      <c r="J344" s="859" t="s">
        <v>13</v>
      </c>
      <c r="K344" s="859" t="s">
        <v>1634</v>
      </c>
      <c r="L344" s="858" t="s">
        <v>43</v>
      </c>
      <c r="M344" s="859">
        <v>1</v>
      </c>
      <c r="N344" s="870" t="s">
        <v>1750</v>
      </c>
      <c r="O344" s="805">
        <v>10100</v>
      </c>
      <c r="P344" s="861">
        <v>210</v>
      </c>
      <c r="Q344" s="862" t="s">
        <v>179</v>
      </c>
      <c r="R344" s="861">
        <v>2600</v>
      </c>
      <c r="S344" s="862" t="s">
        <v>179</v>
      </c>
      <c r="T344" s="861">
        <v>52</v>
      </c>
      <c r="U344" s="862" t="s">
        <v>179</v>
      </c>
      <c r="V344" s="861">
        <v>220</v>
      </c>
      <c r="W344" s="862" t="s">
        <v>179</v>
      </c>
      <c r="X344" s="861">
        <v>38</v>
      </c>
      <c r="Y344" s="865" t="s">
        <v>179</v>
      </c>
      <c r="Z344" s="866" t="s">
        <v>43</v>
      </c>
      <c r="AA344" s="867">
        <v>8.0999999999999996E-3</v>
      </c>
      <c r="AB344" s="868" t="s">
        <v>179</v>
      </c>
      <c r="AC344" s="869" t="s">
        <v>1750</v>
      </c>
    </row>
    <row r="345" spans="1:29" ht="15.75">
      <c r="A345" s="856" t="s">
        <v>946</v>
      </c>
      <c r="B345" s="792" t="s">
        <v>947</v>
      </c>
      <c r="C345" s="889">
        <v>1.5</v>
      </c>
      <c r="D345" s="859" t="s">
        <v>3</v>
      </c>
      <c r="E345" s="804">
        <v>4.2999999999999999E-4</v>
      </c>
      <c r="F345" s="859" t="s">
        <v>3</v>
      </c>
      <c r="G345" s="843" t="s">
        <v>1750</v>
      </c>
      <c r="H345" s="858" t="s">
        <v>43</v>
      </c>
      <c r="I345" s="843" t="s">
        <v>1750</v>
      </c>
      <c r="J345" s="858" t="s">
        <v>43</v>
      </c>
      <c r="K345" s="858" t="s">
        <v>43</v>
      </c>
      <c r="L345" s="858" t="s">
        <v>43</v>
      </c>
      <c r="M345" s="859">
        <v>1</v>
      </c>
      <c r="N345" s="859">
        <v>0.1</v>
      </c>
      <c r="O345" s="860" t="s">
        <v>1750</v>
      </c>
      <c r="P345" s="861">
        <v>0.36</v>
      </c>
      <c r="Q345" s="862" t="s">
        <v>2283</v>
      </c>
      <c r="R345" s="861">
        <v>1.5</v>
      </c>
      <c r="S345" s="862" t="s">
        <v>2283</v>
      </c>
      <c r="T345" s="861">
        <v>6.4999999999999997E-3</v>
      </c>
      <c r="U345" s="862" t="s">
        <v>2283</v>
      </c>
      <c r="V345" s="861">
        <v>2.9000000000000001E-2</v>
      </c>
      <c r="W345" s="862" t="s">
        <v>2283</v>
      </c>
      <c r="X345" s="861">
        <v>5.0999999999999997E-2</v>
      </c>
      <c r="Y345" s="865" t="s">
        <v>2283</v>
      </c>
      <c r="Z345" s="866" t="s">
        <v>43</v>
      </c>
      <c r="AA345" s="867">
        <v>6.7999999999999999E-5</v>
      </c>
      <c r="AB345" s="868" t="s">
        <v>2283</v>
      </c>
      <c r="AC345" s="869" t="s">
        <v>1750</v>
      </c>
    </row>
    <row r="346" spans="1:29" ht="31.5" thickBot="1">
      <c r="A346" s="871" t="s">
        <v>948</v>
      </c>
      <c r="B346" s="807" t="s">
        <v>949</v>
      </c>
      <c r="C346" s="890">
        <v>0.03</v>
      </c>
      <c r="D346" s="874" t="s">
        <v>280</v>
      </c>
      <c r="E346" s="819">
        <v>8.6000000000000007E-6</v>
      </c>
      <c r="F346" s="874" t="s">
        <v>3</v>
      </c>
      <c r="G346" s="847" t="s">
        <v>1750</v>
      </c>
      <c r="H346" s="873" t="s">
        <v>43</v>
      </c>
      <c r="I346" s="847" t="s">
        <v>1750</v>
      </c>
      <c r="J346" s="873" t="s">
        <v>43</v>
      </c>
      <c r="K346" s="873" t="s">
        <v>43</v>
      </c>
      <c r="L346" s="873" t="s">
        <v>43</v>
      </c>
      <c r="M346" s="874">
        <v>1</v>
      </c>
      <c r="N346" s="874">
        <v>0.1</v>
      </c>
      <c r="O346" s="875" t="s">
        <v>1750</v>
      </c>
      <c r="P346" s="876">
        <v>18</v>
      </c>
      <c r="Q346" s="877" t="s">
        <v>2283</v>
      </c>
      <c r="R346" s="876">
        <v>77</v>
      </c>
      <c r="S346" s="877" t="s">
        <v>2283</v>
      </c>
      <c r="T346" s="876">
        <v>0.33</v>
      </c>
      <c r="U346" s="877" t="s">
        <v>2283</v>
      </c>
      <c r="V346" s="876">
        <v>1.4</v>
      </c>
      <c r="W346" s="877" t="s">
        <v>2283</v>
      </c>
      <c r="X346" s="876">
        <v>1.1000000000000001</v>
      </c>
      <c r="Y346" s="880" t="s">
        <v>2283</v>
      </c>
      <c r="Z346" s="881" t="s">
        <v>43</v>
      </c>
      <c r="AA346" s="882">
        <v>1.1999999999999999E-3</v>
      </c>
      <c r="AB346" s="883" t="s">
        <v>2283</v>
      </c>
      <c r="AC346" s="884" t="s">
        <v>1750</v>
      </c>
    </row>
    <row r="347" spans="1:29" ht="30.75">
      <c r="A347" s="856" t="s">
        <v>950</v>
      </c>
      <c r="B347" s="792" t="s">
        <v>951</v>
      </c>
      <c r="C347" s="857" t="s">
        <v>1750</v>
      </c>
      <c r="D347" s="858" t="s">
        <v>43</v>
      </c>
      <c r="E347" s="843" t="s">
        <v>1750</v>
      </c>
      <c r="F347" s="858" t="s">
        <v>43</v>
      </c>
      <c r="G347" s="804">
        <v>6.0000000000000001E-3</v>
      </c>
      <c r="H347" s="859" t="s">
        <v>2463</v>
      </c>
      <c r="I347" s="843" t="s">
        <v>1750</v>
      </c>
      <c r="J347" s="858" t="s">
        <v>43</v>
      </c>
      <c r="K347" s="858" t="s">
        <v>43</v>
      </c>
      <c r="L347" s="858" t="s">
        <v>43</v>
      </c>
      <c r="M347" s="859">
        <v>1</v>
      </c>
      <c r="N347" s="859">
        <v>0.1</v>
      </c>
      <c r="O347" s="860" t="s">
        <v>1750</v>
      </c>
      <c r="P347" s="861">
        <v>380</v>
      </c>
      <c r="Q347" s="862" t="s">
        <v>179</v>
      </c>
      <c r="R347" s="861">
        <v>4900</v>
      </c>
      <c r="S347" s="862" t="s">
        <v>179</v>
      </c>
      <c r="T347" s="863" t="s">
        <v>1750</v>
      </c>
      <c r="U347" s="864" t="s">
        <v>43</v>
      </c>
      <c r="V347" s="863" t="s">
        <v>1750</v>
      </c>
      <c r="W347" s="864" t="s">
        <v>43</v>
      </c>
      <c r="X347" s="861">
        <v>120</v>
      </c>
      <c r="Y347" s="865" t="s">
        <v>179</v>
      </c>
      <c r="Z347" s="866" t="s">
        <v>43</v>
      </c>
      <c r="AA347" s="867">
        <v>2.5999999999999999E-2</v>
      </c>
      <c r="AB347" s="868" t="s">
        <v>179</v>
      </c>
      <c r="AC347" s="869" t="s">
        <v>1750</v>
      </c>
    </row>
    <row r="348" spans="1:29" ht="15.75">
      <c r="A348" s="856" t="s">
        <v>952</v>
      </c>
      <c r="B348" s="792" t="s">
        <v>953</v>
      </c>
      <c r="C348" s="857" t="s">
        <v>1750</v>
      </c>
      <c r="D348" s="858" t="s">
        <v>43</v>
      </c>
      <c r="E348" s="843" t="s">
        <v>1750</v>
      </c>
      <c r="F348" s="858" t="s">
        <v>43</v>
      </c>
      <c r="G348" s="843" t="s">
        <v>1750</v>
      </c>
      <c r="H348" s="858" t="s">
        <v>43</v>
      </c>
      <c r="I348" s="804">
        <v>8.0000000000000007E-5</v>
      </c>
      <c r="J348" s="859" t="s">
        <v>3</v>
      </c>
      <c r="K348" s="858" t="s">
        <v>43</v>
      </c>
      <c r="L348" s="858" t="s">
        <v>43</v>
      </c>
      <c r="M348" s="859">
        <v>1</v>
      </c>
      <c r="N348" s="859">
        <v>0.1</v>
      </c>
      <c r="O348" s="860" t="s">
        <v>1750</v>
      </c>
      <c r="P348" s="861">
        <v>110000</v>
      </c>
      <c r="Q348" s="862" t="s">
        <v>2281</v>
      </c>
      <c r="R348" s="861">
        <v>480000</v>
      </c>
      <c r="S348" s="862" t="s">
        <v>2281</v>
      </c>
      <c r="T348" s="861">
        <v>8.3000000000000004E-2</v>
      </c>
      <c r="U348" s="862" t="s">
        <v>179</v>
      </c>
      <c r="V348" s="861">
        <v>0.35</v>
      </c>
      <c r="W348" s="862" t="s">
        <v>179</v>
      </c>
      <c r="X348" s="863" t="s">
        <v>1750</v>
      </c>
      <c r="Y348" s="885" t="s">
        <v>43</v>
      </c>
      <c r="Z348" s="866" t="s">
        <v>43</v>
      </c>
      <c r="AA348" s="886" t="s">
        <v>1750</v>
      </c>
      <c r="AB348" s="887" t="s">
        <v>43</v>
      </c>
      <c r="AC348" s="869" t="s">
        <v>1750</v>
      </c>
    </row>
    <row r="349" spans="1:29" ht="16.5" thickBot="1">
      <c r="A349" s="871" t="s">
        <v>954</v>
      </c>
      <c r="B349" s="807" t="s">
        <v>955</v>
      </c>
      <c r="C349" s="872" t="s">
        <v>1750</v>
      </c>
      <c r="D349" s="873" t="s">
        <v>43</v>
      </c>
      <c r="E349" s="847" t="s">
        <v>1750</v>
      </c>
      <c r="F349" s="873" t="s">
        <v>43</v>
      </c>
      <c r="G349" s="819">
        <v>4.0000000000000002E-4</v>
      </c>
      <c r="H349" s="874" t="s">
        <v>280</v>
      </c>
      <c r="I349" s="819">
        <v>1E-3</v>
      </c>
      <c r="J349" s="874" t="s">
        <v>13</v>
      </c>
      <c r="K349" s="874" t="s">
        <v>1634</v>
      </c>
      <c r="L349" s="873" t="s">
        <v>43</v>
      </c>
      <c r="M349" s="874">
        <v>1</v>
      </c>
      <c r="N349" s="888" t="s">
        <v>1750</v>
      </c>
      <c r="O349" s="820">
        <v>106000</v>
      </c>
      <c r="P349" s="876">
        <v>23</v>
      </c>
      <c r="Q349" s="877" t="s">
        <v>179</v>
      </c>
      <c r="R349" s="876">
        <v>210</v>
      </c>
      <c r="S349" s="877" t="s">
        <v>179</v>
      </c>
      <c r="T349" s="876">
        <v>1</v>
      </c>
      <c r="U349" s="877" t="s">
        <v>179</v>
      </c>
      <c r="V349" s="876">
        <v>4.4000000000000004</v>
      </c>
      <c r="W349" s="877" t="s">
        <v>179</v>
      </c>
      <c r="X349" s="876">
        <v>1.7</v>
      </c>
      <c r="Y349" s="880" t="s">
        <v>179</v>
      </c>
      <c r="Z349" s="881" t="s">
        <v>43</v>
      </c>
      <c r="AA349" s="882">
        <v>3.3E-4</v>
      </c>
      <c r="AB349" s="883" t="s">
        <v>179</v>
      </c>
      <c r="AC349" s="884" t="s">
        <v>1750</v>
      </c>
    </row>
    <row r="350" spans="1:29" ht="15.75">
      <c r="A350" s="856" t="s">
        <v>956</v>
      </c>
      <c r="B350" s="792" t="s">
        <v>957</v>
      </c>
      <c r="C350" s="857" t="s">
        <v>1750</v>
      </c>
      <c r="D350" s="858" t="s">
        <v>43</v>
      </c>
      <c r="E350" s="843" t="s">
        <v>1750</v>
      </c>
      <c r="F350" s="858" t="s">
        <v>43</v>
      </c>
      <c r="G350" s="804">
        <v>0.1</v>
      </c>
      <c r="H350" s="859" t="s">
        <v>280</v>
      </c>
      <c r="I350" s="843" t="s">
        <v>1750</v>
      </c>
      <c r="J350" s="858" t="s">
        <v>43</v>
      </c>
      <c r="K350" s="858" t="s">
        <v>43</v>
      </c>
      <c r="L350" s="858" t="s">
        <v>43</v>
      </c>
      <c r="M350" s="859">
        <v>1</v>
      </c>
      <c r="N350" s="859">
        <v>0.1</v>
      </c>
      <c r="O350" s="860" t="s">
        <v>1750</v>
      </c>
      <c r="P350" s="861">
        <v>6300</v>
      </c>
      <c r="Q350" s="862" t="s">
        <v>179</v>
      </c>
      <c r="R350" s="861">
        <v>82000</v>
      </c>
      <c r="S350" s="862" t="s">
        <v>179</v>
      </c>
      <c r="T350" s="863" t="s">
        <v>1750</v>
      </c>
      <c r="U350" s="864" t="s">
        <v>43</v>
      </c>
      <c r="V350" s="863" t="s">
        <v>1750</v>
      </c>
      <c r="W350" s="864" t="s">
        <v>43</v>
      </c>
      <c r="X350" s="861">
        <v>2000</v>
      </c>
      <c r="Y350" s="865" t="s">
        <v>179</v>
      </c>
      <c r="Z350" s="891">
        <v>700</v>
      </c>
      <c r="AA350" s="867">
        <v>8.8000000000000007</v>
      </c>
      <c r="AB350" s="868" t="s">
        <v>179</v>
      </c>
      <c r="AC350" s="892">
        <v>3.1</v>
      </c>
    </row>
    <row r="351" spans="1:29" ht="15.75">
      <c r="A351" s="856" t="s">
        <v>2138</v>
      </c>
      <c r="B351" s="792" t="s">
        <v>2139</v>
      </c>
      <c r="C351" s="857" t="s">
        <v>1750</v>
      </c>
      <c r="D351" s="858" t="s">
        <v>43</v>
      </c>
      <c r="E351" s="843" t="s">
        <v>1750</v>
      </c>
      <c r="F351" s="858" t="s">
        <v>43</v>
      </c>
      <c r="G351" s="804">
        <v>0.01</v>
      </c>
      <c r="H351" s="859" t="s">
        <v>0</v>
      </c>
      <c r="I351" s="843" t="s">
        <v>1750</v>
      </c>
      <c r="J351" s="858" t="s">
        <v>43</v>
      </c>
      <c r="K351" s="859" t="s">
        <v>1634</v>
      </c>
      <c r="L351" s="858" t="s">
        <v>43</v>
      </c>
      <c r="M351" s="859">
        <v>1</v>
      </c>
      <c r="N351" s="870" t="s">
        <v>1750</v>
      </c>
      <c r="O351" s="860" t="s">
        <v>1750</v>
      </c>
      <c r="P351" s="861">
        <v>780</v>
      </c>
      <c r="Q351" s="862" t="s">
        <v>179</v>
      </c>
      <c r="R351" s="861">
        <v>12000</v>
      </c>
      <c r="S351" s="862" t="s">
        <v>179</v>
      </c>
      <c r="T351" s="863" t="s">
        <v>1750</v>
      </c>
      <c r="U351" s="864" t="s">
        <v>43</v>
      </c>
      <c r="V351" s="863" t="s">
        <v>1750</v>
      </c>
      <c r="W351" s="864" t="s">
        <v>43</v>
      </c>
      <c r="X351" s="861">
        <v>200</v>
      </c>
      <c r="Y351" s="865" t="s">
        <v>179</v>
      </c>
      <c r="Z351" s="866" t="s">
        <v>43</v>
      </c>
      <c r="AA351" s="867">
        <v>4.4999999999999998E-2</v>
      </c>
      <c r="AB351" s="868" t="s">
        <v>179</v>
      </c>
      <c r="AC351" s="869" t="s">
        <v>1750</v>
      </c>
    </row>
    <row r="352" spans="1:29" ht="31.5" thickBot="1">
      <c r="A352" s="871" t="s">
        <v>2140</v>
      </c>
      <c r="B352" s="807" t="s">
        <v>2141</v>
      </c>
      <c r="C352" s="872" t="s">
        <v>1750</v>
      </c>
      <c r="D352" s="873" t="s">
        <v>43</v>
      </c>
      <c r="E352" s="847" t="s">
        <v>1750</v>
      </c>
      <c r="F352" s="873" t="s">
        <v>43</v>
      </c>
      <c r="G352" s="819">
        <v>0.02</v>
      </c>
      <c r="H352" s="874" t="s">
        <v>281</v>
      </c>
      <c r="I352" s="847" t="s">
        <v>1750</v>
      </c>
      <c r="J352" s="873" t="s">
        <v>43</v>
      </c>
      <c r="K352" s="873" t="s">
        <v>43</v>
      </c>
      <c r="L352" s="873" t="s">
        <v>43</v>
      </c>
      <c r="M352" s="874">
        <v>1</v>
      </c>
      <c r="N352" s="874">
        <v>0.1</v>
      </c>
      <c r="O352" s="875" t="s">
        <v>1750</v>
      </c>
      <c r="P352" s="876">
        <v>1300</v>
      </c>
      <c r="Q352" s="877" t="s">
        <v>179</v>
      </c>
      <c r="R352" s="876">
        <v>16000</v>
      </c>
      <c r="S352" s="877" t="s">
        <v>179</v>
      </c>
      <c r="T352" s="878" t="s">
        <v>1750</v>
      </c>
      <c r="U352" s="879" t="s">
        <v>43</v>
      </c>
      <c r="V352" s="878" t="s">
        <v>1750</v>
      </c>
      <c r="W352" s="879" t="s">
        <v>43</v>
      </c>
      <c r="X352" s="876">
        <v>400</v>
      </c>
      <c r="Y352" s="880" t="s">
        <v>179</v>
      </c>
      <c r="Z352" s="881" t="s">
        <v>43</v>
      </c>
      <c r="AA352" s="895" t="s">
        <v>1750</v>
      </c>
      <c r="AB352" s="883" t="s">
        <v>179</v>
      </c>
      <c r="AC352" s="884" t="s">
        <v>1750</v>
      </c>
    </row>
    <row r="353" spans="1:29" ht="15.75">
      <c r="A353" s="856" t="s">
        <v>2409</v>
      </c>
      <c r="B353" s="792" t="s">
        <v>2410</v>
      </c>
      <c r="C353" s="857" t="s">
        <v>1750</v>
      </c>
      <c r="D353" s="858" t="s">
        <v>43</v>
      </c>
      <c r="E353" s="843" t="s">
        <v>1750</v>
      </c>
      <c r="F353" s="858" t="s">
        <v>43</v>
      </c>
      <c r="G353" s="804">
        <v>0.03</v>
      </c>
      <c r="H353" s="859" t="s">
        <v>0</v>
      </c>
      <c r="I353" s="843" t="s">
        <v>1750</v>
      </c>
      <c r="J353" s="858" t="s">
        <v>43</v>
      </c>
      <c r="K353" s="858" t="s">
        <v>43</v>
      </c>
      <c r="L353" s="858" t="s">
        <v>43</v>
      </c>
      <c r="M353" s="859">
        <v>1</v>
      </c>
      <c r="N353" s="859">
        <v>0.1</v>
      </c>
      <c r="O353" s="860" t="s">
        <v>1750</v>
      </c>
      <c r="P353" s="861">
        <v>1900</v>
      </c>
      <c r="Q353" s="862" t="s">
        <v>179</v>
      </c>
      <c r="R353" s="861">
        <v>25000</v>
      </c>
      <c r="S353" s="862" t="s">
        <v>179</v>
      </c>
      <c r="T353" s="863" t="s">
        <v>1750</v>
      </c>
      <c r="U353" s="864" t="s">
        <v>43</v>
      </c>
      <c r="V353" s="863" t="s">
        <v>1750</v>
      </c>
      <c r="W353" s="864" t="s">
        <v>43</v>
      </c>
      <c r="X353" s="861">
        <v>600</v>
      </c>
      <c r="Y353" s="865" t="s">
        <v>179</v>
      </c>
      <c r="Z353" s="866" t="s">
        <v>43</v>
      </c>
      <c r="AA353" s="867">
        <v>0.15</v>
      </c>
      <c r="AB353" s="868" t="s">
        <v>179</v>
      </c>
      <c r="AC353" s="869" t="s">
        <v>1750</v>
      </c>
    </row>
    <row r="354" spans="1:29" ht="30.75">
      <c r="A354" s="856" t="s">
        <v>960</v>
      </c>
      <c r="B354" s="792" t="s">
        <v>961</v>
      </c>
      <c r="C354" s="857" t="s">
        <v>1750</v>
      </c>
      <c r="D354" s="858" t="s">
        <v>43</v>
      </c>
      <c r="E354" s="843" t="s">
        <v>1750</v>
      </c>
      <c r="F354" s="858" t="s">
        <v>43</v>
      </c>
      <c r="G354" s="804">
        <v>5.0000000000000002E-5</v>
      </c>
      <c r="H354" s="859" t="s">
        <v>280</v>
      </c>
      <c r="I354" s="843" t="s">
        <v>1750</v>
      </c>
      <c r="J354" s="858" t="s">
        <v>43</v>
      </c>
      <c r="K354" s="858" t="s">
        <v>43</v>
      </c>
      <c r="L354" s="858" t="s">
        <v>43</v>
      </c>
      <c r="M354" s="859">
        <v>1</v>
      </c>
      <c r="N354" s="859">
        <v>0.1</v>
      </c>
      <c r="O354" s="860" t="s">
        <v>1750</v>
      </c>
      <c r="P354" s="861">
        <v>3.2</v>
      </c>
      <c r="Q354" s="862" t="s">
        <v>179</v>
      </c>
      <c r="R354" s="861">
        <v>41</v>
      </c>
      <c r="S354" s="862" t="s">
        <v>179</v>
      </c>
      <c r="T354" s="863" t="s">
        <v>1750</v>
      </c>
      <c r="U354" s="864" t="s">
        <v>43</v>
      </c>
      <c r="V354" s="863" t="s">
        <v>1750</v>
      </c>
      <c r="W354" s="864" t="s">
        <v>43</v>
      </c>
      <c r="X354" s="861">
        <v>0.76</v>
      </c>
      <c r="Y354" s="865" t="s">
        <v>179</v>
      </c>
      <c r="Z354" s="866" t="s">
        <v>43</v>
      </c>
      <c r="AA354" s="867">
        <v>8.3999999999999995E-3</v>
      </c>
      <c r="AB354" s="868" t="s">
        <v>179</v>
      </c>
      <c r="AC354" s="869" t="s">
        <v>1750</v>
      </c>
    </row>
    <row r="355" spans="1:29" ht="16.5" thickBot="1">
      <c r="A355" s="871" t="s">
        <v>64</v>
      </c>
      <c r="B355" s="807" t="s">
        <v>963</v>
      </c>
      <c r="C355" s="890">
        <v>4.5</v>
      </c>
      <c r="D355" s="874" t="s">
        <v>280</v>
      </c>
      <c r="E355" s="819">
        <v>1.2999999999999999E-3</v>
      </c>
      <c r="F355" s="874" t="s">
        <v>280</v>
      </c>
      <c r="G355" s="819">
        <v>5.0000000000000001E-4</v>
      </c>
      <c r="H355" s="874" t="s">
        <v>280</v>
      </c>
      <c r="I355" s="847" t="s">
        <v>1750</v>
      </c>
      <c r="J355" s="873" t="s">
        <v>43</v>
      </c>
      <c r="K355" s="874" t="s">
        <v>1634</v>
      </c>
      <c r="L355" s="873" t="s">
        <v>43</v>
      </c>
      <c r="M355" s="874">
        <v>1</v>
      </c>
      <c r="N355" s="888" t="s">
        <v>1750</v>
      </c>
      <c r="O355" s="875" t="s">
        <v>1750</v>
      </c>
      <c r="P355" s="876">
        <v>0.13</v>
      </c>
      <c r="Q355" s="877" t="s">
        <v>2283</v>
      </c>
      <c r="R355" s="876">
        <v>0.63</v>
      </c>
      <c r="S355" s="877" t="s">
        <v>2283</v>
      </c>
      <c r="T355" s="876">
        <v>2.2000000000000001E-3</v>
      </c>
      <c r="U355" s="877" t="s">
        <v>2283</v>
      </c>
      <c r="V355" s="876">
        <v>9.4000000000000004E-3</v>
      </c>
      <c r="W355" s="877" t="s">
        <v>2283</v>
      </c>
      <c r="X355" s="876">
        <v>1.4E-3</v>
      </c>
      <c r="Y355" s="880" t="s">
        <v>2283</v>
      </c>
      <c r="Z355" s="893">
        <v>0.4</v>
      </c>
      <c r="AA355" s="882">
        <v>1.2E-4</v>
      </c>
      <c r="AB355" s="883" t="s">
        <v>2283</v>
      </c>
      <c r="AC355" s="894">
        <v>3.3000000000000002E-2</v>
      </c>
    </row>
    <row r="356" spans="1:29" ht="30.75">
      <c r="A356" s="856" t="s">
        <v>964</v>
      </c>
      <c r="B356" s="792" t="s">
        <v>965</v>
      </c>
      <c r="C356" s="889">
        <v>9.1</v>
      </c>
      <c r="D356" s="859" t="s">
        <v>280</v>
      </c>
      <c r="E356" s="804">
        <v>2.5999999999999999E-3</v>
      </c>
      <c r="F356" s="859" t="s">
        <v>280</v>
      </c>
      <c r="G356" s="804">
        <v>1.2999999999999999E-5</v>
      </c>
      <c r="H356" s="859" t="s">
        <v>280</v>
      </c>
      <c r="I356" s="843" t="s">
        <v>1750</v>
      </c>
      <c r="J356" s="858" t="s">
        <v>43</v>
      </c>
      <c r="K356" s="859" t="s">
        <v>1634</v>
      </c>
      <c r="L356" s="858" t="s">
        <v>43</v>
      </c>
      <c r="M356" s="859">
        <v>1</v>
      </c>
      <c r="N356" s="870" t="s">
        <v>1750</v>
      </c>
      <c r="O356" s="860" t="s">
        <v>1750</v>
      </c>
      <c r="P356" s="861">
        <v>7.0000000000000007E-2</v>
      </c>
      <c r="Q356" s="862" t="s">
        <v>2279</v>
      </c>
      <c r="R356" s="861">
        <v>0.33</v>
      </c>
      <c r="S356" s="862" t="s">
        <v>2279</v>
      </c>
      <c r="T356" s="861">
        <v>1.1000000000000001E-3</v>
      </c>
      <c r="U356" s="862" t="s">
        <v>2283</v>
      </c>
      <c r="V356" s="861">
        <v>4.7000000000000002E-3</v>
      </c>
      <c r="W356" s="862" t="s">
        <v>2283</v>
      </c>
      <c r="X356" s="861">
        <v>1.4E-3</v>
      </c>
      <c r="Y356" s="865" t="s">
        <v>2279</v>
      </c>
      <c r="Z356" s="891">
        <v>0.2</v>
      </c>
      <c r="AA356" s="867">
        <v>2.8E-5</v>
      </c>
      <c r="AB356" s="868" t="s">
        <v>2279</v>
      </c>
      <c r="AC356" s="892">
        <v>4.1000000000000003E-3</v>
      </c>
    </row>
    <row r="357" spans="1:29" ht="15.75">
      <c r="A357" s="856" t="s">
        <v>2411</v>
      </c>
      <c r="B357" s="792" t="s">
        <v>2412</v>
      </c>
      <c r="C357" s="857" t="s">
        <v>1750</v>
      </c>
      <c r="D357" s="858" t="s">
        <v>43</v>
      </c>
      <c r="E357" s="843" t="s">
        <v>1750</v>
      </c>
      <c r="F357" s="858" t="s">
        <v>43</v>
      </c>
      <c r="G357" s="804">
        <v>2.9999999999999997E-4</v>
      </c>
      <c r="H357" s="859" t="s">
        <v>0</v>
      </c>
      <c r="I357" s="804">
        <v>0.4</v>
      </c>
      <c r="J357" s="859" t="s">
        <v>281</v>
      </c>
      <c r="K357" s="859" t="s">
        <v>1634</v>
      </c>
      <c r="L357" s="858" t="s">
        <v>43</v>
      </c>
      <c r="M357" s="859">
        <v>1</v>
      </c>
      <c r="N357" s="870" t="s">
        <v>1750</v>
      </c>
      <c r="O357" s="805">
        <v>57.9</v>
      </c>
      <c r="P357" s="861">
        <v>22</v>
      </c>
      <c r="Q357" s="862" t="s">
        <v>179</v>
      </c>
      <c r="R357" s="861">
        <v>290</v>
      </c>
      <c r="S357" s="862" t="s">
        <v>2282</v>
      </c>
      <c r="T357" s="861">
        <v>420</v>
      </c>
      <c r="U357" s="862" t="s">
        <v>179</v>
      </c>
      <c r="V357" s="861">
        <v>1800</v>
      </c>
      <c r="W357" s="862" t="s">
        <v>179</v>
      </c>
      <c r="X357" s="861">
        <v>6</v>
      </c>
      <c r="Y357" s="865" t="s">
        <v>179</v>
      </c>
      <c r="Z357" s="866" t="s">
        <v>43</v>
      </c>
      <c r="AA357" s="867">
        <v>4.8000000000000001E-2</v>
      </c>
      <c r="AB357" s="868" t="s">
        <v>179</v>
      </c>
      <c r="AC357" s="869" t="s">
        <v>1750</v>
      </c>
    </row>
    <row r="358" spans="1:29" ht="31.5" thickBot="1">
      <c r="A358" s="871" t="s">
        <v>966</v>
      </c>
      <c r="B358" s="807" t="s">
        <v>967</v>
      </c>
      <c r="C358" s="872" t="s">
        <v>1750</v>
      </c>
      <c r="D358" s="873" t="s">
        <v>43</v>
      </c>
      <c r="E358" s="847" t="s">
        <v>1750</v>
      </c>
      <c r="F358" s="873" t="s">
        <v>43</v>
      </c>
      <c r="G358" s="819">
        <v>2E-3</v>
      </c>
      <c r="H358" s="874" t="s">
        <v>280</v>
      </c>
      <c r="I358" s="847" t="s">
        <v>1750</v>
      </c>
      <c r="J358" s="873" t="s">
        <v>43</v>
      </c>
      <c r="K358" s="874" t="s">
        <v>1634</v>
      </c>
      <c r="L358" s="873" t="s">
        <v>43</v>
      </c>
      <c r="M358" s="874">
        <v>1</v>
      </c>
      <c r="N358" s="888" t="s">
        <v>1750</v>
      </c>
      <c r="O358" s="875" t="s">
        <v>1750</v>
      </c>
      <c r="P358" s="876">
        <v>160</v>
      </c>
      <c r="Q358" s="877" t="s">
        <v>179</v>
      </c>
      <c r="R358" s="876">
        <v>2300</v>
      </c>
      <c r="S358" s="877" t="s">
        <v>179</v>
      </c>
      <c r="T358" s="878" t="s">
        <v>1750</v>
      </c>
      <c r="U358" s="879" t="s">
        <v>43</v>
      </c>
      <c r="V358" s="878" t="s">
        <v>1750</v>
      </c>
      <c r="W358" s="879" t="s">
        <v>43</v>
      </c>
      <c r="X358" s="876">
        <v>40</v>
      </c>
      <c r="Y358" s="880" t="s">
        <v>179</v>
      </c>
      <c r="Z358" s="881" t="s">
        <v>43</v>
      </c>
      <c r="AA358" s="882">
        <v>0.23</v>
      </c>
      <c r="AB358" s="883" t="s">
        <v>179</v>
      </c>
      <c r="AC358" s="884" t="s">
        <v>1750</v>
      </c>
    </row>
    <row r="359" spans="1:29" ht="60.75">
      <c r="A359" s="856" t="s">
        <v>968</v>
      </c>
      <c r="B359" s="792" t="s">
        <v>969</v>
      </c>
      <c r="C359" s="857" t="s">
        <v>1750</v>
      </c>
      <c r="D359" s="858" t="s">
        <v>43</v>
      </c>
      <c r="E359" s="843" t="s">
        <v>1750</v>
      </c>
      <c r="F359" s="858" t="s">
        <v>43</v>
      </c>
      <c r="G359" s="804">
        <v>2.0000000000000001E-4</v>
      </c>
      <c r="H359" s="859" t="s">
        <v>280</v>
      </c>
      <c r="I359" s="843" t="s">
        <v>1750</v>
      </c>
      <c r="J359" s="858" t="s">
        <v>43</v>
      </c>
      <c r="K359" s="858" t="s">
        <v>43</v>
      </c>
      <c r="L359" s="858" t="s">
        <v>43</v>
      </c>
      <c r="M359" s="859">
        <v>1</v>
      </c>
      <c r="N359" s="859">
        <v>0.1</v>
      </c>
      <c r="O359" s="860" t="s">
        <v>1750</v>
      </c>
      <c r="P359" s="861">
        <v>13</v>
      </c>
      <c r="Q359" s="862" t="s">
        <v>179</v>
      </c>
      <c r="R359" s="861">
        <v>160</v>
      </c>
      <c r="S359" s="862" t="s">
        <v>179</v>
      </c>
      <c r="T359" s="863" t="s">
        <v>1750</v>
      </c>
      <c r="U359" s="864" t="s">
        <v>43</v>
      </c>
      <c r="V359" s="863" t="s">
        <v>1750</v>
      </c>
      <c r="W359" s="864" t="s">
        <v>43</v>
      </c>
      <c r="X359" s="861">
        <v>4</v>
      </c>
      <c r="Y359" s="865" t="s">
        <v>179</v>
      </c>
      <c r="Z359" s="866" t="s">
        <v>43</v>
      </c>
      <c r="AA359" s="886" t="s">
        <v>1750</v>
      </c>
      <c r="AB359" s="868" t="s">
        <v>179</v>
      </c>
      <c r="AC359" s="869" t="s">
        <v>1750</v>
      </c>
    </row>
    <row r="360" spans="1:29" ht="30.75">
      <c r="A360" s="856" t="s">
        <v>101</v>
      </c>
      <c r="B360" s="792" t="s">
        <v>970</v>
      </c>
      <c r="C360" s="889">
        <v>1.6</v>
      </c>
      <c r="D360" s="859" t="s">
        <v>280</v>
      </c>
      <c r="E360" s="804">
        <v>4.6000000000000001E-4</v>
      </c>
      <c r="F360" s="859" t="s">
        <v>280</v>
      </c>
      <c r="G360" s="804">
        <v>8.0000000000000004E-4</v>
      </c>
      <c r="H360" s="859" t="s">
        <v>280</v>
      </c>
      <c r="I360" s="843" t="s">
        <v>1750</v>
      </c>
      <c r="J360" s="858" t="s">
        <v>43</v>
      </c>
      <c r="K360" s="859" t="s">
        <v>1634</v>
      </c>
      <c r="L360" s="858" t="s">
        <v>43</v>
      </c>
      <c r="M360" s="859">
        <v>1</v>
      </c>
      <c r="N360" s="870" t="s">
        <v>1750</v>
      </c>
      <c r="O360" s="860" t="s">
        <v>1750</v>
      </c>
      <c r="P360" s="861">
        <v>0.21</v>
      </c>
      <c r="Q360" s="862" t="s">
        <v>2283</v>
      </c>
      <c r="R360" s="861">
        <v>0.96</v>
      </c>
      <c r="S360" s="862" t="s">
        <v>2283</v>
      </c>
      <c r="T360" s="861">
        <v>6.1000000000000004E-3</v>
      </c>
      <c r="U360" s="862" t="s">
        <v>2283</v>
      </c>
      <c r="V360" s="861">
        <v>2.7E-2</v>
      </c>
      <c r="W360" s="862" t="s">
        <v>2283</v>
      </c>
      <c r="X360" s="861">
        <v>9.7999999999999997E-3</v>
      </c>
      <c r="Y360" s="865" t="s">
        <v>2283</v>
      </c>
      <c r="Z360" s="891">
        <v>1</v>
      </c>
      <c r="AA360" s="867">
        <v>1.2E-4</v>
      </c>
      <c r="AB360" s="868" t="s">
        <v>2283</v>
      </c>
      <c r="AC360" s="892">
        <v>1.2999999999999999E-2</v>
      </c>
    </row>
    <row r="361" spans="1:29" ht="31.5" thickBot="1">
      <c r="A361" s="871" t="s">
        <v>971</v>
      </c>
      <c r="B361" s="807" t="s">
        <v>972</v>
      </c>
      <c r="C361" s="890">
        <v>7.8E-2</v>
      </c>
      <c r="D361" s="874" t="s">
        <v>280</v>
      </c>
      <c r="E361" s="819">
        <v>2.1999999999999999E-5</v>
      </c>
      <c r="F361" s="874" t="s">
        <v>280</v>
      </c>
      <c r="G361" s="819">
        <v>1E-3</v>
      </c>
      <c r="H361" s="874" t="s">
        <v>281</v>
      </c>
      <c r="I361" s="847" t="s">
        <v>1750</v>
      </c>
      <c r="J361" s="873" t="s">
        <v>43</v>
      </c>
      <c r="K361" s="874" t="s">
        <v>1634</v>
      </c>
      <c r="L361" s="873" t="s">
        <v>43</v>
      </c>
      <c r="M361" s="874">
        <v>1</v>
      </c>
      <c r="N361" s="888" t="s">
        <v>1750</v>
      </c>
      <c r="O361" s="820">
        <v>16.8</v>
      </c>
      <c r="P361" s="876">
        <v>1.2</v>
      </c>
      <c r="Q361" s="877" t="s">
        <v>2279</v>
      </c>
      <c r="R361" s="876">
        <v>5.3</v>
      </c>
      <c r="S361" s="877" t="s">
        <v>2283</v>
      </c>
      <c r="T361" s="876">
        <v>0.13</v>
      </c>
      <c r="U361" s="877" t="s">
        <v>2283</v>
      </c>
      <c r="V361" s="876">
        <v>0.56000000000000005</v>
      </c>
      <c r="W361" s="877" t="s">
        <v>2283</v>
      </c>
      <c r="X361" s="876">
        <v>0.14000000000000001</v>
      </c>
      <c r="Y361" s="880" t="s">
        <v>2279</v>
      </c>
      <c r="Z361" s="881" t="s">
        <v>43</v>
      </c>
      <c r="AA361" s="882">
        <v>2.7E-4</v>
      </c>
      <c r="AB361" s="883" t="s">
        <v>2279</v>
      </c>
      <c r="AC361" s="884" t="s">
        <v>1750</v>
      </c>
    </row>
    <row r="362" spans="1:29" ht="30.75">
      <c r="A362" s="856" t="s">
        <v>973</v>
      </c>
      <c r="B362" s="792" t="s">
        <v>974</v>
      </c>
      <c r="C362" s="889">
        <v>6.3</v>
      </c>
      <c r="D362" s="859" t="s">
        <v>280</v>
      </c>
      <c r="E362" s="804">
        <v>1.8E-3</v>
      </c>
      <c r="F362" s="859" t="s">
        <v>280</v>
      </c>
      <c r="G362" s="804">
        <v>8.0000000000000002E-3</v>
      </c>
      <c r="H362" s="859" t="s">
        <v>18</v>
      </c>
      <c r="I362" s="843" t="s">
        <v>1750</v>
      </c>
      <c r="J362" s="858" t="s">
        <v>43</v>
      </c>
      <c r="K362" s="858" t="s">
        <v>43</v>
      </c>
      <c r="L362" s="858" t="s">
        <v>43</v>
      </c>
      <c r="M362" s="859">
        <v>1</v>
      </c>
      <c r="N362" s="859">
        <v>0.1</v>
      </c>
      <c r="O362" s="860" t="s">
        <v>1750</v>
      </c>
      <c r="P362" s="861">
        <v>8.5999999999999993E-2</v>
      </c>
      <c r="Q362" s="862" t="s">
        <v>2283</v>
      </c>
      <c r="R362" s="861">
        <v>0.36</v>
      </c>
      <c r="S362" s="862" t="s">
        <v>2283</v>
      </c>
      <c r="T362" s="861">
        <v>1.6000000000000001E-3</v>
      </c>
      <c r="U362" s="862" t="s">
        <v>2283</v>
      </c>
      <c r="V362" s="861">
        <v>6.7999999999999996E-3</v>
      </c>
      <c r="W362" s="862" t="s">
        <v>2283</v>
      </c>
      <c r="X362" s="861">
        <v>7.1999999999999998E-3</v>
      </c>
      <c r="Y362" s="865" t="s">
        <v>2283</v>
      </c>
      <c r="Z362" s="866" t="s">
        <v>43</v>
      </c>
      <c r="AA362" s="867">
        <v>4.1999999999999998E-5</v>
      </c>
      <c r="AB362" s="868" t="s">
        <v>2283</v>
      </c>
      <c r="AC362" s="869" t="s">
        <v>1750</v>
      </c>
    </row>
    <row r="363" spans="1:29" ht="30.75">
      <c r="A363" s="856" t="s">
        <v>975</v>
      </c>
      <c r="B363" s="792" t="s">
        <v>976</v>
      </c>
      <c r="C363" s="889">
        <v>1.8</v>
      </c>
      <c r="D363" s="859" t="s">
        <v>280</v>
      </c>
      <c r="E363" s="804">
        <v>5.2999999999999998E-4</v>
      </c>
      <c r="F363" s="859" t="s">
        <v>280</v>
      </c>
      <c r="G363" s="843" t="s">
        <v>1750</v>
      </c>
      <c r="H363" s="858" t="s">
        <v>43</v>
      </c>
      <c r="I363" s="843" t="s">
        <v>1750</v>
      </c>
      <c r="J363" s="858" t="s">
        <v>43</v>
      </c>
      <c r="K363" s="858" t="s">
        <v>43</v>
      </c>
      <c r="L363" s="858" t="s">
        <v>43</v>
      </c>
      <c r="M363" s="859">
        <v>1</v>
      </c>
      <c r="N363" s="859">
        <v>0.1</v>
      </c>
      <c r="O363" s="860" t="s">
        <v>1750</v>
      </c>
      <c r="P363" s="861">
        <v>0.3</v>
      </c>
      <c r="Q363" s="862" t="s">
        <v>2283</v>
      </c>
      <c r="R363" s="861">
        <v>1.3</v>
      </c>
      <c r="S363" s="862" t="s">
        <v>2283</v>
      </c>
      <c r="T363" s="861">
        <v>5.3E-3</v>
      </c>
      <c r="U363" s="862" t="s">
        <v>2283</v>
      </c>
      <c r="V363" s="861">
        <v>2.3E-2</v>
      </c>
      <c r="W363" s="862" t="s">
        <v>2283</v>
      </c>
      <c r="X363" s="861">
        <v>2.5000000000000001E-2</v>
      </c>
      <c r="Y363" s="865" t="s">
        <v>2283</v>
      </c>
      <c r="Z363" s="866" t="s">
        <v>43</v>
      </c>
      <c r="AA363" s="867">
        <v>1.4999999999999999E-4</v>
      </c>
      <c r="AB363" s="868" t="s">
        <v>2283</v>
      </c>
      <c r="AC363" s="869" t="s">
        <v>1750</v>
      </c>
    </row>
    <row r="364" spans="1:29" ht="46.5" thickBot="1">
      <c r="A364" s="871" t="s">
        <v>977</v>
      </c>
      <c r="B364" s="807" t="s">
        <v>978</v>
      </c>
      <c r="C364" s="890">
        <v>1.1000000000000001</v>
      </c>
      <c r="D364" s="874" t="s">
        <v>3</v>
      </c>
      <c r="E364" s="819">
        <v>3.1E-4</v>
      </c>
      <c r="F364" s="874" t="s">
        <v>3</v>
      </c>
      <c r="G364" s="819">
        <v>2.9999999999999997E-4</v>
      </c>
      <c r="H364" s="874" t="s">
        <v>280</v>
      </c>
      <c r="I364" s="847" t="s">
        <v>1750</v>
      </c>
      <c r="J364" s="873" t="s">
        <v>43</v>
      </c>
      <c r="K364" s="873" t="s">
        <v>43</v>
      </c>
      <c r="L364" s="873" t="s">
        <v>43</v>
      </c>
      <c r="M364" s="874">
        <v>1</v>
      </c>
      <c r="N364" s="874">
        <v>0.04</v>
      </c>
      <c r="O364" s="875" t="s">
        <v>1750</v>
      </c>
      <c r="P364" s="876">
        <v>0.56999999999999995</v>
      </c>
      <c r="Q364" s="877" t="s">
        <v>2279</v>
      </c>
      <c r="R364" s="876">
        <v>2.5</v>
      </c>
      <c r="S364" s="877" t="s">
        <v>2283</v>
      </c>
      <c r="T364" s="876">
        <v>9.1000000000000004E-3</v>
      </c>
      <c r="U364" s="877" t="s">
        <v>2283</v>
      </c>
      <c r="V364" s="876">
        <v>0.04</v>
      </c>
      <c r="W364" s="877" t="s">
        <v>2283</v>
      </c>
      <c r="X364" s="876">
        <v>4.2000000000000003E-2</v>
      </c>
      <c r="Y364" s="880" t="s">
        <v>2279</v>
      </c>
      <c r="Z364" s="893">
        <v>0.2</v>
      </c>
      <c r="AA364" s="882">
        <v>2.4000000000000001E-4</v>
      </c>
      <c r="AB364" s="883" t="s">
        <v>2279</v>
      </c>
      <c r="AC364" s="894">
        <v>1.1999999999999999E-3</v>
      </c>
    </row>
    <row r="365" spans="1:29" ht="30.75">
      <c r="A365" s="856" t="s">
        <v>979</v>
      </c>
      <c r="B365" s="792" t="s">
        <v>980</v>
      </c>
      <c r="C365" s="889">
        <v>1.8</v>
      </c>
      <c r="D365" s="859" t="s">
        <v>280</v>
      </c>
      <c r="E365" s="804">
        <v>5.1000000000000004E-4</v>
      </c>
      <c r="F365" s="859" t="s">
        <v>280</v>
      </c>
      <c r="G365" s="843" t="s">
        <v>1750</v>
      </c>
      <c r="H365" s="858" t="s">
        <v>43</v>
      </c>
      <c r="I365" s="843" t="s">
        <v>1750</v>
      </c>
      <c r="J365" s="858" t="s">
        <v>43</v>
      </c>
      <c r="K365" s="858" t="s">
        <v>43</v>
      </c>
      <c r="L365" s="858" t="s">
        <v>43</v>
      </c>
      <c r="M365" s="859">
        <v>1</v>
      </c>
      <c r="N365" s="859">
        <v>0.1</v>
      </c>
      <c r="O365" s="860" t="s">
        <v>1750</v>
      </c>
      <c r="P365" s="861">
        <v>0.3</v>
      </c>
      <c r="Q365" s="862" t="s">
        <v>2283</v>
      </c>
      <c r="R365" s="861">
        <v>1.3</v>
      </c>
      <c r="S365" s="862" t="s">
        <v>2283</v>
      </c>
      <c r="T365" s="861">
        <v>5.4999999999999997E-3</v>
      </c>
      <c r="U365" s="862" t="s">
        <v>2283</v>
      </c>
      <c r="V365" s="861">
        <v>2.4E-2</v>
      </c>
      <c r="W365" s="862" t="s">
        <v>2283</v>
      </c>
      <c r="X365" s="861">
        <v>2.5000000000000001E-2</v>
      </c>
      <c r="Y365" s="865" t="s">
        <v>2283</v>
      </c>
      <c r="Z365" s="866" t="s">
        <v>43</v>
      </c>
      <c r="AA365" s="867">
        <v>1.4999999999999999E-4</v>
      </c>
      <c r="AB365" s="868" t="s">
        <v>2283</v>
      </c>
      <c r="AC365" s="869" t="s">
        <v>1750</v>
      </c>
    </row>
    <row r="366" spans="1:29" ht="30.75">
      <c r="A366" s="856" t="s">
        <v>65</v>
      </c>
      <c r="B366" s="792" t="s">
        <v>981</v>
      </c>
      <c r="C366" s="857" t="s">
        <v>1750</v>
      </c>
      <c r="D366" s="858" t="s">
        <v>43</v>
      </c>
      <c r="E366" s="843" t="s">
        <v>1750</v>
      </c>
      <c r="F366" s="858" t="s">
        <v>43</v>
      </c>
      <c r="G366" s="804">
        <v>6.0000000000000001E-3</v>
      </c>
      <c r="H366" s="859" t="s">
        <v>280</v>
      </c>
      <c r="I366" s="804">
        <v>2.0000000000000001E-4</v>
      </c>
      <c r="J366" s="859" t="s">
        <v>280</v>
      </c>
      <c r="K366" s="859" t="s">
        <v>1634</v>
      </c>
      <c r="L366" s="858" t="s">
        <v>43</v>
      </c>
      <c r="M366" s="859">
        <v>1</v>
      </c>
      <c r="N366" s="870" t="s">
        <v>1750</v>
      </c>
      <c r="O366" s="805">
        <v>15.7</v>
      </c>
      <c r="P366" s="861">
        <v>1.8</v>
      </c>
      <c r="Q366" s="862" t="s">
        <v>179</v>
      </c>
      <c r="R366" s="861">
        <v>7.5</v>
      </c>
      <c r="S366" s="862" t="s">
        <v>179</v>
      </c>
      <c r="T366" s="861">
        <v>0.21</v>
      </c>
      <c r="U366" s="862" t="s">
        <v>179</v>
      </c>
      <c r="V366" s="861">
        <v>0.88</v>
      </c>
      <c r="W366" s="862" t="s">
        <v>179</v>
      </c>
      <c r="X366" s="861">
        <v>0.41</v>
      </c>
      <c r="Y366" s="865" t="s">
        <v>179</v>
      </c>
      <c r="Z366" s="891">
        <v>50</v>
      </c>
      <c r="AA366" s="867">
        <v>1.2999999999999999E-3</v>
      </c>
      <c r="AB366" s="868" t="s">
        <v>179</v>
      </c>
      <c r="AC366" s="892">
        <v>0.16</v>
      </c>
    </row>
    <row r="367" spans="1:29" ht="16.5" thickBot="1">
      <c r="A367" s="871" t="s">
        <v>48</v>
      </c>
      <c r="B367" s="807" t="s">
        <v>982</v>
      </c>
      <c r="C367" s="890">
        <v>0.04</v>
      </c>
      <c r="D367" s="874" t="s">
        <v>280</v>
      </c>
      <c r="E367" s="819">
        <v>1.1E-5</v>
      </c>
      <c r="F367" s="874" t="s">
        <v>3</v>
      </c>
      <c r="G367" s="819">
        <v>6.9999999999999999E-4</v>
      </c>
      <c r="H367" s="874" t="s">
        <v>280</v>
      </c>
      <c r="I367" s="819">
        <v>0.03</v>
      </c>
      <c r="J367" s="874" t="s">
        <v>280</v>
      </c>
      <c r="K367" s="874" t="s">
        <v>1634</v>
      </c>
      <c r="L367" s="873" t="s">
        <v>43</v>
      </c>
      <c r="M367" s="874">
        <v>1</v>
      </c>
      <c r="N367" s="888" t="s">
        <v>1750</v>
      </c>
      <c r="O367" s="875" t="s">
        <v>1750</v>
      </c>
      <c r="P367" s="876">
        <v>1.8</v>
      </c>
      <c r="Q367" s="877" t="s">
        <v>2279</v>
      </c>
      <c r="R367" s="876">
        <v>8</v>
      </c>
      <c r="S367" s="877" t="s">
        <v>2279</v>
      </c>
      <c r="T367" s="876">
        <v>0.26</v>
      </c>
      <c r="U367" s="877" t="s">
        <v>2283</v>
      </c>
      <c r="V367" s="876">
        <v>1.1000000000000001</v>
      </c>
      <c r="W367" s="877" t="s">
        <v>2283</v>
      </c>
      <c r="X367" s="876">
        <v>0.33</v>
      </c>
      <c r="Y367" s="880" t="s">
        <v>2279</v>
      </c>
      <c r="Z367" s="881" t="s">
        <v>43</v>
      </c>
      <c r="AA367" s="882">
        <v>2.0000000000000001E-4</v>
      </c>
      <c r="AB367" s="883" t="s">
        <v>2279</v>
      </c>
      <c r="AC367" s="884" t="s">
        <v>1750</v>
      </c>
    </row>
    <row r="368" spans="1:29" ht="15.75">
      <c r="A368" s="856" t="s">
        <v>983</v>
      </c>
      <c r="B368" s="792" t="s">
        <v>984</v>
      </c>
      <c r="C368" s="857" t="s">
        <v>1750</v>
      </c>
      <c r="D368" s="858" t="s">
        <v>43</v>
      </c>
      <c r="E368" s="843" t="s">
        <v>1750</v>
      </c>
      <c r="F368" s="858" t="s">
        <v>43</v>
      </c>
      <c r="G368" s="804">
        <v>2.9999999999999997E-4</v>
      </c>
      <c r="H368" s="859" t="s">
        <v>280</v>
      </c>
      <c r="I368" s="843" t="s">
        <v>1750</v>
      </c>
      <c r="J368" s="858" t="s">
        <v>43</v>
      </c>
      <c r="K368" s="858" t="s">
        <v>43</v>
      </c>
      <c r="L368" s="858" t="s">
        <v>43</v>
      </c>
      <c r="M368" s="859">
        <v>1</v>
      </c>
      <c r="N368" s="859">
        <v>0.1</v>
      </c>
      <c r="O368" s="860" t="s">
        <v>1750</v>
      </c>
      <c r="P368" s="861">
        <v>19</v>
      </c>
      <c r="Q368" s="862" t="s">
        <v>179</v>
      </c>
      <c r="R368" s="861">
        <v>250</v>
      </c>
      <c r="S368" s="862" t="s">
        <v>179</v>
      </c>
      <c r="T368" s="863" t="s">
        <v>1750</v>
      </c>
      <c r="U368" s="864" t="s">
        <v>43</v>
      </c>
      <c r="V368" s="863" t="s">
        <v>1750</v>
      </c>
      <c r="W368" s="864" t="s">
        <v>43</v>
      </c>
      <c r="X368" s="861">
        <v>6</v>
      </c>
      <c r="Y368" s="865" t="s">
        <v>179</v>
      </c>
      <c r="Z368" s="866" t="s">
        <v>43</v>
      </c>
      <c r="AA368" s="867">
        <v>8</v>
      </c>
      <c r="AB368" s="868" t="s">
        <v>179</v>
      </c>
      <c r="AC368" s="869" t="s">
        <v>1750</v>
      </c>
    </row>
    <row r="369" spans="1:29" ht="45.75">
      <c r="A369" s="856" t="s">
        <v>985</v>
      </c>
      <c r="B369" s="792" t="s">
        <v>986</v>
      </c>
      <c r="C369" s="889">
        <v>0.11</v>
      </c>
      <c r="D369" s="859" t="s">
        <v>280</v>
      </c>
      <c r="E369" s="843" t="s">
        <v>1750</v>
      </c>
      <c r="F369" s="858" t="s">
        <v>43</v>
      </c>
      <c r="G369" s="804">
        <v>3.0000000000000001E-3</v>
      </c>
      <c r="H369" s="859" t="s">
        <v>280</v>
      </c>
      <c r="I369" s="843" t="s">
        <v>1750</v>
      </c>
      <c r="J369" s="858" t="s">
        <v>43</v>
      </c>
      <c r="K369" s="858" t="s">
        <v>43</v>
      </c>
      <c r="L369" s="858" t="s">
        <v>43</v>
      </c>
      <c r="M369" s="859">
        <v>1</v>
      </c>
      <c r="N369" s="859">
        <v>1.4999999999999999E-2</v>
      </c>
      <c r="O369" s="860" t="s">
        <v>1750</v>
      </c>
      <c r="P369" s="861">
        <v>6.1</v>
      </c>
      <c r="Q369" s="862" t="s">
        <v>2279</v>
      </c>
      <c r="R369" s="861">
        <v>28</v>
      </c>
      <c r="S369" s="862" t="s">
        <v>2283</v>
      </c>
      <c r="T369" s="863" t="s">
        <v>1750</v>
      </c>
      <c r="U369" s="864" t="s">
        <v>43</v>
      </c>
      <c r="V369" s="863" t="s">
        <v>1750</v>
      </c>
      <c r="W369" s="864" t="s">
        <v>43</v>
      </c>
      <c r="X369" s="861">
        <v>0.7</v>
      </c>
      <c r="Y369" s="865" t="s">
        <v>2279</v>
      </c>
      <c r="Z369" s="866" t="s">
        <v>43</v>
      </c>
      <c r="AA369" s="867">
        <v>2.7E-4</v>
      </c>
      <c r="AB369" s="868" t="s">
        <v>2279</v>
      </c>
      <c r="AC369" s="869" t="s">
        <v>1750</v>
      </c>
    </row>
    <row r="370" spans="1:29" ht="31.5" thickBot="1">
      <c r="A370" s="871" t="s">
        <v>987</v>
      </c>
      <c r="B370" s="807" t="s">
        <v>988</v>
      </c>
      <c r="C370" s="872" t="s">
        <v>1750</v>
      </c>
      <c r="D370" s="873" t="s">
        <v>43</v>
      </c>
      <c r="E370" s="847" t="s">
        <v>1750</v>
      </c>
      <c r="F370" s="873" t="s">
        <v>43</v>
      </c>
      <c r="G370" s="847" t="s">
        <v>1750</v>
      </c>
      <c r="H370" s="873" t="s">
        <v>43</v>
      </c>
      <c r="I370" s="819">
        <v>1.0000000000000001E-5</v>
      </c>
      <c r="J370" s="874" t="s">
        <v>280</v>
      </c>
      <c r="K370" s="874" t="s">
        <v>1634</v>
      </c>
      <c r="L370" s="873" t="s">
        <v>43</v>
      </c>
      <c r="M370" s="874">
        <v>1</v>
      </c>
      <c r="N370" s="888" t="s">
        <v>1750</v>
      </c>
      <c r="O370" s="820">
        <v>3390</v>
      </c>
      <c r="P370" s="876">
        <v>3.1</v>
      </c>
      <c r="Q370" s="877" t="s">
        <v>179</v>
      </c>
      <c r="R370" s="876">
        <v>13</v>
      </c>
      <c r="S370" s="877" t="s">
        <v>179</v>
      </c>
      <c r="T370" s="876">
        <v>0.01</v>
      </c>
      <c r="U370" s="877" t="s">
        <v>179</v>
      </c>
      <c r="V370" s="876">
        <v>4.3999999999999997E-2</v>
      </c>
      <c r="W370" s="877" t="s">
        <v>179</v>
      </c>
      <c r="X370" s="876">
        <v>2.1000000000000001E-2</v>
      </c>
      <c r="Y370" s="880" t="s">
        <v>179</v>
      </c>
      <c r="Z370" s="881" t="s">
        <v>43</v>
      </c>
      <c r="AA370" s="882">
        <v>2.1000000000000001E-4</v>
      </c>
      <c r="AB370" s="883" t="s">
        <v>179</v>
      </c>
      <c r="AC370" s="884" t="s">
        <v>1750</v>
      </c>
    </row>
    <row r="371" spans="1:29" ht="30.75">
      <c r="A371" s="856" t="s">
        <v>1821</v>
      </c>
      <c r="B371" s="792" t="s">
        <v>1822</v>
      </c>
      <c r="C371" s="857" t="s">
        <v>1750</v>
      </c>
      <c r="D371" s="858" t="s">
        <v>43</v>
      </c>
      <c r="E371" s="843" t="s">
        <v>1750</v>
      </c>
      <c r="F371" s="858" t="s">
        <v>43</v>
      </c>
      <c r="G371" s="804">
        <v>4.0000000000000002E-4</v>
      </c>
      <c r="H371" s="859" t="s">
        <v>281</v>
      </c>
      <c r="I371" s="843" t="s">
        <v>1750</v>
      </c>
      <c r="J371" s="858" t="s">
        <v>43</v>
      </c>
      <c r="K371" s="858" t="s">
        <v>43</v>
      </c>
      <c r="L371" s="858" t="s">
        <v>43</v>
      </c>
      <c r="M371" s="859">
        <v>1</v>
      </c>
      <c r="N371" s="859">
        <v>0.1</v>
      </c>
      <c r="O371" s="860" t="s">
        <v>1750</v>
      </c>
      <c r="P371" s="861">
        <v>25</v>
      </c>
      <c r="Q371" s="862" t="s">
        <v>179</v>
      </c>
      <c r="R371" s="861">
        <v>330</v>
      </c>
      <c r="S371" s="862" t="s">
        <v>179</v>
      </c>
      <c r="T371" s="863" t="s">
        <v>1750</v>
      </c>
      <c r="U371" s="864" t="s">
        <v>43</v>
      </c>
      <c r="V371" s="863" t="s">
        <v>1750</v>
      </c>
      <c r="W371" s="864" t="s">
        <v>43</v>
      </c>
      <c r="X371" s="861">
        <v>8</v>
      </c>
      <c r="Y371" s="865" t="s">
        <v>179</v>
      </c>
      <c r="Z371" s="866" t="s">
        <v>43</v>
      </c>
      <c r="AA371" s="867">
        <v>1.8E-3</v>
      </c>
      <c r="AB371" s="868" t="s">
        <v>179</v>
      </c>
      <c r="AC371" s="869" t="s">
        <v>1750</v>
      </c>
    </row>
    <row r="372" spans="1:29" ht="15.75">
      <c r="A372" s="856" t="s">
        <v>989</v>
      </c>
      <c r="B372" s="792" t="s">
        <v>990</v>
      </c>
      <c r="C372" s="857" t="s">
        <v>1750</v>
      </c>
      <c r="D372" s="858" t="s">
        <v>43</v>
      </c>
      <c r="E372" s="843" t="s">
        <v>1750</v>
      </c>
      <c r="F372" s="858" t="s">
        <v>43</v>
      </c>
      <c r="G372" s="843" t="s">
        <v>1750</v>
      </c>
      <c r="H372" s="858" t="s">
        <v>43</v>
      </c>
      <c r="I372" s="804">
        <v>0.7</v>
      </c>
      <c r="J372" s="859" t="s">
        <v>280</v>
      </c>
      <c r="K372" s="859" t="s">
        <v>1634</v>
      </c>
      <c r="L372" s="858" t="s">
        <v>43</v>
      </c>
      <c r="M372" s="859">
        <v>1</v>
      </c>
      <c r="N372" s="870" t="s">
        <v>1750</v>
      </c>
      <c r="O372" s="805">
        <v>141</v>
      </c>
      <c r="P372" s="861">
        <v>610</v>
      </c>
      <c r="Q372" s="862" t="s">
        <v>2282</v>
      </c>
      <c r="R372" s="861">
        <v>2500</v>
      </c>
      <c r="S372" s="862" t="s">
        <v>2282</v>
      </c>
      <c r="T372" s="861">
        <v>730</v>
      </c>
      <c r="U372" s="862" t="s">
        <v>179</v>
      </c>
      <c r="V372" s="861">
        <v>3100</v>
      </c>
      <c r="W372" s="862" t="s">
        <v>179</v>
      </c>
      <c r="X372" s="861">
        <v>1500</v>
      </c>
      <c r="Y372" s="865" t="s">
        <v>179</v>
      </c>
      <c r="Z372" s="866" t="s">
        <v>43</v>
      </c>
      <c r="AA372" s="867">
        <v>10</v>
      </c>
      <c r="AB372" s="868" t="s">
        <v>179</v>
      </c>
      <c r="AC372" s="869" t="s">
        <v>1750</v>
      </c>
    </row>
    <row r="373" spans="1:29" ht="16.5" thickBot="1">
      <c r="A373" s="871" t="s">
        <v>991</v>
      </c>
      <c r="B373" s="807" t="s">
        <v>992</v>
      </c>
      <c r="C373" s="872" t="s">
        <v>1750</v>
      </c>
      <c r="D373" s="873" t="s">
        <v>43</v>
      </c>
      <c r="E373" s="847" t="s">
        <v>1750</v>
      </c>
      <c r="F373" s="873" t="s">
        <v>43</v>
      </c>
      <c r="G373" s="819">
        <v>2</v>
      </c>
      <c r="H373" s="874" t="s">
        <v>281</v>
      </c>
      <c r="I373" s="847" t="s">
        <v>1750</v>
      </c>
      <c r="J373" s="873" t="s">
        <v>43</v>
      </c>
      <c r="K373" s="873" t="s">
        <v>43</v>
      </c>
      <c r="L373" s="873" t="s">
        <v>43</v>
      </c>
      <c r="M373" s="874">
        <v>1</v>
      </c>
      <c r="N373" s="874">
        <v>0.1</v>
      </c>
      <c r="O373" s="875" t="s">
        <v>1750</v>
      </c>
      <c r="P373" s="876">
        <v>130000</v>
      </c>
      <c r="Q373" s="877" t="s">
        <v>2281</v>
      </c>
      <c r="R373" s="876">
        <v>1600000</v>
      </c>
      <c r="S373" s="877" t="s">
        <v>2281</v>
      </c>
      <c r="T373" s="878" t="s">
        <v>1750</v>
      </c>
      <c r="U373" s="879" t="s">
        <v>43</v>
      </c>
      <c r="V373" s="878" t="s">
        <v>1750</v>
      </c>
      <c r="W373" s="879" t="s">
        <v>43</v>
      </c>
      <c r="X373" s="876">
        <v>40000</v>
      </c>
      <c r="Y373" s="880" t="s">
        <v>179</v>
      </c>
      <c r="Z373" s="881" t="s">
        <v>43</v>
      </c>
      <c r="AA373" s="882">
        <v>9.9</v>
      </c>
      <c r="AB373" s="883" t="s">
        <v>179</v>
      </c>
      <c r="AC373" s="884" t="s">
        <v>1750</v>
      </c>
    </row>
    <row r="374" spans="1:29" ht="15.75">
      <c r="A374" s="856" t="s">
        <v>993</v>
      </c>
      <c r="B374" s="792" t="s">
        <v>994</v>
      </c>
      <c r="C374" s="857" t="s">
        <v>1750</v>
      </c>
      <c r="D374" s="858" t="s">
        <v>43</v>
      </c>
      <c r="E374" s="843" t="s">
        <v>1750</v>
      </c>
      <c r="F374" s="858" t="s">
        <v>43</v>
      </c>
      <c r="G374" s="804">
        <v>5.0000000000000001E-3</v>
      </c>
      <c r="H374" s="859" t="s">
        <v>280</v>
      </c>
      <c r="I374" s="804">
        <v>0.03</v>
      </c>
      <c r="J374" s="859" t="s">
        <v>280</v>
      </c>
      <c r="K374" s="859" t="s">
        <v>1634</v>
      </c>
      <c r="L374" s="858" t="s">
        <v>43</v>
      </c>
      <c r="M374" s="859">
        <v>1</v>
      </c>
      <c r="N374" s="870" t="s">
        <v>1750</v>
      </c>
      <c r="O374" s="805">
        <v>3280</v>
      </c>
      <c r="P374" s="861">
        <v>200</v>
      </c>
      <c r="Q374" s="862" t="s">
        <v>179</v>
      </c>
      <c r="R374" s="861">
        <v>1300</v>
      </c>
      <c r="S374" s="862" t="s">
        <v>179</v>
      </c>
      <c r="T374" s="861">
        <v>31</v>
      </c>
      <c r="U374" s="862" t="s">
        <v>179</v>
      </c>
      <c r="V374" s="861">
        <v>130</v>
      </c>
      <c r="W374" s="862" t="s">
        <v>179</v>
      </c>
      <c r="X374" s="861">
        <v>38</v>
      </c>
      <c r="Y374" s="865" t="s">
        <v>179</v>
      </c>
      <c r="Z374" s="866" t="s">
        <v>43</v>
      </c>
      <c r="AA374" s="867">
        <v>8.8000000000000005E-3</v>
      </c>
      <c r="AB374" s="868" t="s">
        <v>179</v>
      </c>
      <c r="AC374" s="869" t="s">
        <v>1750</v>
      </c>
    </row>
    <row r="375" spans="1:29" ht="30.75">
      <c r="A375" s="856" t="s">
        <v>995</v>
      </c>
      <c r="B375" s="792" t="s">
        <v>996</v>
      </c>
      <c r="C375" s="857" t="s">
        <v>1750</v>
      </c>
      <c r="D375" s="858" t="s">
        <v>43</v>
      </c>
      <c r="E375" s="843" t="s">
        <v>1750</v>
      </c>
      <c r="F375" s="858" t="s">
        <v>43</v>
      </c>
      <c r="G375" s="804">
        <v>3.3000000000000002E-2</v>
      </c>
      <c r="H375" s="859" t="s">
        <v>280</v>
      </c>
      <c r="I375" s="843" t="s">
        <v>1750</v>
      </c>
      <c r="J375" s="858" t="s">
        <v>43</v>
      </c>
      <c r="K375" s="858" t="s">
        <v>43</v>
      </c>
      <c r="L375" s="858" t="s">
        <v>43</v>
      </c>
      <c r="M375" s="859">
        <v>1</v>
      </c>
      <c r="N375" s="859">
        <v>0.1</v>
      </c>
      <c r="O375" s="860" t="s">
        <v>1750</v>
      </c>
      <c r="P375" s="861">
        <v>2100</v>
      </c>
      <c r="Q375" s="862" t="s">
        <v>179</v>
      </c>
      <c r="R375" s="861">
        <v>27000</v>
      </c>
      <c r="S375" s="862" t="s">
        <v>179</v>
      </c>
      <c r="T375" s="863" t="s">
        <v>1750</v>
      </c>
      <c r="U375" s="864" t="s">
        <v>43</v>
      </c>
      <c r="V375" s="863" t="s">
        <v>1750</v>
      </c>
      <c r="W375" s="864" t="s">
        <v>43</v>
      </c>
      <c r="X375" s="861">
        <v>640</v>
      </c>
      <c r="Y375" s="865" t="s">
        <v>179</v>
      </c>
      <c r="Z375" s="866" t="s">
        <v>43</v>
      </c>
      <c r="AA375" s="867">
        <v>0.3</v>
      </c>
      <c r="AB375" s="868" t="s">
        <v>179</v>
      </c>
      <c r="AC375" s="869" t="s">
        <v>1750</v>
      </c>
    </row>
    <row r="376" spans="1:29" ht="31.5" thickBot="1">
      <c r="A376" s="871" t="s">
        <v>2225</v>
      </c>
      <c r="B376" s="807" t="s">
        <v>1451</v>
      </c>
      <c r="C376" s="872" t="s">
        <v>1750</v>
      </c>
      <c r="D376" s="873" t="s">
        <v>43</v>
      </c>
      <c r="E376" s="847" t="s">
        <v>1750</v>
      </c>
      <c r="F376" s="873" t="s">
        <v>43</v>
      </c>
      <c r="G376" s="819">
        <v>2.5000000000000001E-2</v>
      </c>
      <c r="H376" s="874" t="s">
        <v>280</v>
      </c>
      <c r="I376" s="847" t="s">
        <v>1750</v>
      </c>
      <c r="J376" s="873" t="s">
        <v>43</v>
      </c>
      <c r="K376" s="873" t="s">
        <v>43</v>
      </c>
      <c r="L376" s="873" t="s">
        <v>43</v>
      </c>
      <c r="M376" s="874">
        <v>1</v>
      </c>
      <c r="N376" s="874">
        <v>0.1</v>
      </c>
      <c r="O376" s="875" t="s">
        <v>1750</v>
      </c>
      <c r="P376" s="876">
        <v>1600</v>
      </c>
      <c r="Q376" s="877" t="s">
        <v>179</v>
      </c>
      <c r="R376" s="876">
        <v>21000</v>
      </c>
      <c r="S376" s="877" t="s">
        <v>179</v>
      </c>
      <c r="T376" s="878" t="s">
        <v>1750</v>
      </c>
      <c r="U376" s="879" t="s">
        <v>43</v>
      </c>
      <c r="V376" s="878" t="s">
        <v>1750</v>
      </c>
      <c r="W376" s="879" t="s">
        <v>43</v>
      </c>
      <c r="X376" s="876">
        <v>110</v>
      </c>
      <c r="Y376" s="880" t="s">
        <v>179</v>
      </c>
      <c r="Z376" s="881" t="s">
        <v>43</v>
      </c>
      <c r="AA376" s="882">
        <v>0.5</v>
      </c>
      <c r="AB376" s="883" t="s">
        <v>179</v>
      </c>
      <c r="AC376" s="884" t="s">
        <v>1750</v>
      </c>
    </row>
    <row r="377" spans="1:29" ht="30.75">
      <c r="A377" s="856" t="s">
        <v>2226</v>
      </c>
      <c r="B377" s="792" t="s">
        <v>392</v>
      </c>
      <c r="C377" s="857" t="s">
        <v>1750</v>
      </c>
      <c r="D377" s="858" t="s">
        <v>43</v>
      </c>
      <c r="E377" s="843" t="s">
        <v>1750</v>
      </c>
      <c r="F377" s="858" t="s">
        <v>43</v>
      </c>
      <c r="G377" s="804">
        <v>1.7000000000000001E-2</v>
      </c>
      <c r="H377" s="859" t="s">
        <v>2463</v>
      </c>
      <c r="I377" s="843" t="s">
        <v>1750</v>
      </c>
      <c r="J377" s="858" t="s">
        <v>43</v>
      </c>
      <c r="K377" s="858" t="s">
        <v>43</v>
      </c>
      <c r="L377" s="858" t="s">
        <v>43</v>
      </c>
      <c r="M377" s="859">
        <v>1</v>
      </c>
      <c r="N377" s="859">
        <v>0.1</v>
      </c>
      <c r="O377" s="860" t="s">
        <v>1750</v>
      </c>
      <c r="P377" s="861">
        <v>1100</v>
      </c>
      <c r="Q377" s="862" t="s">
        <v>179</v>
      </c>
      <c r="R377" s="861">
        <v>14000</v>
      </c>
      <c r="S377" s="862" t="s">
        <v>179</v>
      </c>
      <c r="T377" s="863" t="s">
        <v>1750</v>
      </c>
      <c r="U377" s="864" t="s">
        <v>43</v>
      </c>
      <c r="V377" s="863" t="s">
        <v>1750</v>
      </c>
      <c r="W377" s="864" t="s">
        <v>43</v>
      </c>
      <c r="X377" s="861">
        <v>340</v>
      </c>
      <c r="Y377" s="865" t="s">
        <v>179</v>
      </c>
      <c r="Z377" s="866" t="s">
        <v>43</v>
      </c>
      <c r="AA377" s="867">
        <v>120000</v>
      </c>
      <c r="AB377" s="868" t="s">
        <v>179</v>
      </c>
      <c r="AC377" s="869" t="s">
        <v>1750</v>
      </c>
    </row>
    <row r="378" spans="1:29" ht="15.75">
      <c r="A378" s="856" t="s">
        <v>997</v>
      </c>
      <c r="B378" s="792" t="s">
        <v>998</v>
      </c>
      <c r="C378" s="889">
        <v>3</v>
      </c>
      <c r="D378" s="859" t="s">
        <v>280</v>
      </c>
      <c r="E378" s="804">
        <v>4.8999999999999998E-3</v>
      </c>
      <c r="F378" s="859" t="s">
        <v>280</v>
      </c>
      <c r="G378" s="843" t="s">
        <v>1750</v>
      </c>
      <c r="H378" s="858" t="s">
        <v>43</v>
      </c>
      <c r="I378" s="804">
        <v>3.0000000000000001E-5</v>
      </c>
      <c r="J378" s="859" t="s">
        <v>281</v>
      </c>
      <c r="K378" s="859" t="s">
        <v>1634</v>
      </c>
      <c r="L378" s="858" t="s">
        <v>43</v>
      </c>
      <c r="M378" s="859">
        <v>1</v>
      </c>
      <c r="N378" s="870" t="s">
        <v>1750</v>
      </c>
      <c r="O378" s="860" t="s">
        <v>1750</v>
      </c>
      <c r="P378" s="861">
        <v>0.23</v>
      </c>
      <c r="Q378" s="862" t="s">
        <v>2283</v>
      </c>
      <c r="R378" s="861">
        <v>1.1000000000000001</v>
      </c>
      <c r="S378" s="862" t="s">
        <v>2283</v>
      </c>
      <c r="T378" s="861">
        <v>5.6999999999999998E-4</v>
      </c>
      <c r="U378" s="862" t="s">
        <v>2279</v>
      </c>
      <c r="V378" s="861">
        <v>2.5000000000000001E-3</v>
      </c>
      <c r="W378" s="862" t="s">
        <v>2279</v>
      </c>
      <c r="X378" s="861">
        <v>1.1000000000000001E-3</v>
      </c>
      <c r="Y378" s="865" t="s">
        <v>2279</v>
      </c>
      <c r="Z378" s="866" t="s">
        <v>43</v>
      </c>
      <c r="AA378" s="886" t="s">
        <v>1750</v>
      </c>
      <c r="AB378" s="868" t="s">
        <v>2279</v>
      </c>
      <c r="AC378" s="869" t="s">
        <v>1750</v>
      </c>
    </row>
    <row r="379" spans="1:29" ht="31.5" thickBot="1">
      <c r="A379" s="871" t="s">
        <v>999</v>
      </c>
      <c r="B379" s="807" t="s">
        <v>1000</v>
      </c>
      <c r="C379" s="890">
        <v>3</v>
      </c>
      <c r="D379" s="874" t="s">
        <v>280</v>
      </c>
      <c r="E379" s="819">
        <v>4.8999999999999998E-3</v>
      </c>
      <c r="F379" s="874" t="s">
        <v>280</v>
      </c>
      <c r="G379" s="847" t="s">
        <v>1750</v>
      </c>
      <c r="H379" s="873" t="s">
        <v>43</v>
      </c>
      <c r="I379" s="847" t="s">
        <v>1750</v>
      </c>
      <c r="J379" s="873" t="s">
        <v>43</v>
      </c>
      <c r="K379" s="873" t="s">
        <v>43</v>
      </c>
      <c r="L379" s="873" t="s">
        <v>43</v>
      </c>
      <c r="M379" s="874">
        <v>1</v>
      </c>
      <c r="N379" s="888" t="s">
        <v>1750</v>
      </c>
      <c r="O379" s="875" t="s">
        <v>1750</v>
      </c>
      <c r="P379" s="876">
        <v>0.23</v>
      </c>
      <c r="Q379" s="877" t="s">
        <v>2283</v>
      </c>
      <c r="R379" s="876">
        <v>1.1000000000000001</v>
      </c>
      <c r="S379" s="877" t="s">
        <v>2283</v>
      </c>
      <c r="T379" s="876">
        <v>5.6999999999999998E-4</v>
      </c>
      <c r="U379" s="877" t="s">
        <v>2283</v>
      </c>
      <c r="V379" s="876">
        <v>2.5000000000000001E-3</v>
      </c>
      <c r="W379" s="877" t="s">
        <v>2283</v>
      </c>
      <c r="X379" s="876">
        <v>2.5999999999999999E-2</v>
      </c>
      <c r="Y379" s="880" t="s">
        <v>2283</v>
      </c>
      <c r="Z379" s="881" t="s">
        <v>43</v>
      </c>
      <c r="AA379" s="895" t="s">
        <v>1750</v>
      </c>
      <c r="AB379" s="883" t="s">
        <v>2283</v>
      </c>
      <c r="AC379" s="884" t="s">
        <v>1750</v>
      </c>
    </row>
    <row r="380" spans="1:29" ht="15.75">
      <c r="A380" s="856" t="s">
        <v>1001</v>
      </c>
      <c r="B380" s="792" t="s">
        <v>1002</v>
      </c>
      <c r="C380" s="857" t="s">
        <v>1750</v>
      </c>
      <c r="D380" s="858" t="s">
        <v>43</v>
      </c>
      <c r="E380" s="843" t="s">
        <v>1750</v>
      </c>
      <c r="F380" s="858" t="s">
        <v>43</v>
      </c>
      <c r="G380" s="843" t="s">
        <v>1750</v>
      </c>
      <c r="H380" s="858" t="s">
        <v>43</v>
      </c>
      <c r="I380" s="804">
        <v>0.02</v>
      </c>
      <c r="J380" s="859" t="s">
        <v>280</v>
      </c>
      <c r="K380" s="859" t="s">
        <v>1634</v>
      </c>
      <c r="L380" s="858" t="s">
        <v>43</v>
      </c>
      <c r="M380" s="859">
        <v>1</v>
      </c>
      <c r="N380" s="870" t="s">
        <v>1750</v>
      </c>
      <c r="O380" s="860" t="s">
        <v>1750</v>
      </c>
      <c r="P380" s="861">
        <v>28000000</v>
      </c>
      <c r="Q380" s="862" t="s">
        <v>2281</v>
      </c>
      <c r="R380" s="861">
        <v>120000000</v>
      </c>
      <c r="S380" s="862" t="s">
        <v>2281</v>
      </c>
      <c r="T380" s="861">
        <v>21</v>
      </c>
      <c r="U380" s="862" t="s">
        <v>179</v>
      </c>
      <c r="V380" s="861">
        <v>88</v>
      </c>
      <c r="W380" s="862" t="s">
        <v>179</v>
      </c>
      <c r="X380" s="861">
        <v>42</v>
      </c>
      <c r="Y380" s="865" t="s">
        <v>179</v>
      </c>
      <c r="Z380" s="866" t="s">
        <v>43</v>
      </c>
      <c r="AA380" s="886" t="s">
        <v>1750</v>
      </c>
      <c r="AB380" s="868" t="s">
        <v>179</v>
      </c>
      <c r="AC380" s="869" t="s">
        <v>1750</v>
      </c>
    </row>
    <row r="381" spans="1:29" ht="15.75">
      <c r="A381" s="856" t="s">
        <v>1003</v>
      </c>
      <c r="B381" s="792" t="s">
        <v>1004</v>
      </c>
      <c r="C381" s="857" t="s">
        <v>1750</v>
      </c>
      <c r="D381" s="858" t="s">
        <v>43</v>
      </c>
      <c r="E381" s="843" t="s">
        <v>1750</v>
      </c>
      <c r="F381" s="858" t="s">
        <v>43</v>
      </c>
      <c r="G381" s="804">
        <v>0.04</v>
      </c>
      <c r="H381" s="859" t="s">
        <v>3</v>
      </c>
      <c r="I381" s="804">
        <v>1.4E-2</v>
      </c>
      <c r="J381" s="859" t="s">
        <v>3</v>
      </c>
      <c r="K381" s="859" t="s">
        <v>1634</v>
      </c>
      <c r="L381" s="858" t="s">
        <v>43</v>
      </c>
      <c r="M381" s="859">
        <v>1</v>
      </c>
      <c r="N381" s="870" t="s">
        <v>1750</v>
      </c>
      <c r="O381" s="860" t="s">
        <v>1750</v>
      </c>
      <c r="P381" s="861">
        <v>3100</v>
      </c>
      <c r="Q381" s="862" t="s">
        <v>179</v>
      </c>
      <c r="R381" s="861">
        <v>47000</v>
      </c>
      <c r="S381" s="862" t="s">
        <v>179</v>
      </c>
      <c r="T381" s="861">
        <v>15</v>
      </c>
      <c r="U381" s="862" t="s">
        <v>179</v>
      </c>
      <c r="V381" s="861">
        <v>61</v>
      </c>
      <c r="W381" s="862" t="s">
        <v>179</v>
      </c>
      <c r="X381" s="861">
        <v>28</v>
      </c>
      <c r="Y381" s="865" t="s">
        <v>179</v>
      </c>
      <c r="Z381" s="866" t="s">
        <v>43</v>
      </c>
      <c r="AA381" s="886" t="s">
        <v>1750</v>
      </c>
      <c r="AB381" s="868" t="s">
        <v>179</v>
      </c>
      <c r="AC381" s="869" t="s">
        <v>1750</v>
      </c>
    </row>
    <row r="382" spans="1:29" ht="16.5" thickBot="1">
      <c r="A382" s="871" t="s">
        <v>1005</v>
      </c>
      <c r="B382" s="807" t="s">
        <v>1006</v>
      </c>
      <c r="C382" s="872" t="s">
        <v>1750</v>
      </c>
      <c r="D382" s="873" t="s">
        <v>43</v>
      </c>
      <c r="E382" s="847" t="s">
        <v>1750</v>
      </c>
      <c r="F382" s="873" t="s">
        <v>43</v>
      </c>
      <c r="G382" s="847" t="s">
        <v>1750</v>
      </c>
      <c r="H382" s="873" t="s">
        <v>43</v>
      </c>
      <c r="I382" s="819">
        <v>2E-3</v>
      </c>
      <c r="J382" s="874" t="s">
        <v>280</v>
      </c>
      <c r="K382" s="874" t="s">
        <v>1634</v>
      </c>
      <c r="L382" s="873" t="s">
        <v>43</v>
      </c>
      <c r="M382" s="874">
        <v>1</v>
      </c>
      <c r="N382" s="888" t="s">
        <v>1750</v>
      </c>
      <c r="O382" s="875" t="s">
        <v>1750</v>
      </c>
      <c r="P382" s="876">
        <v>2800000</v>
      </c>
      <c r="Q382" s="877" t="s">
        <v>2281</v>
      </c>
      <c r="R382" s="876">
        <v>12000000</v>
      </c>
      <c r="S382" s="877" t="s">
        <v>2281</v>
      </c>
      <c r="T382" s="876">
        <v>2.1</v>
      </c>
      <c r="U382" s="877" t="s">
        <v>179</v>
      </c>
      <c r="V382" s="876">
        <v>8.8000000000000007</v>
      </c>
      <c r="W382" s="877" t="s">
        <v>179</v>
      </c>
      <c r="X382" s="876">
        <v>4.2</v>
      </c>
      <c r="Y382" s="880" t="s">
        <v>179</v>
      </c>
      <c r="Z382" s="881" t="s">
        <v>43</v>
      </c>
      <c r="AA382" s="895" t="s">
        <v>1750</v>
      </c>
      <c r="AB382" s="883" t="s">
        <v>179</v>
      </c>
      <c r="AC382" s="884" t="s">
        <v>1750</v>
      </c>
    </row>
    <row r="383" spans="1:29" ht="15.75">
      <c r="A383" s="856" t="s">
        <v>1007</v>
      </c>
      <c r="B383" s="792" t="s">
        <v>1008</v>
      </c>
      <c r="C383" s="889">
        <v>0.06</v>
      </c>
      <c r="D383" s="859" t="s">
        <v>281</v>
      </c>
      <c r="E383" s="843" t="s">
        <v>1750</v>
      </c>
      <c r="F383" s="858" t="s">
        <v>43</v>
      </c>
      <c r="G383" s="804">
        <v>0.04</v>
      </c>
      <c r="H383" s="859" t="s">
        <v>281</v>
      </c>
      <c r="I383" s="843" t="s">
        <v>1750</v>
      </c>
      <c r="J383" s="858" t="s">
        <v>43</v>
      </c>
      <c r="K383" s="858" t="s">
        <v>43</v>
      </c>
      <c r="L383" s="858" t="s">
        <v>43</v>
      </c>
      <c r="M383" s="859">
        <v>1</v>
      </c>
      <c r="N383" s="859">
        <v>0.1</v>
      </c>
      <c r="O383" s="860" t="s">
        <v>1750</v>
      </c>
      <c r="P383" s="861">
        <v>9</v>
      </c>
      <c r="Q383" s="862" t="s">
        <v>2283</v>
      </c>
      <c r="R383" s="861">
        <v>38</v>
      </c>
      <c r="S383" s="862" t="s">
        <v>2283</v>
      </c>
      <c r="T383" s="863" t="s">
        <v>1750</v>
      </c>
      <c r="U383" s="864" t="s">
        <v>43</v>
      </c>
      <c r="V383" s="863" t="s">
        <v>1750</v>
      </c>
      <c r="W383" s="864" t="s">
        <v>43</v>
      </c>
      <c r="X383" s="861">
        <v>1.3</v>
      </c>
      <c r="Y383" s="865" t="s">
        <v>2283</v>
      </c>
      <c r="Z383" s="866" t="s">
        <v>43</v>
      </c>
      <c r="AA383" s="867">
        <v>8.7000000000000001E-4</v>
      </c>
      <c r="AB383" s="868" t="s">
        <v>2283</v>
      </c>
      <c r="AC383" s="869" t="s">
        <v>1750</v>
      </c>
    </row>
    <row r="384" spans="1:29" ht="30.75">
      <c r="A384" s="856" t="s">
        <v>1009</v>
      </c>
      <c r="B384" s="792" t="s">
        <v>1010</v>
      </c>
      <c r="C384" s="889">
        <v>6.0999999999999999E-2</v>
      </c>
      <c r="D384" s="859" t="s">
        <v>2463</v>
      </c>
      <c r="E384" s="843" t="s">
        <v>1750</v>
      </c>
      <c r="F384" s="858" t="s">
        <v>43</v>
      </c>
      <c r="G384" s="804">
        <v>2.5000000000000001E-3</v>
      </c>
      <c r="H384" s="859" t="s">
        <v>2463</v>
      </c>
      <c r="I384" s="843" t="s">
        <v>1750</v>
      </c>
      <c r="J384" s="858" t="s">
        <v>43</v>
      </c>
      <c r="K384" s="858" t="s">
        <v>43</v>
      </c>
      <c r="L384" s="858" t="s">
        <v>43</v>
      </c>
      <c r="M384" s="859">
        <v>1</v>
      </c>
      <c r="N384" s="859">
        <v>0.1</v>
      </c>
      <c r="O384" s="860" t="s">
        <v>1750</v>
      </c>
      <c r="P384" s="861">
        <v>8.9</v>
      </c>
      <c r="Q384" s="862" t="s">
        <v>2279</v>
      </c>
      <c r="R384" s="861">
        <v>38</v>
      </c>
      <c r="S384" s="862" t="s">
        <v>2279</v>
      </c>
      <c r="T384" s="863" t="s">
        <v>1750</v>
      </c>
      <c r="U384" s="864" t="s">
        <v>43</v>
      </c>
      <c r="V384" s="863" t="s">
        <v>1750</v>
      </c>
      <c r="W384" s="864" t="s">
        <v>43</v>
      </c>
      <c r="X384" s="861">
        <v>0.9</v>
      </c>
      <c r="Y384" s="865" t="s">
        <v>2279</v>
      </c>
      <c r="Z384" s="866" t="s">
        <v>43</v>
      </c>
      <c r="AA384" s="867">
        <v>1.4999999999999999E-2</v>
      </c>
      <c r="AB384" s="868" t="s">
        <v>2279</v>
      </c>
      <c r="AC384" s="869" t="s">
        <v>1750</v>
      </c>
    </row>
    <row r="385" spans="1:29" ht="31.5" thickBot="1">
      <c r="A385" s="871" t="s">
        <v>1011</v>
      </c>
      <c r="B385" s="807" t="s">
        <v>1012</v>
      </c>
      <c r="C385" s="872" t="s">
        <v>1750</v>
      </c>
      <c r="D385" s="873" t="s">
        <v>43</v>
      </c>
      <c r="E385" s="847" t="s">
        <v>1750</v>
      </c>
      <c r="F385" s="873" t="s">
        <v>43</v>
      </c>
      <c r="G385" s="819">
        <v>0.25</v>
      </c>
      <c r="H385" s="874" t="s">
        <v>280</v>
      </c>
      <c r="I385" s="847" t="s">
        <v>1750</v>
      </c>
      <c r="J385" s="873" t="s">
        <v>43</v>
      </c>
      <c r="K385" s="873" t="s">
        <v>43</v>
      </c>
      <c r="L385" s="873" t="s">
        <v>43</v>
      </c>
      <c r="M385" s="874">
        <v>1</v>
      </c>
      <c r="N385" s="874">
        <v>0.1</v>
      </c>
      <c r="O385" s="875" t="s">
        <v>1750</v>
      </c>
      <c r="P385" s="876">
        <v>16000</v>
      </c>
      <c r="Q385" s="877" t="s">
        <v>179</v>
      </c>
      <c r="R385" s="876">
        <v>210000</v>
      </c>
      <c r="S385" s="877" t="s">
        <v>2281</v>
      </c>
      <c r="T385" s="878" t="s">
        <v>1750</v>
      </c>
      <c r="U385" s="879" t="s">
        <v>43</v>
      </c>
      <c r="V385" s="878" t="s">
        <v>1750</v>
      </c>
      <c r="W385" s="879" t="s">
        <v>43</v>
      </c>
      <c r="X385" s="876">
        <v>4900</v>
      </c>
      <c r="Y385" s="880" t="s">
        <v>179</v>
      </c>
      <c r="Z385" s="881" t="s">
        <v>43</v>
      </c>
      <c r="AA385" s="882">
        <v>24</v>
      </c>
      <c r="AB385" s="883" t="s">
        <v>179</v>
      </c>
      <c r="AC385" s="884" t="s">
        <v>1750</v>
      </c>
    </row>
    <row r="386" spans="1:29" ht="30.75">
      <c r="A386" s="856" t="s">
        <v>2227</v>
      </c>
      <c r="B386" s="792" t="s">
        <v>1434</v>
      </c>
      <c r="C386" s="857" t="s">
        <v>1750</v>
      </c>
      <c r="D386" s="858" t="s">
        <v>43</v>
      </c>
      <c r="E386" s="843" t="s">
        <v>1750</v>
      </c>
      <c r="F386" s="858" t="s">
        <v>43</v>
      </c>
      <c r="G386" s="804">
        <v>2.5</v>
      </c>
      <c r="H386" s="859" t="s">
        <v>2463</v>
      </c>
      <c r="I386" s="843" t="s">
        <v>1750</v>
      </c>
      <c r="J386" s="858" t="s">
        <v>43</v>
      </c>
      <c r="K386" s="858" t="s">
        <v>43</v>
      </c>
      <c r="L386" s="858" t="s">
        <v>43</v>
      </c>
      <c r="M386" s="859">
        <v>1</v>
      </c>
      <c r="N386" s="859">
        <v>0.1</v>
      </c>
      <c r="O386" s="860" t="s">
        <v>1750</v>
      </c>
      <c r="P386" s="861">
        <v>160000</v>
      </c>
      <c r="Q386" s="862" t="s">
        <v>2281</v>
      </c>
      <c r="R386" s="861">
        <v>2100000</v>
      </c>
      <c r="S386" s="862" t="s">
        <v>2281</v>
      </c>
      <c r="T386" s="863" t="s">
        <v>1750</v>
      </c>
      <c r="U386" s="864" t="s">
        <v>43</v>
      </c>
      <c r="V386" s="863" t="s">
        <v>1750</v>
      </c>
      <c r="W386" s="864" t="s">
        <v>43</v>
      </c>
      <c r="X386" s="861">
        <v>47000</v>
      </c>
      <c r="Y386" s="865" t="s">
        <v>179</v>
      </c>
      <c r="Z386" s="866" t="s">
        <v>43</v>
      </c>
      <c r="AA386" s="867">
        <v>41</v>
      </c>
      <c r="AB386" s="868" t="s">
        <v>179</v>
      </c>
      <c r="AC386" s="869" t="s">
        <v>1750</v>
      </c>
    </row>
    <row r="387" spans="1:29" ht="15.75">
      <c r="A387" s="856" t="s">
        <v>1013</v>
      </c>
      <c r="B387" s="792" t="s">
        <v>1014</v>
      </c>
      <c r="C387" s="857" t="s">
        <v>1750</v>
      </c>
      <c r="D387" s="858" t="s">
        <v>43</v>
      </c>
      <c r="E387" s="843" t="s">
        <v>1750</v>
      </c>
      <c r="F387" s="858" t="s">
        <v>43</v>
      </c>
      <c r="G387" s="804">
        <v>0.01</v>
      </c>
      <c r="H387" s="859" t="s">
        <v>18</v>
      </c>
      <c r="I387" s="843" t="s">
        <v>1750</v>
      </c>
      <c r="J387" s="858" t="s">
        <v>43</v>
      </c>
      <c r="K387" s="858" t="s">
        <v>43</v>
      </c>
      <c r="L387" s="858" t="s">
        <v>43</v>
      </c>
      <c r="M387" s="859">
        <v>1</v>
      </c>
      <c r="N387" s="870" t="s">
        <v>1750</v>
      </c>
      <c r="O387" s="860" t="s">
        <v>1750</v>
      </c>
      <c r="P387" s="861">
        <v>780</v>
      </c>
      <c r="Q387" s="862" t="s">
        <v>179</v>
      </c>
      <c r="R387" s="861">
        <v>12000</v>
      </c>
      <c r="S387" s="862" t="s">
        <v>179</v>
      </c>
      <c r="T387" s="863" t="s">
        <v>1750</v>
      </c>
      <c r="U387" s="864" t="s">
        <v>43</v>
      </c>
      <c r="V387" s="863" t="s">
        <v>1750</v>
      </c>
      <c r="W387" s="864" t="s">
        <v>43</v>
      </c>
      <c r="X387" s="861">
        <v>200</v>
      </c>
      <c r="Y387" s="865" t="s">
        <v>179</v>
      </c>
      <c r="Z387" s="866" t="s">
        <v>43</v>
      </c>
      <c r="AA387" s="867">
        <v>12</v>
      </c>
      <c r="AB387" s="868" t="s">
        <v>179</v>
      </c>
      <c r="AC387" s="869" t="s">
        <v>1750</v>
      </c>
    </row>
    <row r="388" spans="1:29" ht="31.5" thickBot="1">
      <c r="A388" s="871" t="s">
        <v>1015</v>
      </c>
      <c r="B388" s="807" t="s">
        <v>1016</v>
      </c>
      <c r="C388" s="872" t="s">
        <v>1750</v>
      </c>
      <c r="D388" s="873" t="s">
        <v>43</v>
      </c>
      <c r="E388" s="847" t="s">
        <v>1750</v>
      </c>
      <c r="F388" s="873" t="s">
        <v>43</v>
      </c>
      <c r="G388" s="819">
        <v>0.04</v>
      </c>
      <c r="H388" s="874" t="s">
        <v>280</v>
      </c>
      <c r="I388" s="847" t="s">
        <v>1750</v>
      </c>
      <c r="J388" s="873" t="s">
        <v>43</v>
      </c>
      <c r="K388" s="873" t="s">
        <v>43</v>
      </c>
      <c r="L388" s="873" t="s">
        <v>43</v>
      </c>
      <c r="M388" s="874">
        <v>1</v>
      </c>
      <c r="N388" s="874">
        <v>0.1</v>
      </c>
      <c r="O388" s="875" t="s">
        <v>1750</v>
      </c>
      <c r="P388" s="876">
        <v>2500</v>
      </c>
      <c r="Q388" s="877" t="s">
        <v>179</v>
      </c>
      <c r="R388" s="876">
        <v>33000</v>
      </c>
      <c r="S388" s="877" t="s">
        <v>179</v>
      </c>
      <c r="T388" s="878" t="s">
        <v>1750</v>
      </c>
      <c r="U388" s="879" t="s">
        <v>43</v>
      </c>
      <c r="V388" s="878" t="s">
        <v>1750</v>
      </c>
      <c r="W388" s="879" t="s">
        <v>43</v>
      </c>
      <c r="X388" s="876">
        <v>740</v>
      </c>
      <c r="Y388" s="880" t="s">
        <v>179</v>
      </c>
      <c r="Z388" s="881" t="s">
        <v>43</v>
      </c>
      <c r="AA388" s="882">
        <v>0.22</v>
      </c>
      <c r="AB388" s="883" t="s">
        <v>179</v>
      </c>
      <c r="AC388" s="884" t="s">
        <v>1750</v>
      </c>
    </row>
    <row r="389" spans="1:29" ht="15.75">
      <c r="A389" s="856" t="s">
        <v>1017</v>
      </c>
      <c r="B389" s="792" t="s">
        <v>1018</v>
      </c>
      <c r="C389" s="857" t="s">
        <v>1750</v>
      </c>
      <c r="D389" s="858" t="s">
        <v>43</v>
      </c>
      <c r="E389" s="843" t="s">
        <v>1750</v>
      </c>
      <c r="F389" s="858" t="s">
        <v>43</v>
      </c>
      <c r="G389" s="804">
        <v>0.7</v>
      </c>
      <c r="H389" s="859" t="s">
        <v>281</v>
      </c>
      <c r="I389" s="843" t="s">
        <v>1750</v>
      </c>
      <c r="J389" s="858" t="s">
        <v>43</v>
      </c>
      <c r="K389" s="858" t="s">
        <v>43</v>
      </c>
      <c r="L389" s="858" t="s">
        <v>43</v>
      </c>
      <c r="M389" s="859">
        <v>1</v>
      </c>
      <c r="N389" s="870" t="s">
        <v>1750</v>
      </c>
      <c r="O389" s="860" t="s">
        <v>1750</v>
      </c>
      <c r="P389" s="861">
        <v>55000</v>
      </c>
      <c r="Q389" s="862" t="s">
        <v>179</v>
      </c>
      <c r="R389" s="861">
        <v>820000</v>
      </c>
      <c r="S389" s="862" t="s">
        <v>2281</v>
      </c>
      <c r="T389" s="863" t="s">
        <v>1750</v>
      </c>
      <c r="U389" s="864" t="s">
        <v>43</v>
      </c>
      <c r="V389" s="863" t="s">
        <v>1750</v>
      </c>
      <c r="W389" s="864" t="s">
        <v>43</v>
      </c>
      <c r="X389" s="861">
        <v>14000</v>
      </c>
      <c r="Y389" s="865" t="s">
        <v>179</v>
      </c>
      <c r="Z389" s="866" t="s">
        <v>43</v>
      </c>
      <c r="AA389" s="867">
        <v>350</v>
      </c>
      <c r="AB389" s="868" t="s">
        <v>179</v>
      </c>
      <c r="AC389" s="869" t="s">
        <v>1750</v>
      </c>
    </row>
    <row r="390" spans="1:29" ht="15.75">
      <c r="A390" s="856" t="s">
        <v>1019</v>
      </c>
      <c r="B390" s="792" t="s">
        <v>1020</v>
      </c>
      <c r="C390" s="857" t="s">
        <v>1750</v>
      </c>
      <c r="D390" s="858" t="s">
        <v>43</v>
      </c>
      <c r="E390" s="843" t="s">
        <v>1750</v>
      </c>
      <c r="F390" s="858" t="s">
        <v>43</v>
      </c>
      <c r="G390" s="804">
        <v>0.3</v>
      </c>
      <c r="H390" s="859" t="s">
        <v>280</v>
      </c>
      <c r="I390" s="843" t="s">
        <v>1750</v>
      </c>
      <c r="J390" s="858" t="s">
        <v>43</v>
      </c>
      <c r="K390" s="859" t="s">
        <v>1634</v>
      </c>
      <c r="L390" s="858" t="s">
        <v>43</v>
      </c>
      <c r="M390" s="859">
        <v>1</v>
      </c>
      <c r="N390" s="870" t="s">
        <v>1750</v>
      </c>
      <c r="O390" s="805">
        <v>10000</v>
      </c>
      <c r="P390" s="861">
        <v>23000</v>
      </c>
      <c r="Q390" s="862" t="s">
        <v>2282</v>
      </c>
      <c r="R390" s="861">
        <v>350000</v>
      </c>
      <c r="S390" s="862" t="s">
        <v>2280</v>
      </c>
      <c r="T390" s="863" t="s">
        <v>1750</v>
      </c>
      <c r="U390" s="864" t="s">
        <v>43</v>
      </c>
      <c r="V390" s="863" t="s">
        <v>1750</v>
      </c>
      <c r="W390" s="864" t="s">
        <v>43</v>
      </c>
      <c r="X390" s="861">
        <v>5900</v>
      </c>
      <c r="Y390" s="865" t="s">
        <v>179</v>
      </c>
      <c r="Z390" s="866" t="s">
        <v>43</v>
      </c>
      <c r="AA390" s="867">
        <v>1.2</v>
      </c>
      <c r="AB390" s="868" t="s">
        <v>179</v>
      </c>
      <c r="AC390" s="869" t="s">
        <v>1750</v>
      </c>
    </row>
    <row r="391" spans="1:29" ht="16.5" thickBot="1">
      <c r="A391" s="871" t="s">
        <v>1021</v>
      </c>
      <c r="B391" s="807" t="s">
        <v>1022</v>
      </c>
      <c r="C391" s="890">
        <v>9.5E-4</v>
      </c>
      <c r="D391" s="874" t="s">
        <v>280</v>
      </c>
      <c r="E391" s="847" t="s">
        <v>1750</v>
      </c>
      <c r="F391" s="873" t="s">
        <v>43</v>
      </c>
      <c r="G391" s="819">
        <v>0.2</v>
      </c>
      <c r="H391" s="874" t="s">
        <v>280</v>
      </c>
      <c r="I391" s="819">
        <v>2</v>
      </c>
      <c r="J391" s="874" t="s">
        <v>3</v>
      </c>
      <c r="K391" s="873" t="s">
        <v>43</v>
      </c>
      <c r="L391" s="873" t="s">
        <v>43</v>
      </c>
      <c r="M391" s="874">
        <v>1</v>
      </c>
      <c r="N391" s="874">
        <v>0.1</v>
      </c>
      <c r="O391" s="875" t="s">
        <v>1750</v>
      </c>
      <c r="P391" s="876">
        <v>570</v>
      </c>
      <c r="Q391" s="877" t="s">
        <v>2279</v>
      </c>
      <c r="R391" s="876">
        <v>2400</v>
      </c>
      <c r="S391" s="877" t="s">
        <v>2279</v>
      </c>
      <c r="T391" s="876">
        <v>2100</v>
      </c>
      <c r="U391" s="877" t="s">
        <v>179</v>
      </c>
      <c r="V391" s="876">
        <v>8800</v>
      </c>
      <c r="W391" s="877" t="s">
        <v>179</v>
      </c>
      <c r="X391" s="876">
        <v>78</v>
      </c>
      <c r="Y391" s="880" t="s">
        <v>2279</v>
      </c>
      <c r="Z391" s="881" t="s">
        <v>43</v>
      </c>
      <c r="AA391" s="882">
        <v>2.5999999999999999E-2</v>
      </c>
      <c r="AB391" s="883" t="s">
        <v>2279</v>
      </c>
      <c r="AC391" s="884" t="s">
        <v>1750</v>
      </c>
    </row>
    <row r="392" spans="1:29" ht="30.75">
      <c r="A392" s="856" t="s">
        <v>1023</v>
      </c>
      <c r="B392" s="792" t="s">
        <v>1024</v>
      </c>
      <c r="C392" s="857" t="s">
        <v>1750</v>
      </c>
      <c r="D392" s="858" t="s">
        <v>43</v>
      </c>
      <c r="E392" s="843" t="s">
        <v>1750</v>
      </c>
      <c r="F392" s="858" t="s">
        <v>43</v>
      </c>
      <c r="G392" s="804">
        <v>1.4999999999999999E-2</v>
      </c>
      <c r="H392" s="859" t="s">
        <v>280</v>
      </c>
      <c r="I392" s="843" t="s">
        <v>1750</v>
      </c>
      <c r="J392" s="858" t="s">
        <v>43</v>
      </c>
      <c r="K392" s="859" t="s">
        <v>1634</v>
      </c>
      <c r="L392" s="858" t="s">
        <v>43</v>
      </c>
      <c r="M392" s="859">
        <v>1</v>
      </c>
      <c r="N392" s="870" t="s">
        <v>1750</v>
      </c>
      <c r="O392" s="860" t="s">
        <v>1750</v>
      </c>
      <c r="P392" s="861">
        <v>1200</v>
      </c>
      <c r="Q392" s="862" t="s">
        <v>179</v>
      </c>
      <c r="R392" s="861">
        <v>18000</v>
      </c>
      <c r="S392" s="862" t="s">
        <v>179</v>
      </c>
      <c r="T392" s="863" t="s">
        <v>1750</v>
      </c>
      <c r="U392" s="864" t="s">
        <v>43</v>
      </c>
      <c r="V392" s="863" t="s">
        <v>1750</v>
      </c>
      <c r="W392" s="864" t="s">
        <v>43</v>
      </c>
      <c r="X392" s="861">
        <v>40</v>
      </c>
      <c r="Y392" s="865" t="s">
        <v>179</v>
      </c>
      <c r="Z392" s="866" t="s">
        <v>43</v>
      </c>
      <c r="AA392" s="867">
        <v>0.92</v>
      </c>
      <c r="AB392" s="868" t="s">
        <v>179</v>
      </c>
      <c r="AC392" s="869" t="s">
        <v>1750</v>
      </c>
    </row>
    <row r="393" spans="1:29" ht="15.75">
      <c r="A393" s="856" t="s">
        <v>1025</v>
      </c>
      <c r="B393" s="792" t="s">
        <v>1026</v>
      </c>
      <c r="C393" s="857" t="s">
        <v>1750</v>
      </c>
      <c r="D393" s="858" t="s">
        <v>43</v>
      </c>
      <c r="E393" s="843" t="s">
        <v>1750</v>
      </c>
      <c r="F393" s="858" t="s">
        <v>43</v>
      </c>
      <c r="G393" s="804">
        <v>2</v>
      </c>
      <c r="H393" s="859" t="s">
        <v>281</v>
      </c>
      <c r="I393" s="804">
        <v>0.2</v>
      </c>
      <c r="J393" s="859" t="s">
        <v>281</v>
      </c>
      <c r="K393" s="859" t="s">
        <v>1634</v>
      </c>
      <c r="L393" s="858" t="s">
        <v>43</v>
      </c>
      <c r="M393" s="859">
        <v>1</v>
      </c>
      <c r="N393" s="870" t="s">
        <v>1750</v>
      </c>
      <c r="O393" s="805">
        <v>109000</v>
      </c>
      <c r="P393" s="861">
        <v>5600</v>
      </c>
      <c r="Q393" s="862" t="s">
        <v>179</v>
      </c>
      <c r="R393" s="861">
        <v>24000</v>
      </c>
      <c r="S393" s="862" t="s">
        <v>179</v>
      </c>
      <c r="T393" s="861">
        <v>210</v>
      </c>
      <c r="U393" s="862" t="s">
        <v>179</v>
      </c>
      <c r="V393" s="861">
        <v>880</v>
      </c>
      <c r="W393" s="862" t="s">
        <v>179</v>
      </c>
      <c r="X393" s="861">
        <v>410</v>
      </c>
      <c r="Y393" s="865" t="s">
        <v>179</v>
      </c>
      <c r="Z393" s="866" t="s">
        <v>43</v>
      </c>
      <c r="AA393" s="867">
        <v>8.4000000000000005E-2</v>
      </c>
      <c r="AB393" s="868" t="s">
        <v>179</v>
      </c>
      <c r="AC393" s="869" t="s">
        <v>1750</v>
      </c>
    </row>
    <row r="394" spans="1:29" ht="31.5" thickBot="1">
      <c r="A394" s="871" t="s">
        <v>1027</v>
      </c>
      <c r="B394" s="807" t="s">
        <v>1028</v>
      </c>
      <c r="C394" s="872" t="s">
        <v>1750</v>
      </c>
      <c r="D394" s="873" t="s">
        <v>43</v>
      </c>
      <c r="E394" s="847" t="s">
        <v>1750</v>
      </c>
      <c r="F394" s="873" t="s">
        <v>43</v>
      </c>
      <c r="G394" s="819">
        <v>0.1</v>
      </c>
      <c r="H394" s="874" t="s">
        <v>280</v>
      </c>
      <c r="I394" s="847" t="s">
        <v>1750</v>
      </c>
      <c r="J394" s="873" t="s">
        <v>43</v>
      </c>
      <c r="K394" s="873" t="s">
        <v>43</v>
      </c>
      <c r="L394" s="873" t="s">
        <v>43</v>
      </c>
      <c r="M394" s="874">
        <v>1</v>
      </c>
      <c r="N394" s="874">
        <v>0.1</v>
      </c>
      <c r="O394" s="875" t="s">
        <v>1750</v>
      </c>
      <c r="P394" s="876">
        <v>6300</v>
      </c>
      <c r="Q394" s="877" t="s">
        <v>179</v>
      </c>
      <c r="R394" s="876">
        <v>82000</v>
      </c>
      <c r="S394" s="877" t="s">
        <v>179</v>
      </c>
      <c r="T394" s="878" t="s">
        <v>1750</v>
      </c>
      <c r="U394" s="879" t="s">
        <v>43</v>
      </c>
      <c r="V394" s="878" t="s">
        <v>1750</v>
      </c>
      <c r="W394" s="879" t="s">
        <v>43</v>
      </c>
      <c r="X394" s="876">
        <v>2000</v>
      </c>
      <c r="Y394" s="880" t="s">
        <v>179</v>
      </c>
      <c r="Z394" s="881" t="s">
        <v>43</v>
      </c>
      <c r="AA394" s="882">
        <v>0.43</v>
      </c>
      <c r="AB394" s="883" t="s">
        <v>179</v>
      </c>
      <c r="AC394" s="884" t="s">
        <v>1750</v>
      </c>
    </row>
    <row r="395" spans="1:29" ht="30.75">
      <c r="A395" s="856" t="s">
        <v>1029</v>
      </c>
      <c r="B395" s="792" t="s">
        <v>1030</v>
      </c>
      <c r="C395" s="857" t="s">
        <v>1750</v>
      </c>
      <c r="D395" s="858" t="s">
        <v>43</v>
      </c>
      <c r="E395" s="843" t="s">
        <v>1750</v>
      </c>
      <c r="F395" s="858" t="s">
        <v>43</v>
      </c>
      <c r="G395" s="804">
        <v>0.05</v>
      </c>
      <c r="H395" s="859" t="s">
        <v>280</v>
      </c>
      <c r="I395" s="843" t="s">
        <v>1750</v>
      </c>
      <c r="J395" s="858" t="s">
        <v>43</v>
      </c>
      <c r="K395" s="858" t="s">
        <v>43</v>
      </c>
      <c r="L395" s="858" t="s">
        <v>43</v>
      </c>
      <c r="M395" s="859">
        <v>1</v>
      </c>
      <c r="N395" s="859">
        <v>0.1</v>
      </c>
      <c r="O395" s="860" t="s">
        <v>1750</v>
      </c>
      <c r="P395" s="861">
        <v>3200</v>
      </c>
      <c r="Q395" s="862" t="s">
        <v>179</v>
      </c>
      <c r="R395" s="861">
        <v>41000</v>
      </c>
      <c r="S395" s="862" t="s">
        <v>179</v>
      </c>
      <c r="T395" s="863" t="s">
        <v>1750</v>
      </c>
      <c r="U395" s="864" t="s">
        <v>43</v>
      </c>
      <c r="V395" s="863" t="s">
        <v>1750</v>
      </c>
      <c r="W395" s="864" t="s">
        <v>43</v>
      </c>
      <c r="X395" s="861">
        <v>730</v>
      </c>
      <c r="Y395" s="865" t="s">
        <v>179</v>
      </c>
      <c r="Z395" s="866" t="s">
        <v>43</v>
      </c>
      <c r="AA395" s="867">
        <v>2</v>
      </c>
      <c r="AB395" s="868" t="s">
        <v>179</v>
      </c>
      <c r="AC395" s="869" t="s">
        <v>1750</v>
      </c>
    </row>
    <row r="396" spans="1:29" ht="30.75">
      <c r="A396" s="856" t="s">
        <v>1031</v>
      </c>
      <c r="B396" s="792" t="s">
        <v>2413</v>
      </c>
      <c r="C396" s="857" t="s">
        <v>1750</v>
      </c>
      <c r="D396" s="858" t="s">
        <v>43</v>
      </c>
      <c r="E396" s="843" t="s">
        <v>1750</v>
      </c>
      <c r="F396" s="858" t="s">
        <v>43</v>
      </c>
      <c r="G396" s="843" t="s">
        <v>1750</v>
      </c>
      <c r="H396" s="858" t="s">
        <v>43</v>
      </c>
      <c r="I396" s="804">
        <v>0.3</v>
      </c>
      <c r="J396" s="859" t="s">
        <v>18</v>
      </c>
      <c r="K396" s="859" t="s">
        <v>1634</v>
      </c>
      <c r="L396" s="858" t="s">
        <v>43</v>
      </c>
      <c r="M396" s="859">
        <v>1</v>
      </c>
      <c r="N396" s="870" t="s">
        <v>1750</v>
      </c>
      <c r="O396" s="860" t="s">
        <v>1750</v>
      </c>
      <c r="P396" s="861">
        <v>430000000</v>
      </c>
      <c r="Q396" s="862" t="s">
        <v>2281</v>
      </c>
      <c r="R396" s="861">
        <v>1800000000</v>
      </c>
      <c r="S396" s="862" t="s">
        <v>2281</v>
      </c>
      <c r="T396" s="861">
        <v>310</v>
      </c>
      <c r="U396" s="862" t="s">
        <v>179</v>
      </c>
      <c r="V396" s="861">
        <v>1300</v>
      </c>
      <c r="W396" s="862" t="s">
        <v>179</v>
      </c>
      <c r="X396" s="861">
        <v>630</v>
      </c>
      <c r="Y396" s="865" t="s">
        <v>179</v>
      </c>
      <c r="Z396" s="866" t="s">
        <v>43</v>
      </c>
      <c r="AA396" s="886" t="s">
        <v>1750</v>
      </c>
      <c r="AB396" s="868" t="s">
        <v>179</v>
      </c>
      <c r="AC396" s="869" t="s">
        <v>1750</v>
      </c>
    </row>
    <row r="397" spans="1:29" ht="31.5" thickBot="1">
      <c r="A397" s="871" t="s">
        <v>1033</v>
      </c>
      <c r="B397" s="807" t="s">
        <v>1034</v>
      </c>
      <c r="C397" s="872" t="s">
        <v>1750</v>
      </c>
      <c r="D397" s="873" t="s">
        <v>43</v>
      </c>
      <c r="E397" s="847" t="s">
        <v>1750</v>
      </c>
      <c r="F397" s="873" t="s">
        <v>43</v>
      </c>
      <c r="G397" s="819">
        <v>8.0000000000000002E-3</v>
      </c>
      <c r="H397" s="874" t="s">
        <v>2463</v>
      </c>
      <c r="I397" s="847" t="s">
        <v>1750</v>
      </c>
      <c r="J397" s="873" t="s">
        <v>43</v>
      </c>
      <c r="K397" s="873" t="s">
        <v>43</v>
      </c>
      <c r="L397" s="873" t="s">
        <v>43</v>
      </c>
      <c r="M397" s="874">
        <v>1</v>
      </c>
      <c r="N397" s="874">
        <v>0.1</v>
      </c>
      <c r="O397" s="875" t="s">
        <v>1750</v>
      </c>
      <c r="P397" s="876">
        <v>510</v>
      </c>
      <c r="Q397" s="877" t="s">
        <v>179</v>
      </c>
      <c r="R397" s="876">
        <v>6600</v>
      </c>
      <c r="S397" s="877" t="s">
        <v>179</v>
      </c>
      <c r="T397" s="878" t="s">
        <v>1750</v>
      </c>
      <c r="U397" s="879" t="s">
        <v>43</v>
      </c>
      <c r="V397" s="878" t="s">
        <v>1750</v>
      </c>
      <c r="W397" s="879" t="s">
        <v>43</v>
      </c>
      <c r="X397" s="876">
        <v>100</v>
      </c>
      <c r="Y397" s="880" t="s">
        <v>179</v>
      </c>
      <c r="Z397" s="881" t="s">
        <v>43</v>
      </c>
      <c r="AA397" s="882">
        <v>4.5999999999999996</v>
      </c>
      <c r="AB397" s="883" t="s">
        <v>179</v>
      </c>
      <c r="AC397" s="884" t="s">
        <v>1750</v>
      </c>
    </row>
    <row r="398" spans="1:29" ht="15.75">
      <c r="A398" s="856" t="s">
        <v>1035</v>
      </c>
      <c r="B398" s="792" t="s">
        <v>43</v>
      </c>
      <c r="C398" s="857" t="s">
        <v>1750</v>
      </c>
      <c r="D398" s="858" t="s">
        <v>43</v>
      </c>
      <c r="E398" s="843" t="s">
        <v>1750</v>
      </c>
      <c r="F398" s="858" t="s">
        <v>43</v>
      </c>
      <c r="G398" s="843" t="s">
        <v>1750</v>
      </c>
      <c r="H398" s="858" t="s">
        <v>43</v>
      </c>
      <c r="I398" s="843" t="s">
        <v>1750</v>
      </c>
      <c r="J398" s="858" t="s">
        <v>43</v>
      </c>
      <c r="K398" s="858" t="s">
        <v>43</v>
      </c>
      <c r="L398" s="858" t="s">
        <v>43</v>
      </c>
      <c r="M398" s="870" t="s">
        <v>1750</v>
      </c>
      <c r="N398" s="870" t="s">
        <v>1750</v>
      </c>
      <c r="O398" s="860" t="s">
        <v>1750</v>
      </c>
      <c r="P398" s="863" t="s">
        <v>1750</v>
      </c>
      <c r="Q398" s="864" t="s">
        <v>43</v>
      </c>
      <c r="R398" s="863" t="s">
        <v>1750</v>
      </c>
      <c r="S398" s="864" t="s">
        <v>43</v>
      </c>
      <c r="T398" s="863" t="s">
        <v>1750</v>
      </c>
      <c r="U398" s="864" t="s">
        <v>43</v>
      </c>
      <c r="V398" s="863" t="s">
        <v>1750</v>
      </c>
      <c r="W398" s="864" t="s">
        <v>43</v>
      </c>
      <c r="X398" s="863" t="s">
        <v>1750</v>
      </c>
      <c r="Y398" s="885" t="s">
        <v>43</v>
      </c>
      <c r="Z398" s="866" t="s">
        <v>43</v>
      </c>
      <c r="AA398" s="886" t="s">
        <v>1750</v>
      </c>
      <c r="AB398" s="887" t="s">
        <v>43</v>
      </c>
      <c r="AC398" s="869" t="s">
        <v>1750</v>
      </c>
    </row>
    <row r="399" spans="1:29" ht="15.75">
      <c r="A399" s="856" t="s">
        <v>2228</v>
      </c>
      <c r="B399" s="792" t="s">
        <v>2229</v>
      </c>
      <c r="C399" s="889">
        <v>0.5</v>
      </c>
      <c r="D399" s="859" t="s">
        <v>3</v>
      </c>
      <c r="E399" s="804">
        <v>0.15</v>
      </c>
      <c r="F399" s="859" t="s">
        <v>3</v>
      </c>
      <c r="G399" s="804">
        <v>0.02</v>
      </c>
      <c r="H399" s="859" t="s">
        <v>3</v>
      </c>
      <c r="I399" s="804">
        <v>2.0000000000000001E-4</v>
      </c>
      <c r="J399" s="859" t="s">
        <v>3</v>
      </c>
      <c r="K399" s="858" t="s">
        <v>43</v>
      </c>
      <c r="L399" s="859" t="s">
        <v>247</v>
      </c>
      <c r="M399" s="859">
        <v>2.5000000000000001E-2</v>
      </c>
      <c r="N399" s="870" t="s">
        <v>1750</v>
      </c>
      <c r="O399" s="860" t="s">
        <v>1750</v>
      </c>
      <c r="P399" s="861">
        <v>0.3</v>
      </c>
      <c r="Q399" s="862" t="s">
        <v>2283</v>
      </c>
      <c r="R399" s="861">
        <v>6.2</v>
      </c>
      <c r="S399" s="862" t="s">
        <v>2283</v>
      </c>
      <c r="T399" s="861">
        <v>6.8000000000000001E-6</v>
      </c>
      <c r="U399" s="862" t="s">
        <v>2283</v>
      </c>
      <c r="V399" s="861">
        <v>8.2000000000000001E-5</v>
      </c>
      <c r="W399" s="862" t="s">
        <v>2283</v>
      </c>
      <c r="X399" s="861">
        <v>4.1000000000000002E-2</v>
      </c>
      <c r="Y399" s="865" t="s">
        <v>2283</v>
      </c>
      <c r="Z399" s="866" t="s">
        <v>43</v>
      </c>
      <c r="AA399" s="886" t="s">
        <v>1750</v>
      </c>
      <c r="AB399" s="868" t="s">
        <v>2283</v>
      </c>
      <c r="AC399" s="869" t="s">
        <v>1750</v>
      </c>
    </row>
    <row r="400" spans="1:29" ht="16.5" thickBot="1">
      <c r="A400" s="871" t="s">
        <v>2230</v>
      </c>
      <c r="B400" s="807" t="s">
        <v>2231</v>
      </c>
      <c r="C400" s="890">
        <v>8.5000000000000006E-3</v>
      </c>
      <c r="D400" s="874" t="s">
        <v>3</v>
      </c>
      <c r="E400" s="819">
        <v>1.2E-5</v>
      </c>
      <c r="F400" s="874" t="s">
        <v>3</v>
      </c>
      <c r="G400" s="847" t="s">
        <v>1750</v>
      </c>
      <c r="H400" s="873" t="s">
        <v>43</v>
      </c>
      <c r="I400" s="847" t="s">
        <v>1750</v>
      </c>
      <c r="J400" s="873" t="s">
        <v>43</v>
      </c>
      <c r="K400" s="873" t="s">
        <v>43</v>
      </c>
      <c r="L400" s="873" t="s">
        <v>43</v>
      </c>
      <c r="M400" s="874">
        <v>1</v>
      </c>
      <c r="N400" s="888" t="s">
        <v>1750</v>
      </c>
      <c r="O400" s="875" t="s">
        <v>1750</v>
      </c>
      <c r="P400" s="876">
        <v>82</v>
      </c>
      <c r="Q400" s="877" t="s">
        <v>2283</v>
      </c>
      <c r="R400" s="876">
        <v>380</v>
      </c>
      <c r="S400" s="877" t="s">
        <v>2283</v>
      </c>
      <c r="T400" s="876">
        <v>0.23</v>
      </c>
      <c r="U400" s="877" t="s">
        <v>2283</v>
      </c>
      <c r="V400" s="876">
        <v>1</v>
      </c>
      <c r="W400" s="877" t="s">
        <v>2283</v>
      </c>
      <c r="X400" s="876">
        <v>9.1</v>
      </c>
      <c r="Y400" s="880" t="s">
        <v>2283</v>
      </c>
      <c r="Z400" s="881" t="s">
        <v>43</v>
      </c>
      <c r="AA400" s="895" t="s">
        <v>1750</v>
      </c>
      <c r="AB400" s="883" t="s">
        <v>2283</v>
      </c>
      <c r="AC400" s="884" t="s">
        <v>1750</v>
      </c>
    </row>
    <row r="401" spans="1:29" ht="15.75">
      <c r="A401" s="856" t="s">
        <v>1036</v>
      </c>
      <c r="B401" s="792" t="s">
        <v>1037</v>
      </c>
      <c r="C401" s="889">
        <v>8.5000000000000006E-3</v>
      </c>
      <c r="D401" s="859" t="s">
        <v>3</v>
      </c>
      <c r="E401" s="804">
        <v>1.2E-5</v>
      </c>
      <c r="F401" s="859" t="s">
        <v>3</v>
      </c>
      <c r="G401" s="843" t="s">
        <v>1750</v>
      </c>
      <c r="H401" s="858" t="s">
        <v>43</v>
      </c>
      <c r="I401" s="843" t="s">
        <v>1750</v>
      </c>
      <c r="J401" s="858" t="s">
        <v>43</v>
      </c>
      <c r="K401" s="858" t="s">
        <v>43</v>
      </c>
      <c r="L401" s="858" t="s">
        <v>43</v>
      </c>
      <c r="M401" s="859">
        <v>1</v>
      </c>
      <c r="N401" s="859">
        <v>0.1</v>
      </c>
      <c r="O401" s="860" t="s">
        <v>1750</v>
      </c>
      <c r="P401" s="861">
        <v>64</v>
      </c>
      <c r="Q401" s="862" t="s">
        <v>2283</v>
      </c>
      <c r="R401" s="861">
        <v>270</v>
      </c>
      <c r="S401" s="862" t="s">
        <v>2283</v>
      </c>
      <c r="T401" s="861">
        <v>0.23</v>
      </c>
      <c r="U401" s="862" t="s">
        <v>2283</v>
      </c>
      <c r="V401" s="861">
        <v>1</v>
      </c>
      <c r="W401" s="862" t="s">
        <v>2283</v>
      </c>
      <c r="X401" s="861">
        <v>9.1999999999999993</v>
      </c>
      <c r="Y401" s="865" t="s">
        <v>2283</v>
      </c>
      <c r="Z401" s="866" t="s">
        <v>43</v>
      </c>
      <c r="AA401" s="867">
        <v>1.8E-3</v>
      </c>
      <c r="AB401" s="868" t="s">
        <v>2283</v>
      </c>
      <c r="AC401" s="869" t="s">
        <v>1750</v>
      </c>
    </row>
    <row r="402" spans="1:29" ht="30.75">
      <c r="A402" s="856" t="s">
        <v>1038</v>
      </c>
      <c r="B402" s="792" t="s">
        <v>1039</v>
      </c>
      <c r="C402" s="857" t="s">
        <v>1750</v>
      </c>
      <c r="D402" s="858" t="s">
        <v>43</v>
      </c>
      <c r="E402" s="843" t="s">
        <v>1750</v>
      </c>
      <c r="F402" s="858" t="s">
        <v>43</v>
      </c>
      <c r="G402" s="843" t="s">
        <v>1750</v>
      </c>
      <c r="H402" s="858" t="s">
        <v>43</v>
      </c>
      <c r="I402" s="843" t="s">
        <v>1750</v>
      </c>
      <c r="J402" s="858" t="s">
        <v>43</v>
      </c>
      <c r="K402" s="858" t="s">
        <v>43</v>
      </c>
      <c r="L402" s="858" t="s">
        <v>43</v>
      </c>
      <c r="M402" s="859">
        <v>1</v>
      </c>
      <c r="N402" s="870" t="s">
        <v>1750</v>
      </c>
      <c r="O402" s="860" t="s">
        <v>1750</v>
      </c>
      <c r="P402" s="861">
        <v>400</v>
      </c>
      <c r="Q402" s="864" t="s">
        <v>43</v>
      </c>
      <c r="R402" s="861">
        <v>800</v>
      </c>
      <c r="S402" s="862" t="s">
        <v>25</v>
      </c>
      <c r="T402" s="861">
        <v>0.15</v>
      </c>
      <c r="U402" s="862" t="s">
        <v>25</v>
      </c>
      <c r="V402" s="863" t="s">
        <v>1750</v>
      </c>
      <c r="W402" s="864" t="s">
        <v>43</v>
      </c>
      <c r="X402" s="861">
        <v>15</v>
      </c>
      <c r="Y402" s="865" t="s">
        <v>25</v>
      </c>
      <c r="Z402" s="891">
        <v>15</v>
      </c>
      <c r="AA402" s="886" t="s">
        <v>1750</v>
      </c>
      <c r="AB402" s="868" t="s">
        <v>25</v>
      </c>
      <c r="AC402" s="892">
        <v>14</v>
      </c>
    </row>
    <row r="403" spans="1:29" ht="16.5" thickBot="1">
      <c r="A403" s="871" t="s">
        <v>1040</v>
      </c>
      <c r="B403" s="807" t="s">
        <v>1041</v>
      </c>
      <c r="C403" s="890">
        <v>8.5000000000000006E-3</v>
      </c>
      <c r="D403" s="874" t="s">
        <v>3</v>
      </c>
      <c r="E403" s="819">
        <v>1.2E-5</v>
      </c>
      <c r="F403" s="874" t="s">
        <v>3</v>
      </c>
      <c r="G403" s="847" t="s">
        <v>1750</v>
      </c>
      <c r="H403" s="873" t="s">
        <v>43</v>
      </c>
      <c r="I403" s="847" t="s">
        <v>1750</v>
      </c>
      <c r="J403" s="873" t="s">
        <v>43</v>
      </c>
      <c r="K403" s="873" t="s">
        <v>43</v>
      </c>
      <c r="L403" s="873" t="s">
        <v>43</v>
      </c>
      <c r="M403" s="874">
        <v>1</v>
      </c>
      <c r="N403" s="874">
        <v>0.1</v>
      </c>
      <c r="O403" s="875" t="s">
        <v>1750</v>
      </c>
      <c r="P403" s="876">
        <v>64</v>
      </c>
      <c r="Q403" s="877" t="s">
        <v>2283</v>
      </c>
      <c r="R403" s="876">
        <v>270</v>
      </c>
      <c r="S403" s="877" t="s">
        <v>2283</v>
      </c>
      <c r="T403" s="876">
        <v>0.23</v>
      </c>
      <c r="U403" s="877" t="s">
        <v>2283</v>
      </c>
      <c r="V403" s="876">
        <v>1</v>
      </c>
      <c r="W403" s="877" t="s">
        <v>2283</v>
      </c>
      <c r="X403" s="876">
        <v>9.1999999999999993</v>
      </c>
      <c r="Y403" s="880" t="s">
        <v>2283</v>
      </c>
      <c r="Z403" s="881" t="s">
        <v>43</v>
      </c>
      <c r="AA403" s="882">
        <v>2E-3</v>
      </c>
      <c r="AB403" s="883" t="s">
        <v>2283</v>
      </c>
      <c r="AC403" s="884" t="s">
        <v>1750</v>
      </c>
    </row>
    <row r="404" spans="1:29" ht="15.75">
      <c r="A404" s="856" t="s">
        <v>1042</v>
      </c>
      <c r="B404" s="792" t="s">
        <v>1043</v>
      </c>
      <c r="C404" s="857" t="s">
        <v>1750</v>
      </c>
      <c r="D404" s="858" t="s">
        <v>43</v>
      </c>
      <c r="E404" s="843" t="s">
        <v>1750</v>
      </c>
      <c r="F404" s="858" t="s">
        <v>43</v>
      </c>
      <c r="G404" s="804">
        <v>9.9999999999999995E-8</v>
      </c>
      <c r="H404" s="859" t="s">
        <v>280</v>
      </c>
      <c r="I404" s="843" t="s">
        <v>1750</v>
      </c>
      <c r="J404" s="858" t="s">
        <v>43</v>
      </c>
      <c r="K404" s="859" t="s">
        <v>1634</v>
      </c>
      <c r="L404" s="858" t="s">
        <v>43</v>
      </c>
      <c r="M404" s="859">
        <v>1</v>
      </c>
      <c r="N404" s="870" t="s">
        <v>1750</v>
      </c>
      <c r="O404" s="805">
        <v>2.4300000000000002</v>
      </c>
      <c r="P404" s="861">
        <v>7.7999999999999996E-3</v>
      </c>
      <c r="Q404" s="862" t="s">
        <v>179</v>
      </c>
      <c r="R404" s="861">
        <v>0.12</v>
      </c>
      <c r="S404" s="862" t="s">
        <v>179</v>
      </c>
      <c r="T404" s="863" t="s">
        <v>1750</v>
      </c>
      <c r="U404" s="864" t="s">
        <v>43</v>
      </c>
      <c r="V404" s="863" t="s">
        <v>1750</v>
      </c>
      <c r="W404" s="864" t="s">
        <v>43</v>
      </c>
      <c r="X404" s="861">
        <v>1.2999999999999999E-3</v>
      </c>
      <c r="Y404" s="865" t="s">
        <v>179</v>
      </c>
      <c r="Z404" s="866" t="s">
        <v>43</v>
      </c>
      <c r="AA404" s="867">
        <v>4.6999999999999999E-6</v>
      </c>
      <c r="AB404" s="868" t="s">
        <v>179</v>
      </c>
      <c r="AC404" s="869" t="s">
        <v>1750</v>
      </c>
    </row>
    <row r="405" spans="1:29" ht="15.75">
      <c r="A405" s="856" t="s">
        <v>2194</v>
      </c>
      <c r="B405" s="792" t="s">
        <v>2199</v>
      </c>
      <c r="C405" s="857" t="s">
        <v>1750</v>
      </c>
      <c r="D405" s="858" t="s">
        <v>43</v>
      </c>
      <c r="E405" s="843" t="s">
        <v>1750</v>
      </c>
      <c r="F405" s="858" t="s">
        <v>43</v>
      </c>
      <c r="G405" s="804">
        <v>5.0000000000000004E-6</v>
      </c>
      <c r="H405" s="859" t="s">
        <v>281</v>
      </c>
      <c r="I405" s="843" t="s">
        <v>1750</v>
      </c>
      <c r="J405" s="858" t="s">
        <v>43</v>
      </c>
      <c r="K405" s="859" t="s">
        <v>1634</v>
      </c>
      <c r="L405" s="858" t="s">
        <v>43</v>
      </c>
      <c r="M405" s="859">
        <v>1</v>
      </c>
      <c r="N405" s="870" t="s">
        <v>1750</v>
      </c>
      <c r="O405" s="805">
        <v>383</v>
      </c>
      <c r="P405" s="861">
        <v>0.39</v>
      </c>
      <c r="Q405" s="862" t="s">
        <v>179</v>
      </c>
      <c r="R405" s="861">
        <v>5.8</v>
      </c>
      <c r="S405" s="862" t="s">
        <v>179</v>
      </c>
      <c r="T405" s="863" t="s">
        <v>1750</v>
      </c>
      <c r="U405" s="864" t="s">
        <v>43</v>
      </c>
      <c r="V405" s="863" t="s">
        <v>1750</v>
      </c>
      <c r="W405" s="864" t="s">
        <v>43</v>
      </c>
      <c r="X405" s="861">
        <v>0.09</v>
      </c>
      <c r="Y405" s="865" t="s">
        <v>179</v>
      </c>
      <c r="Z405" s="866" t="s">
        <v>43</v>
      </c>
      <c r="AA405" s="867">
        <v>3.8000000000000002E-5</v>
      </c>
      <c r="AB405" s="868" t="s">
        <v>179</v>
      </c>
      <c r="AC405" s="869" t="s">
        <v>1750</v>
      </c>
    </row>
    <row r="406" spans="1:29" ht="16.5" thickBot="1">
      <c r="A406" s="871" t="s">
        <v>1044</v>
      </c>
      <c r="B406" s="807" t="s">
        <v>1045</v>
      </c>
      <c r="C406" s="872" t="s">
        <v>1750</v>
      </c>
      <c r="D406" s="873" t="s">
        <v>43</v>
      </c>
      <c r="E406" s="847" t="s">
        <v>1750</v>
      </c>
      <c r="F406" s="873" t="s">
        <v>43</v>
      </c>
      <c r="G406" s="819">
        <v>7.7000000000000002E-3</v>
      </c>
      <c r="H406" s="874" t="s">
        <v>2463</v>
      </c>
      <c r="I406" s="847" t="s">
        <v>1750</v>
      </c>
      <c r="J406" s="873" t="s">
        <v>43</v>
      </c>
      <c r="K406" s="873" t="s">
        <v>43</v>
      </c>
      <c r="L406" s="873" t="s">
        <v>43</v>
      </c>
      <c r="M406" s="874">
        <v>1</v>
      </c>
      <c r="N406" s="874">
        <v>0.1</v>
      </c>
      <c r="O406" s="875" t="s">
        <v>1750</v>
      </c>
      <c r="P406" s="876">
        <v>490</v>
      </c>
      <c r="Q406" s="877" t="s">
        <v>179</v>
      </c>
      <c r="R406" s="876">
        <v>6300</v>
      </c>
      <c r="S406" s="877" t="s">
        <v>179</v>
      </c>
      <c r="T406" s="878" t="s">
        <v>1750</v>
      </c>
      <c r="U406" s="879" t="s">
        <v>43</v>
      </c>
      <c r="V406" s="878" t="s">
        <v>1750</v>
      </c>
      <c r="W406" s="879" t="s">
        <v>43</v>
      </c>
      <c r="X406" s="876">
        <v>130</v>
      </c>
      <c r="Y406" s="880" t="s">
        <v>179</v>
      </c>
      <c r="Z406" s="881" t="s">
        <v>43</v>
      </c>
      <c r="AA406" s="882">
        <v>0.11</v>
      </c>
      <c r="AB406" s="883" t="s">
        <v>179</v>
      </c>
      <c r="AC406" s="884" t="s">
        <v>1750</v>
      </c>
    </row>
    <row r="407" spans="1:29" ht="15.75">
      <c r="A407" s="856" t="s">
        <v>1046</v>
      </c>
      <c r="B407" s="792" t="s">
        <v>1047</v>
      </c>
      <c r="C407" s="857" t="s">
        <v>1750</v>
      </c>
      <c r="D407" s="858" t="s">
        <v>43</v>
      </c>
      <c r="E407" s="843" t="s">
        <v>1750</v>
      </c>
      <c r="F407" s="858" t="s">
        <v>43</v>
      </c>
      <c r="G407" s="804">
        <v>2E-3</v>
      </c>
      <c r="H407" s="859" t="s">
        <v>281</v>
      </c>
      <c r="I407" s="843" t="s">
        <v>1750</v>
      </c>
      <c r="J407" s="858" t="s">
        <v>43</v>
      </c>
      <c r="K407" s="858" t="s">
        <v>43</v>
      </c>
      <c r="L407" s="858" t="s">
        <v>43</v>
      </c>
      <c r="M407" s="859">
        <v>1</v>
      </c>
      <c r="N407" s="870" t="s">
        <v>1750</v>
      </c>
      <c r="O407" s="860" t="s">
        <v>1750</v>
      </c>
      <c r="P407" s="861">
        <v>160</v>
      </c>
      <c r="Q407" s="862" t="s">
        <v>179</v>
      </c>
      <c r="R407" s="861">
        <v>2300</v>
      </c>
      <c r="S407" s="862" t="s">
        <v>179</v>
      </c>
      <c r="T407" s="863" t="s">
        <v>1750</v>
      </c>
      <c r="U407" s="864" t="s">
        <v>43</v>
      </c>
      <c r="V407" s="863" t="s">
        <v>1750</v>
      </c>
      <c r="W407" s="864" t="s">
        <v>43</v>
      </c>
      <c r="X407" s="861">
        <v>40</v>
      </c>
      <c r="Y407" s="865" t="s">
        <v>179</v>
      </c>
      <c r="Z407" s="866" t="s">
        <v>43</v>
      </c>
      <c r="AA407" s="867">
        <v>12</v>
      </c>
      <c r="AB407" s="868" t="s">
        <v>179</v>
      </c>
      <c r="AC407" s="869" t="s">
        <v>1750</v>
      </c>
    </row>
    <row r="408" spans="1:29" ht="15.75">
      <c r="A408" s="856" t="s">
        <v>1050</v>
      </c>
      <c r="B408" s="792" t="s">
        <v>1051</v>
      </c>
      <c r="C408" s="857" t="s">
        <v>1750</v>
      </c>
      <c r="D408" s="858" t="s">
        <v>43</v>
      </c>
      <c r="E408" s="843" t="s">
        <v>1750</v>
      </c>
      <c r="F408" s="858" t="s">
        <v>43</v>
      </c>
      <c r="G408" s="804">
        <v>5.0000000000000001E-4</v>
      </c>
      <c r="H408" s="859" t="s">
        <v>280</v>
      </c>
      <c r="I408" s="843" t="s">
        <v>1750</v>
      </c>
      <c r="J408" s="858" t="s">
        <v>43</v>
      </c>
      <c r="K408" s="858" t="s">
        <v>43</v>
      </c>
      <c r="L408" s="858" t="s">
        <v>43</v>
      </c>
      <c r="M408" s="859">
        <v>1</v>
      </c>
      <c r="N408" s="859">
        <v>0.1</v>
      </c>
      <c r="O408" s="860" t="s">
        <v>1750</v>
      </c>
      <c r="P408" s="861">
        <v>32</v>
      </c>
      <c r="Q408" s="862" t="s">
        <v>179</v>
      </c>
      <c r="R408" s="861">
        <v>410</v>
      </c>
      <c r="S408" s="862" t="s">
        <v>179</v>
      </c>
      <c r="T408" s="863" t="s">
        <v>1750</v>
      </c>
      <c r="U408" s="864" t="s">
        <v>43</v>
      </c>
      <c r="V408" s="863" t="s">
        <v>1750</v>
      </c>
      <c r="W408" s="864" t="s">
        <v>43</v>
      </c>
      <c r="X408" s="861">
        <v>7.5</v>
      </c>
      <c r="Y408" s="865" t="s">
        <v>179</v>
      </c>
      <c r="Z408" s="866" t="s">
        <v>43</v>
      </c>
      <c r="AA408" s="867">
        <v>2E-3</v>
      </c>
      <c r="AB408" s="868" t="s">
        <v>179</v>
      </c>
      <c r="AC408" s="869" t="s">
        <v>1750</v>
      </c>
    </row>
    <row r="409" spans="1:29" ht="16.5" thickBot="1">
      <c r="A409" s="871" t="s">
        <v>1052</v>
      </c>
      <c r="B409" s="807" t="s">
        <v>1053</v>
      </c>
      <c r="C409" s="872" t="s">
        <v>1750</v>
      </c>
      <c r="D409" s="873" t="s">
        <v>43</v>
      </c>
      <c r="E409" s="847" t="s">
        <v>1750</v>
      </c>
      <c r="F409" s="873" t="s">
        <v>43</v>
      </c>
      <c r="G409" s="819">
        <v>4.4000000000000003E-3</v>
      </c>
      <c r="H409" s="874" t="s">
        <v>2463</v>
      </c>
      <c r="I409" s="847" t="s">
        <v>1750</v>
      </c>
      <c r="J409" s="873" t="s">
        <v>43</v>
      </c>
      <c r="K409" s="873" t="s">
        <v>43</v>
      </c>
      <c r="L409" s="873" t="s">
        <v>43</v>
      </c>
      <c r="M409" s="874">
        <v>1</v>
      </c>
      <c r="N409" s="874">
        <v>0.1</v>
      </c>
      <c r="O409" s="875" t="s">
        <v>1750</v>
      </c>
      <c r="P409" s="876">
        <v>280</v>
      </c>
      <c r="Q409" s="877" t="s">
        <v>179</v>
      </c>
      <c r="R409" s="876">
        <v>3600</v>
      </c>
      <c r="S409" s="877" t="s">
        <v>179</v>
      </c>
      <c r="T409" s="878" t="s">
        <v>1750</v>
      </c>
      <c r="U409" s="879" t="s">
        <v>43</v>
      </c>
      <c r="V409" s="878" t="s">
        <v>1750</v>
      </c>
      <c r="W409" s="879" t="s">
        <v>43</v>
      </c>
      <c r="X409" s="876">
        <v>65</v>
      </c>
      <c r="Y409" s="880" t="s">
        <v>179</v>
      </c>
      <c r="Z409" s="881" t="s">
        <v>43</v>
      </c>
      <c r="AA409" s="882">
        <v>2.5999999999999999E-2</v>
      </c>
      <c r="AB409" s="883" t="s">
        <v>179</v>
      </c>
      <c r="AC409" s="884" t="s">
        <v>1750</v>
      </c>
    </row>
    <row r="410" spans="1:29" ht="15.75">
      <c r="A410" s="856" t="s">
        <v>1054</v>
      </c>
      <c r="B410" s="792" t="s">
        <v>1055</v>
      </c>
      <c r="C410" s="857" t="s">
        <v>1750</v>
      </c>
      <c r="D410" s="858" t="s">
        <v>43</v>
      </c>
      <c r="E410" s="843" t="s">
        <v>1750</v>
      </c>
      <c r="F410" s="858" t="s">
        <v>43</v>
      </c>
      <c r="G410" s="804">
        <v>1E-3</v>
      </c>
      <c r="H410" s="859" t="s">
        <v>280</v>
      </c>
      <c r="I410" s="843" t="s">
        <v>1750</v>
      </c>
      <c r="J410" s="858" t="s">
        <v>43</v>
      </c>
      <c r="K410" s="858" t="s">
        <v>43</v>
      </c>
      <c r="L410" s="858" t="s">
        <v>43</v>
      </c>
      <c r="M410" s="859">
        <v>1</v>
      </c>
      <c r="N410" s="859">
        <v>0.1</v>
      </c>
      <c r="O410" s="860" t="s">
        <v>1750</v>
      </c>
      <c r="P410" s="861">
        <v>63</v>
      </c>
      <c r="Q410" s="862" t="s">
        <v>179</v>
      </c>
      <c r="R410" s="861">
        <v>820</v>
      </c>
      <c r="S410" s="862" t="s">
        <v>179</v>
      </c>
      <c r="T410" s="863" t="s">
        <v>1750</v>
      </c>
      <c r="U410" s="864" t="s">
        <v>43</v>
      </c>
      <c r="V410" s="863" t="s">
        <v>1750</v>
      </c>
      <c r="W410" s="864" t="s">
        <v>43</v>
      </c>
      <c r="X410" s="861">
        <v>16</v>
      </c>
      <c r="Y410" s="865" t="s">
        <v>179</v>
      </c>
      <c r="Z410" s="866" t="s">
        <v>43</v>
      </c>
      <c r="AA410" s="867">
        <v>4.7000000000000002E-3</v>
      </c>
      <c r="AB410" s="868" t="s">
        <v>179</v>
      </c>
      <c r="AC410" s="869" t="s">
        <v>1750</v>
      </c>
    </row>
    <row r="411" spans="1:29" ht="15.75">
      <c r="A411" s="856" t="s">
        <v>1056</v>
      </c>
      <c r="B411" s="792" t="s">
        <v>1057</v>
      </c>
      <c r="C411" s="857" t="s">
        <v>1750</v>
      </c>
      <c r="D411" s="858" t="s">
        <v>43</v>
      </c>
      <c r="E411" s="843" t="s">
        <v>1750</v>
      </c>
      <c r="F411" s="858" t="s">
        <v>43</v>
      </c>
      <c r="G411" s="804">
        <v>0.02</v>
      </c>
      <c r="H411" s="859" t="s">
        <v>280</v>
      </c>
      <c r="I411" s="843" t="s">
        <v>1750</v>
      </c>
      <c r="J411" s="858" t="s">
        <v>43</v>
      </c>
      <c r="K411" s="858" t="s">
        <v>43</v>
      </c>
      <c r="L411" s="858" t="s">
        <v>43</v>
      </c>
      <c r="M411" s="859">
        <v>1</v>
      </c>
      <c r="N411" s="859">
        <v>0.1</v>
      </c>
      <c r="O411" s="860" t="s">
        <v>1750</v>
      </c>
      <c r="P411" s="861">
        <v>1300</v>
      </c>
      <c r="Q411" s="862" t="s">
        <v>179</v>
      </c>
      <c r="R411" s="861">
        <v>16000</v>
      </c>
      <c r="S411" s="862" t="s">
        <v>179</v>
      </c>
      <c r="T411" s="863" t="s">
        <v>1750</v>
      </c>
      <c r="U411" s="864" t="s">
        <v>43</v>
      </c>
      <c r="V411" s="863" t="s">
        <v>1750</v>
      </c>
      <c r="W411" s="864" t="s">
        <v>43</v>
      </c>
      <c r="X411" s="861">
        <v>390</v>
      </c>
      <c r="Y411" s="865" t="s">
        <v>179</v>
      </c>
      <c r="Z411" s="866" t="s">
        <v>43</v>
      </c>
      <c r="AA411" s="867">
        <v>0.1</v>
      </c>
      <c r="AB411" s="868" t="s">
        <v>179</v>
      </c>
      <c r="AC411" s="869" t="s">
        <v>1750</v>
      </c>
    </row>
    <row r="412" spans="1:29" ht="16.5" thickBot="1">
      <c r="A412" s="871" t="s">
        <v>1058</v>
      </c>
      <c r="B412" s="807" t="s">
        <v>1059</v>
      </c>
      <c r="C412" s="872" t="s">
        <v>1750</v>
      </c>
      <c r="D412" s="873" t="s">
        <v>43</v>
      </c>
      <c r="E412" s="847" t="s">
        <v>1750</v>
      </c>
      <c r="F412" s="873" t="s">
        <v>43</v>
      </c>
      <c r="G412" s="819">
        <v>0.1</v>
      </c>
      <c r="H412" s="874" t="s">
        <v>280</v>
      </c>
      <c r="I412" s="819">
        <v>6.9999999999999999E-4</v>
      </c>
      <c r="J412" s="874" t="s">
        <v>3</v>
      </c>
      <c r="K412" s="873" t="s">
        <v>43</v>
      </c>
      <c r="L412" s="873" t="s">
        <v>43</v>
      </c>
      <c r="M412" s="874">
        <v>1</v>
      </c>
      <c r="N412" s="874">
        <v>0.1</v>
      </c>
      <c r="O412" s="875" t="s">
        <v>1750</v>
      </c>
      <c r="P412" s="876">
        <v>6300</v>
      </c>
      <c r="Q412" s="877" t="s">
        <v>179</v>
      </c>
      <c r="R412" s="876">
        <v>80000</v>
      </c>
      <c r="S412" s="877" t="s">
        <v>179</v>
      </c>
      <c r="T412" s="876">
        <v>0.73</v>
      </c>
      <c r="U412" s="877" t="s">
        <v>179</v>
      </c>
      <c r="V412" s="876">
        <v>3.1</v>
      </c>
      <c r="W412" s="877" t="s">
        <v>179</v>
      </c>
      <c r="X412" s="876">
        <v>1900</v>
      </c>
      <c r="Y412" s="880" t="s">
        <v>179</v>
      </c>
      <c r="Z412" s="881" t="s">
        <v>43</v>
      </c>
      <c r="AA412" s="882">
        <v>0.38</v>
      </c>
      <c r="AB412" s="883" t="s">
        <v>179</v>
      </c>
      <c r="AC412" s="884" t="s">
        <v>1750</v>
      </c>
    </row>
    <row r="413" spans="1:29" ht="15.75">
      <c r="A413" s="856" t="s">
        <v>1060</v>
      </c>
      <c r="B413" s="792" t="s">
        <v>1061</v>
      </c>
      <c r="C413" s="857" t="s">
        <v>1750</v>
      </c>
      <c r="D413" s="858" t="s">
        <v>43</v>
      </c>
      <c r="E413" s="843" t="s">
        <v>1750</v>
      </c>
      <c r="F413" s="858" t="s">
        <v>43</v>
      </c>
      <c r="G413" s="804">
        <v>0.5</v>
      </c>
      <c r="H413" s="859" t="s">
        <v>280</v>
      </c>
      <c r="I413" s="843" t="s">
        <v>1750</v>
      </c>
      <c r="J413" s="858" t="s">
        <v>43</v>
      </c>
      <c r="K413" s="858" t="s">
        <v>43</v>
      </c>
      <c r="L413" s="858" t="s">
        <v>43</v>
      </c>
      <c r="M413" s="859">
        <v>1</v>
      </c>
      <c r="N413" s="859">
        <v>0.1</v>
      </c>
      <c r="O413" s="860" t="s">
        <v>1750</v>
      </c>
      <c r="P413" s="861">
        <v>32000</v>
      </c>
      <c r="Q413" s="862" t="s">
        <v>179</v>
      </c>
      <c r="R413" s="861">
        <v>410000</v>
      </c>
      <c r="S413" s="862" t="s">
        <v>2281</v>
      </c>
      <c r="T413" s="863" t="s">
        <v>1750</v>
      </c>
      <c r="U413" s="864" t="s">
        <v>43</v>
      </c>
      <c r="V413" s="863" t="s">
        <v>1750</v>
      </c>
      <c r="W413" s="864" t="s">
        <v>43</v>
      </c>
      <c r="X413" s="861">
        <v>10000</v>
      </c>
      <c r="Y413" s="865" t="s">
        <v>179</v>
      </c>
      <c r="Z413" s="866" t="s">
        <v>43</v>
      </c>
      <c r="AA413" s="867">
        <v>2.1</v>
      </c>
      <c r="AB413" s="868" t="s">
        <v>179</v>
      </c>
      <c r="AC413" s="869" t="s">
        <v>1750</v>
      </c>
    </row>
    <row r="414" spans="1:29" ht="15.75">
      <c r="A414" s="856" t="s">
        <v>1062</v>
      </c>
      <c r="B414" s="792" t="s">
        <v>1063</v>
      </c>
      <c r="C414" s="857" t="s">
        <v>1750</v>
      </c>
      <c r="D414" s="858" t="s">
        <v>43</v>
      </c>
      <c r="E414" s="843" t="s">
        <v>1750</v>
      </c>
      <c r="F414" s="858" t="s">
        <v>43</v>
      </c>
      <c r="G414" s="804">
        <v>1E-4</v>
      </c>
      <c r="H414" s="859" t="s">
        <v>281</v>
      </c>
      <c r="I414" s="843" t="s">
        <v>1750</v>
      </c>
      <c r="J414" s="858" t="s">
        <v>43</v>
      </c>
      <c r="K414" s="858" t="s">
        <v>43</v>
      </c>
      <c r="L414" s="858" t="s">
        <v>43</v>
      </c>
      <c r="M414" s="859">
        <v>1</v>
      </c>
      <c r="N414" s="859">
        <v>0.1</v>
      </c>
      <c r="O414" s="860" t="s">
        <v>1750</v>
      </c>
      <c r="P414" s="861">
        <v>6.3</v>
      </c>
      <c r="Q414" s="862" t="s">
        <v>179</v>
      </c>
      <c r="R414" s="861">
        <v>82</v>
      </c>
      <c r="S414" s="862" t="s">
        <v>179</v>
      </c>
      <c r="T414" s="863" t="s">
        <v>1750</v>
      </c>
      <c r="U414" s="864" t="s">
        <v>43</v>
      </c>
      <c r="V414" s="863" t="s">
        <v>1750</v>
      </c>
      <c r="W414" s="864" t="s">
        <v>43</v>
      </c>
      <c r="X414" s="861">
        <v>2</v>
      </c>
      <c r="Y414" s="865" t="s">
        <v>179</v>
      </c>
      <c r="Z414" s="866" t="s">
        <v>43</v>
      </c>
      <c r="AA414" s="867">
        <v>4.0999999999999999E-4</v>
      </c>
      <c r="AB414" s="868" t="s">
        <v>179</v>
      </c>
      <c r="AC414" s="869" t="s">
        <v>1750</v>
      </c>
    </row>
    <row r="415" spans="1:29" ht="16.5" thickBot="1">
      <c r="A415" s="871" t="s">
        <v>1064</v>
      </c>
      <c r="B415" s="807" t="s">
        <v>1065</v>
      </c>
      <c r="C415" s="872" t="s">
        <v>1750</v>
      </c>
      <c r="D415" s="873" t="s">
        <v>43</v>
      </c>
      <c r="E415" s="847" t="s">
        <v>1750</v>
      </c>
      <c r="F415" s="873" t="s">
        <v>43</v>
      </c>
      <c r="G415" s="819">
        <v>0.03</v>
      </c>
      <c r="H415" s="874" t="s">
        <v>13</v>
      </c>
      <c r="I415" s="847" t="s">
        <v>1750</v>
      </c>
      <c r="J415" s="873" t="s">
        <v>43</v>
      </c>
      <c r="K415" s="873" t="s">
        <v>43</v>
      </c>
      <c r="L415" s="873" t="s">
        <v>43</v>
      </c>
      <c r="M415" s="874">
        <v>1</v>
      </c>
      <c r="N415" s="874">
        <v>0.1</v>
      </c>
      <c r="O415" s="875" t="s">
        <v>1750</v>
      </c>
      <c r="P415" s="876">
        <v>1900</v>
      </c>
      <c r="Q415" s="877" t="s">
        <v>179</v>
      </c>
      <c r="R415" s="876">
        <v>25000</v>
      </c>
      <c r="S415" s="877" t="s">
        <v>179</v>
      </c>
      <c r="T415" s="878" t="s">
        <v>1750</v>
      </c>
      <c r="U415" s="879" t="s">
        <v>43</v>
      </c>
      <c r="V415" s="878" t="s">
        <v>1750</v>
      </c>
      <c r="W415" s="879" t="s">
        <v>43</v>
      </c>
      <c r="X415" s="876">
        <v>540</v>
      </c>
      <c r="Y415" s="880" t="s">
        <v>179</v>
      </c>
      <c r="Z415" s="881" t="s">
        <v>43</v>
      </c>
      <c r="AA415" s="882">
        <v>0.76</v>
      </c>
      <c r="AB415" s="883" t="s">
        <v>179</v>
      </c>
      <c r="AC415" s="884" t="s">
        <v>1750</v>
      </c>
    </row>
    <row r="416" spans="1:29" ht="30.75">
      <c r="A416" s="856" t="s">
        <v>1066</v>
      </c>
      <c r="B416" s="792" t="s">
        <v>1067</v>
      </c>
      <c r="C416" s="857" t="s">
        <v>1750</v>
      </c>
      <c r="D416" s="858" t="s">
        <v>43</v>
      </c>
      <c r="E416" s="843" t="s">
        <v>1750</v>
      </c>
      <c r="F416" s="858" t="s">
        <v>43</v>
      </c>
      <c r="G416" s="804">
        <v>5.0000000000000001E-3</v>
      </c>
      <c r="H416" s="859" t="s">
        <v>280</v>
      </c>
      <c r="I416" s="843" t="s">
        <v>1750</v>
      </c>
      <c r="J416" s="858" t="s">
        <v>43</v>
      </c>
      <c r="K416" s="858" t="s">
        <v>43</v>
      </c>
      <c r="L416" s="858" t="s">
        <v>43</v>
      </c>
      <c r="M416" s="859">
        <v>1</v>
      </c>
      <c r="N416" s="859">
        <v>0.1</v>
      </c>
      <c r="O416" s="860" t="s">
        <v>1750</v>
      </c>
      <c r="P416" s="861">
        <v>320</v>
      </c>
      <c r="Q416" s="862" t="s">
        <v>179</v>
      </c>
      <c r="R416" s="861">
        <v>4100</v>
      </c>
      <c r="S416" s="862" t="s">
        <v>179</v>
      </c>
      <c r="T416" s="863" t="s">
        <v>1750</v>
      </c>
      <c r="U416" s="864" t="s">
        <v>43</v>
      </c>
      <c r="V416" s="863" t="s">
        <v>1750</v>
      </c>
      <c r="W416" s="864" t="s">
        <v>43</v>
      </c>
      <c r="X416" s="861">
        <v>98</v>
      </c>
      <c r="Y416" s="865" t="s">
        <v>179</v>
      </c>
      <c r="Z416" s="866" t="s">
        <v>43</v>
      </c>
      <c r="AA416" s="867">
        <v>0.14000000000000001</v>
      </c>
      <c r="AB416" s="868" t="s">
        <v>179</v>
      </c>
      <c r="AC416" s="869" t="s">
        <v>1750</v>
      </c>
    </row>
    <row r="417" spans="1:29" ht="15.75">
      <c r="A417" s="856" t="s">
        <v>1068</v>
      </c>
      <c r="B417" s="792" t="s">
        <v>1069</v>
      </c>
      <c r="C417" s="857" t="s">
        <v>1750</v>
      </c>
      <c r="D417" s="858" t="s">
        <v>43</v>
      </c>
      <c r="E417" s="843" t="s">
        <v>1750</v>
      </c>
      <c r="F417" s="858" t="s">
        <v>43</v>
      </c>
      <c r="G417" s="804">
        <v>0.14000000000000001</v>
      </c>
      <c r="H417" s="859" t="s">
        <v>280</v>
      </c>
      <c r="I417" s="804">
        <v>5.0000000000000002E-5</v>
      </c>
      <c r="J417" s="859" t="s">
        <v>280</v>
      </c>
      <c r="K417" s="858" t="s">
        <v>43</v>
      </c>
      <c r="L417" s="858" t="s">
        <v>43</v>
      </c>
      <c r="M417" s="859">
        <v>1</v>
      </c>
      <c r="N417" s="870" t="s">
        <v>1750</v>
      </c>
      <c r="O417" s="860" t="s">
        <v>1750</v>
      </c>
      <c r="P417" s="863" t="s">
        <v>1750</v>
      </c>
      <c r="Q417" s="864" t="s">
        <v>43</v>
      </c>
      <c r="R417" s="863" t="s">
        <v>1750</v>
      </c>
      <c r="S417" s="864" t="s">
        <v>43</v>
      </c>
      <c r="T417" s="863" t="s">
        <v>1750</v>
      </c>
      <c r="U417" s="864" t="s">
        <v>43</v>
      </c>
      <c r="V417" s="863" t="s">
        <v>1750</v>
      </c>
      <c r="W417" s="864" t="s">
        <v>43</v>
      </c>
      <c r="X417" s="863" t="s">
        <v>1750</v>
      </c>
      <c r="Y417" s="885" t="s">
        <v>43</v>
      </c>
      <c r="Z417" s="866" t="s">
        <v>43</v>
      </c>
      <c r="AA417" s="886" t="s">
        <v>1750</v>
      </c>
      <c r="AB417" s="887" t="s">
        <v>43</v>
      </c>
      <c r="AC417" s="869" t="s">
        <v>1750</v>
      </c>
    </row>
    <row r="418" spans="1:29" ht="31.5" thickBot="1">
      <c r="A418" s="871" t="s">
        <v>1823</v>
      </c>
      <c r="B418" s="807" t="s">
        <v>1069</v>
      </c>
      <c r="C418" s="872" t="s">
        <v>1750</v>
      </c>
      <c r="D418" s="873" t="s">
        <v>43</v>
      </c>
      <c r="E418" s="847" t="s">
        <v>1750</v>
      </c>
      <c r="F418" s="873" t="s">
        <v>43</v>
      </c>
      <c r="G418" s="819">
        <v>2.4E-2</v>
      </c>
      <c r="H418" s="874" t="s">
        <v>14</v>
      </c>
      <c r="I418" s="819">
        <v>5.0000000000000002E-5</v>
      </c>
      <c r="J418" s="874" t="s">
        <v>280</v>
      </c>
      <c r="K418" s="873" t="s">
        <v>43</v>
      </c>
      <c r="L418" s="873" t="s">
        <v>43</v>
      </c>
      <c r="M418" s="874">
        <v>0.04</v>
      </c>
      <c r="N418" s="888" t="s">
        <v>1750</v>
      </c>
      <c r="O418" s="875" t="s">
        <v>1750</v>
      </c>
      <c r="P418" s="876">
        <v>1800</v>
      </c>
      <c r="Q418" s="877" t="s">
        <v>179</v>
      </c>
      <c r="R418" s="876">
        <v>26000</v>
      </c>
      <c r="S418" s="877" t="s">
        <v>179</v>
      </c>
      <c r="T418" s="876">
        <v>5.1999999999999998E-2</v>
      </c>
      <c r="U418" s="877" t="s">
        <v>179</v>
      </c>
      <c r="V418" s="876">
        <v>0.22</v>
      </c>
      <c r="W418" s="877" t="s">
        <v>179</v>
      </c>
      <c r="X418" s="876">
        <v>430</v>
      </c>
      <c r="Y418" s="880" t="s">
        <v>179</v>
      </c>
      <c r="Z418" s="881" t="s">
        <v>43</v>
      </c>
      <c r="AA418" s="882">
        <v>28</v>
      </c>
      <c r="AB418" s="883" t="s">
        <v>179</v>
      </c>
      <c r="AC418" s="884" t="s">
        <v>1750</v>
      </c>
    </row>
    <row r="419" spans="1:29" ht="15.75">
      <c r="A419" s="856" t="s">
        <v>1070</v>
      </c>
      <c r="B419" s="792" t="s">
        <v>1071</v>
      </c>
      <c r="C419" s="857" t="s">
        <v>1750</v>
      </c>
      <c r="D419" s="858" t="s">
        <v>43</v>
      </c>
      <c r="E419" s="843" t="s">
        <v>1750</v>
      </c>
      <c r="F419" s="858" t="s">
        <v>43</v>
      </c>
      <c r="G419" s="804">
        <v>9.0000000000000006E-5</v>
      </c>
      <c r="H419" s="859" t="s">
        <v>13</v>
      </c>
      <c r="I419" s="843" t="s">
        <v>1750</v>
      </c>
      <c r="J419" s="858" t="s">
        <v>43</v>
      </c>
      <c r="K419" s="858" t="s">
        <v>43</v>
      </c>
      <c r="L419" s="858" t="s">
        <v>43</v>
      </c>
      <c r="M419" s="859">
        <v>1</v>
      </c>
      <c r="N419" s="859">
        <v>0.1</v>
      </c>
      <c r="O419" s="860" t="s">
        <v>1750</v>
      </c>
      <c r="P419" s="861">
        <v>5.7</v>
      </c>
      <c r="Q419" s="862" t="s">
        <v>179</v>
      </c>
      <c r="R419" s="861">
        <v>74</v>
      </c>
      <c r="S419" s="862" t="s">
        <v>179</v>
      </c>
      <c r="T419" s="863" t="s">
        <v>1750</v>
      </c>
      <c r="U419" s="864" t="s">
        <v>43</v>
      </c>
      <c r="V419" s="863" t="s">
        <v>1750</v>
      </c>
      <c r="W419" s="864" t="s">
        <v>43</v>
      </c>
      <c r="X419" s="861">
        <v>1.8</v>
      </c>
      <c r="Y419" s="865" t="s">
        <v>179</v>
      </c>
      <c r="Z419" s="866" t="s">
        <v>43</v>
      </c>
      <c r="AA419" s="867">
        <v>2.5999999999999999E-3</v>
      </c>
      <c r="AB419" s="868" t="s">
        <v>179</v>
      </c>
      <c r="AC419" s="869" t="s">
        <v>1750</v>
      </c>
    </row>
    <row r="420" spans="1:29" ht="30.75">
      <c r="A420" s="856" t="s">
        <v>1072</v>
      </c>
      <c r="B420" s="792" t="s">
        <v>1073</v>
      </c>
      <c r="C420" s="857" t="s">
        <v>1750</v>
      </c>
      <c r="D420" s="858" t="s">
        <v>43</v>
      </c>
      <c r="E420" s="843" t="s">
        <v>1750</v>
      </c>
      <c r="F420" s="858" t="s">
        <v>43</v>
      </c>
      <c r="G420" s="804">
        <v>0.03</v>
      </c>
      <c r="H420" s="859" t="s">
        <v>280</v>
      </c>
      <c r="I420" s="843" t="s">
        <v>1750</v>
      </c>
      <c r="J420" s="858" t="s">
        <v>43</v>
      </c>
      <c r="K420" s="858" t="s">
        <v>43</v>
      </c>
      <c r="L420" s="858" t="s">
        <v>43</v>
      </c>
      <c r="M420" s="859">
        <v>1</v>
      </c>
      <c r="N420" s="859">
        <v>0.1</v>
      </c>
      <c r="O420" s="860" t="s">
        <v>1750</v>
      </c>
      <c r="P420" s="861">
        <v>1900</v>
      </c>
      <c r="Q420" s="862" t="s">
        <v>179</v>
      </c>
      <c r="R420" s="861">
        <v>25000</v>
      </c>
      <c r="S420" s="862" t="s">
        <v>179</v>
      </c>
      <c r="T420" s="863" t="s">
        <v>1750</v>
      </c>
      <c r="U420" s="864" t="s">
        <v>43</v>
      </c>
      <c r="V420" s="863" t="s">
        <v>1750</v>
      </c>
      <c r="W420" s="864" t="s">
        <v>43</v>
      </c>
      <c r="X420" s="861">
        <v>600</v>
      </c>
      <c r="Y420" s="865" t="s">
        <v>179</v>
      </c>
      <c r="Z420" s="866" t="s">
        <v>43</v>
      </c>
      <c r="AA420" s="867">
        <v>0.2</v>
      </c>
      <c r="AB420" s="868" t="s">
        <v>179</v>
      </c>
      <c r="AC420" s="869" t="s">
        <v>1750</v>
      </c>
    </row>
    <row r="421" spans="1:29" ht="31.5" thickBot="1">
      <c r="A421" s="871" t="s">
        <v>2415</v>
      </c>
      <c r="B421" s="807" t="s">
        <v>2416</v>
      </c>
      <c r="C421" s="890">
        <v>1.0999999999999999E-2</v>
      </c>
      <c r="D421" s="874" t="s">
        <v>281</v>
      </c>
      <c r="E421" s="847" t="s">
        <v>1750</v>
      </c>
      <c r="F421" s="873" t="s">
        <v>43</v>
      </c>
      <c r="G421" s="819">
        <v>4.0000000000000001E-3</v>
      </c>
      <c r="H421" s="874" t="s">
        <v>281</v>
      </c>
      <c r="I421" s="847" t="s">
        <v>1750</v>
      </c>
      <c r="J421" s="873" t="s">
        <v>43</v>
      </c>
      <c r="K421" s="873" t="s">
        <v>43</v>
      </c>
      <c r="L421" s="873" t="s">
        <v>43</v>
      </c>
      <c r="M421" s="874">
        <v>1</v>
      </c>
      <c r="N421" s="874">
        <v>0.1</v>
      </c>
      <c r="O421" s="875" t="s">
        <v>1750</v>
      </c>
      <c r="P421" s="876">
        <v>49</v>
      </c>
      <c r="Q421" s="877" t="s">
        <v>2278</v>
      </c>
      <c r="R421" s="876">
        <v>210</v>
      </c>
      <c r="S421" s="877" t="s">
        <v>2279</v>
      </c>
      <c r="T421" s="878" t="s">
        <v>1750</v>
      </c>
      <c r="U421" s="879" t="s">
        <v>43</v>
      </c>
      <c r="V421" s="878" t="s">
        <v>1750</v>
      </c>
      <c r="W421" s="879" t="s">
        <v>43</v>
      </c>
      <c r="X421" s="876">
        <v>6.3</v>
      </c>
      <c r="Y421" s="880" t="s">
        <v>2279</v>
      </c>
      <c r="Z421" s="881" t="s">
        <v>43</v>
      </c>
      <c r="AA421" s="882">
        <v>1.7999999999999999E-2</v>
      </c>
      <c r="AB421" s="883" t="s">
        <v>2279</v>
      </c>
      <c r="AC421" s="884" t="s">
        <v>1750</v>
      </c>
    </row>
    <row r="422" spans="1:29" ht="30.75">
      <c r="A422" s="856" t="s">
        <v>1074</v>
      </c>
      <c r="B422" s="792" t="s">
        <v>43</v>
      </c>
      <c r="C422" s="857" t="s">
        <v>1750</v>
      </c>
      <c r="D422" s="858" t="s">
        <v>43</v>
      </c>
      <c r="E422" s="843" t="s">
        <v>1750</v>
      </c>
      <c r="F422" s="858" t="s">
        <v>43</v>
      </c>
      <c r="G422" s="843" t="s">
        <v>1750</v>
      </c>
      <c r="H422" s="858" t="s">
        <v>43</v>
      </c>
      <c r="I422" s="843" t="s">
        <v>1750</v>
      </c>
      <c r="J422" s="858" t="s">
        <v>43</v>
      </c>
      <c r="K422" s="858" t="s">
        <v>43</v>
      </c>
      <c r="L422" s="858" t="s">
        <v>43</v>
      </c>
      <c r="M422" s="870" t="s">
        <v>1750</v>
      </c>
      <c r="N422" s="870" t="s">
        <v>1750</v>
      </c>
      <c r="O422" s="860" t="s">
        <v>1750</v>
      </c>
      <c r="P422" s="863" t="s">
        <v>1750</v>
      </c>
      <c r="Q422" s="864" t="s">
        <v>43</v>
      </c>
      <c r="R422" s="863" t="s">
        <v>1750</v>
      </c>
      <c r="S422" s="864" t="s">
        <v>43</v>
      </c>
      <c r="T422" s="863" t="s">
        <v>1750</v>
      </c>
      <c r="U422" s="864" t="s">
        <v>43</v>
      </c>
      <c r="V422" s="863" t="s">
        <v>1750</v>
      </c>
      <c r="W422" s="864" t="s">
        <v>43</v>
      </c>
      <c r="X422" s="863" t="s">
        <v>1750</v>
      </c>
      <c r="Y422" s="885" t="s">
        <v>43</v>
      </c>
      <c r="Z422" s="866" t="s">
        <v>43</v>
      </c>
      <c r="AA422" s="886" t="s">
        <v>1750</v>
      </c>
      <c r="AB422" s="887" t="s">
        <v>43</v>
      </c>
      <c r="AC422" s="869" t="s">
        <v>1750</v>
      </c>
    </row>
    <row r="423" spans="1:29" ht="60.75">
      <c r="A423" s="856" t="s">
        <v>1824</v>
      </c>
      <c r="B423" s="792" t="s">
        <v>1075</v>
      </c>
      <c r="C423" s="857" t="s">
        <v>1750</v>
      </c>
      <c r="D423" s="858" t="s">
        <v>43</v>
      </c>
      <c r="E423" s="843" t="s">
        <v>1750</v>
      </c>
      <c r="F423" s="858" t="s">
        <v>43</v>
      </c>
      <c r="G423" s="804">
        <v>2.9999999999999997E-4</v>
      </c>
      <c r="H423" s="859" t="s">
        <v>280</v>
      </c>
      <c r="I423" s="804">
        <v>2.9999999999999997E-4</v>
      </c>
      <c r="J423" s="859" t="s">
        <v>14</v>
      </c>
      <c r="K423" s="858" t="s">
        <v>43</v>
      </c>
      <c r="L423" s="858" t="s">
        <v>43</v>
      </c>
      <c r="M423" s="859">
        <v>7.0000000000000007E-2</v>
      </c>
      <c r="N423" s="870" t="s">
        <v>1750</v>
      </c>
      <c r="O423" s="860" t="s">
        <v>1750</v>
      </c>
      <c r="P423" s="861">
        <v>23</v>
      </c>
      <c r="Q423" s="862" t="s">
        <v>179</v>
      </c>
      <c r="R423" s="861">
        <v>350</v>
      </c>
      <c r="S423" s="862" t="s">
        <v>179</v>
      </c>
      <c r="T423" s="861">
        <v>0.31</v>
      </c>
      <c r="U423" s="862" t="s">
        <v>179</v>
      </c>
      <c r="V423" s="861">
        <v>1.3</v>
      </c>
      <c r="W423" s="862" t="s">
        <v>179</v>
      </c>
      <c r="X423" s="861">
        <v>5.7</v>
      </c>
      <c r="Y423" s="865" t="s">
        <v>179</v>
      </c>
      <c r="Z423" s="891">
        <v>2</v>
      </c>
      <c r="AA423" s="886" t="s">
        <v>1750</v>
      </c>
      <c r="AB423" s="868" t="s">
        <v>179</v>
      </c>
      <c r="AC423" s="869" t="s">
        <v>1750</v>
      </c>
    </row>
    <row r="424" spans="1:29" ht="31.5" thickBot="1">
      <c r="A424" s="871" t="s">
        <v>1076</v>
      </c>
      <c r="B424" s="807" t="s">
        <v>1077</v>
      </c>
      <c r="C424" s="872" t="s">
        <v>1750</v>
      </c>
      <c r="D424" s="873" t="s">
        <v>43</v>
      </c>
      <c r="E424" s="847" t="s">
        <v>1750</v>
      </c>
      <c r="F424" s="873" t="s">
        <v>43</v>
      </c>
      <c r="G424" s="847" t="s">
        <v>1750</v>
      </c>
      <c r="H424" s="873" t="s">
        <v>43</v>
      </c>
      <c r="I424" s="819">
        <v>2.9999999999999997E-4</v>
      </c>
      <c r="J424" s="874" t="s">
        <v>280</v>
      </c>
      <c r="K424" s="874" t="s">
        <v>1634</v>
      </c>
      <c r="L424" s="873" t="s">
        <v>43</v>
      </c>
      <c r="M424" s="874">
        <v>1</v>
      </c>
      <c r="N424" s="888" t="s">
        <v>1750</v>
      </c>
      <c r="O424" s="820">
        <v>3.13</v>
      </c>
      <c r="P424" s="876">
        <v>11</v>
      </c>
      <c r="Q424" s="877" t="s">
        <v>2282</v>
      </c>
      <c r="R424" s="876">
        <v>46</v>
      </c>
      <c r="S424" s="877" t="s">
        <v>2282</v>
      </c>
      <c r="T424" s="876">
        <v>0.31</v>
      </c>
      <c r="U424" s="877" t="s">
        <v>179</v>
      </c>
      <c r="V424" s="876">
        <v>1.3</v>
      </c>
      <c r="W424" s="877" t="s">
        <v>179</v>
      </c>
      <c r="X424" s="876">
        <v>0.63</v>
      </c>
      <c r="Y424" s="880" t="s">
        <v>179</v>
      </c>
      <c r="Z424" s="893">
        <v>2</v>
      </c>
      <c r="AA424" s="882">
        <v>3.3000000000000002E-2</v>
      </c>
      <c r="AB424" s="883" t="s">
        <v>179</v>
      </c>
      <c r="AC424" s="894">
        <v>0.1</v>
      </c>
    </row>
    <row r="425" spans="1:29" ht="30.75">
      <c r="A425" s="856" t="s">
        <v>1079</v>
      </c>
      <c r="B425" s="792" t="s">
        <v>1080</v>
      </c>
      <c r="C425" s="857" t="s">
        <v>1750</v>
      </c>
      <c r="D425" s="858" t="s">
        <v>43</v>
      </c>
      <c r="E425" s="843" t="s">
        <v>1750</v>
      </c>
      <c r="F425" s="858" t="s">
        <v>43</v>
      </c>
      <c r="G425" s="804">
        <v>1E-4</v>
      </c>
      <c r="H425" s="859" t="s">
        <v>280</v>
      </c>
      <c r="I425" s="843" t="s">
        <v>1750</v>
      </c>
      <c r="J425" s="858" t="s">
        <v>43</v>
      </c>
      <c r="K425" s="858" t="s">
        <v>43</v>
      </c>
      <c r="L425" s="858" t="s">
        <v>43</v>
      </c>
      <c r="M425" s="859">
        <v>1</v>
      </c>
      <c r="N425" s="870" t="s">
        <v>1750</v>
      </c>
      <c r="O425" s="860" t="s">
        <v>1750</v>
      </c>
      <c r="P425" s="861">
        <v>7.8</v>
      </c>
      <c r="Q425" s="862" t="s">
        <v>179</v>
      </c>
      <c r="R425" s="861">
        <v>120</v>
      </c>
      <c r="S425" s="862" t="s">
        <v>179</v>
      </c>
      <c r="T425" s="863" t="s">
        <v>1750</v>
      </c>
      <c r="U425" s="864" t="s">
        <v>43</v>
      </c>
      <c r="V425" s="863" t="s">
        <v>1750</v>
      </c>
      <c r="W425" s="864" t="s">
        <v>43</v>
      </c>
      <c r="X425" s="861">
        <v>2</v>
      </c>
      <c r="Y425" s="865" t="s">
        <v>179</v>
      </c>
      <c r="Z425" s="866" t="s">
        <v>43</v>
      </c>
      <c r="AA425" s="886" t="s">
        <v>1750</v>
      </c>
      <c r="AB425" s="868" t="s">
        <v>179</v>
      </c>
      <c r="AC425" s="869" t="s">
        <v>1750</v>
      </c>
    </row>
    <row r="426" spans="1:29" ht="30.75">
      <c r="A426" s="856" t="s">
        <v>1081</v>
      </c>
      <c r="B426" s="792" t="s">
        <v>1082</v>
      </c>
      <c r="C426" s="857" t="s">
        <v>1750</v>
      </c>
      <c r="D426" s="858" t="s">
        <v>43</v>
      </c>
      <c r="E426" s="843" t="s">
        <v>1750</v>
      </c>
      <c r="F426" s="858" t="s">
        <v>43</v>
      </c>
      <c r="G426" s="804">
        <v>8.0000000000000007E-5</v>
      </c>
      <c r="H426" s="859" t="s">
        <v>280</v>
      </c>
      <c r="I426" s="843" t="s">
        <v>1750</v>
      </c>
      <c r="J426" s="858" t="s">
        <v>43</v>
      </c>
      <c r="K426" s="858" t="s">
        <v>43</v>
      </c>
      <c r="L426" s="858" t="s">
        <v>43</v>
      </c>
      <c r="M426" s="859">
        <v>1</v>
      </c>
      <c r="N426" s="859">
        <v>0.1</v>
      </c>
      <c r="O426" s="860" t="s">
        <v>1750</v>
      </c>
      <c r="P426" s="861">
        <v>5.0999999999999996</v>
      </c>
      <c r="Q426" s="862" t="s">
        <v>179</v>
      </c>
      <c r="R426" s="861">
        <v>66</v>
      </c>
      <c r="S426" s="862" t="s">
        <v>179</v>
      </c>
      <c r="T426" s="863" t="s">
        <v>1750</v>
      </c>
      <c r="U426" s="864" t="s">
        <v>43</v>
      </c>
      <c r="V426" s="863" t="s">
        <v>1750</v>
      </c>
      <c r="W426" s="864" t="s">
        <v>43</v>
      </c>
      <c r="X426" s="861">
        <v>1.6</v>
      </c>
      <c r="Y426" s="865" t="s">
        <v>179</v>
      </c>
      <c r="Z426" s="866" t="s">
        <v>43</v>
      </c>
      <c r="AA426" s="867">
        <v>5.0000000000000001E-4</v>
      </c>
      <c r="AB426" s="868" t="s">
        <v>179</v>
      </c>
      <c r="AC426" s="869" t="s">
        <v>1750</v>
      </c>
    </row>
    <row r="427" spans="1:29" ht="16.5" thickBot="1">
      <c r="A427" s="871" t="s">
        <v>1083</v>
      </c>
      <c r="B427" s="807" t="s">
        <v>1084</v>
      </c>
      <c r="C427" s="872" t="s">
        <v>1750</v>
      </c>
      <c r="D427" s="873" t="s">
        <v>43</v>
      </c>
      <c r="E427" s="847" t="s">
        <v>1750</v>
      </c>
      <c r="F427" s="873" t="s">
        <v>43</v>
      </c>
      <c r="G427" s="819">
        <v>3.0000000000000001E-5</v>
      </c>
      <c r="H427" s="874" t="s">
        <v>280</v>
      </c>
      <c r="I427" s="847" t="s">
        <v>1750</v>
      </c>
      <c r="J427" s="873" t="s">
        <v>43</v>
      </c>
      <c r="K427" s="874" t="s">
        <v>1634</v>
      </c>
      <c r="L427" s="873" t="s">
        <v>43</v>
      </c>
      <c r="M427" s="874">
        <v>1</v>
      </c>
      <c r="N427" s="888" t="s">
        <v>1750</v>
      </c>
      <c r="O427" s="875" t="s">
        <v>1750</v>
      </c>
      <c r="P427" s="876">
        <v>2.2999999999999998</v>
      </c>
      <c r="Q427" s="877" t="s">
        <v>179</v>
      </c>
      <c r="R427" s="876">
        <v>35</v>
      </c>
      <c r="S427" s="877" t="s">
        <v>179</v>
      </c>
      <c r="T427" s="878" t="s">
        <v>1750</v>
      </c>
      <c r="U427" s="879" t="s">
        <v>43</v>
      </c>
      <c r="V427" s="878" t="s">
        <v>1750</v>
      </c>
      <c r="W427" s="879" t="s">
        <v>43</v>
      </c>
      <c r="X427" s="876">
        <v>0.6</v>
      </c>
      <c r="Y427" s="880" t="s">
        <v>179</v>
      </c>
      <c r="Z427" s="881" t="s">
        <v>43</v>
      </c>
      <c r="AA427" s="882">
        <v>5.8999999999999997E-2</v>
      </c>
      <c r="AB427" s="883" t="s">
        <v>179</v>
      </c>
      <c r="AC427" s="884" t="s">
        <v>1750</v>
      </c>
    </row>
    <row r="428" spans="1:29" ht="15.75">
      <c r="A428" s="856" t="s">
        <v>1085</v>
      </c>
      <c r="B428" s="792" t="s">
        <v>1086</v>
      </c>
      <c r="C428" s="857" t="s">
        <v>1750</v>
      </c>
      <c r="D428" s="858" t="s">
        <v>43</v>
      </c>
      <c r="E428" s="843" t="s">
        <v>1750</v>
      </c>
      <c r="F428" s="858" t="s">
        <v>43</v>
      </c>
      <c r="G428" s="804">
        <v>1E-4</v>
      </c>
      <c r="H428" s="859" t="s">
        <v>2463</v>
      </c>
      <c r="I428" s="843" t="s">
        <v>1750</v>
      </c>
      <c r="J428" s="858" t="s">
        <v>43</v>
      </c>
      <c r="K428" s="858" t="s">
        <v>43</v>
      </c>
      <c r="L428" s="858" t="s">
        <v>43</v>
      </c>
      <c r="M428" s="859">
        <v>1</v>
      </c>
      <c r="N428" s="859">
        <v>0.1</v>
      </c>
      <c r="O428" s="860" t="s">
        <v>1750</v>
      </c>
      <c r="P428" s="861">
        <v>6.3</v>
      </c>
      <c r="Q428" s="862" t="s">
        <v>179</v>
      </c>
      <c r="R428" s="861">
        <v>82</v>
      </c>
      <c r="S428" s="862" t="s">
        <v>179</v>
      </c>
      <c r="T428" s="863" t="s">
        <v>1750</v>
      </c>
      <c r="U428" s="864" t="s">
        <v>43</v>
      </c>
      <c r="V428" s="863" t="s">
        <v>1750</v>
      </c>
      <c r="W428" s="864" t="s">
        <v>43</v>
      </c>
      <c r="X428" s="861">
        <v>0.28000000000000003</v>
      </c>
      <c r="Y428" s="865" t="s">
        <v>179</v>
      </c>
      <c r="Z428" s="866" t="s">
        <v>43</v>
      </c>
      <c r="AA428" s="867">
        <v>1.4E-3</v>
      </c>
      <c r="AB428" s="868" t="s">
        <v>179</v>
      </c>
      <c r="AC428" s="869" t="s">
        <v>1750</v>
      </c>
    </row>
    <row r="429" spans="1:29" ht="30.75">
      <c r="A429" s="856" t="s">
        <v>1087</v>
      </c>
      <c r="B429" s="792" t="s">
        <v>1088</v>
      </c>
      <c r="C429" s="857" t="s">
        <v>1750</v>
      </c>
      <c r="D429" s="858" t="s">
        <v>43</v>
      </c>
      <c r="E429" s="843" t="s">
        <v>1750</v>
      </c>
      <c r="F429" s="858" t="s">
        <v>43</v>
      </c>
      <c r="G429" s="804">
        <v>0.06</v>
      </c>
      <c r="H429" s="859" t="s">
        <v>280</v>
      </c>
      <c r="I429" s="843" t="s">
        <v>1750</v>
      </c>
      <c r="J429" s="858" t="s">
        <v>43</v>
      </c>
      <c r="K429" s="858" t="s">
        <v>43</v>
      </c>
      <c r="L429" s="858" t="s">
        <v>43</v>
      </c>
      <c r="M429" s="859">
        <v>1</v>
      </c>
      <c r="N429" s="859">
        <v>0.1</v>
      </c>
      <c r="O429" s="860" t="s">
        <v>1750</v>
      </c>
      <c r="P429" s="861">
        <v>3800</v>
      </c>
      <c r="Q429" s="862" t="s">
        <v>179</v>
      </c>
      <c r="R429" s="861">
        <v>49000</v>
      </c>
      <c r="S429" s="862" t="s">
        <v>179</v>
      </c>
      <c r="T429" s="863" t="s">
        <v>1750</v>
      </c>
      <c r="U429" s="864" t="s">
        <v>43</v>
      </c>
      <c r="V429" s="863" t="s">
        <v>1750</v>
      </c>
      <c r="W429" s="864" t="s">
        <v>43</v>
      </c>
      <c r="X429" s="861">
        <v>1200</v>
      </c>
      <c r="Y429" s="865" t="s">
        <v>179</v>
      </c>
      <c r="Z429" s="866" t="s">
        <v>43</v>
      </c>
      <c r="AA429" s="867">
        <v>0.33</v>
      </c>
      <c r="AB429" s="868" t="s">
        <v>179</v>
      </c>
      <c r="AC429" s="869" t="s">
        <v>1750</v>
      </c>
    </row>
    <row r="430" spans="1:29" ht="16.5" thickBot="1">
      <c r="A430" s="871" t="s">
        <v>104</v>
      </c>
      <c r="B430" s="807" t="s">
        <v>1089</v>
      </c>
      <c r="C430" s="872" t="s">
        <v>1750</v>
      </c>
      <c r="D430" s="873" t="s">
        <v>43</v>
      </c>
      <c r="E430" s="847" t="s">
        <v>1750</v>
      </c>
      <c r="F430" s="873" t="s">
        <v>43</v>
      </c>
      <c r="G430" s="819">
        <v>1E-4</v>
      </c>
      <c r="H430" s="874" t="s">
        <v>280</v>
      </c>
      <c r="I430" s="819">
        <v>0.03</v>
      </c>
      <c r="J430" s="874" t="s">
        <v>281</v>
      </c>
      <c r="K430" s="874" t="s">
        <v>1634</v>
      </c>
      <c r="L430" s="873" t="s">
        <v>43</v>
      </c>
      <c r="M430" s="874">
        <v>1</v>
      </c>
      <c r="N430" s="888" t="s">
        <v>1750</v>
      </c>
      <c r="O430" s="820">
        <v>4580</v>
      </c>
      <c r="P430" s="876">
        <v>7.5</v>
      </c>
      <c r="Q430" s="877" t="s">
        <v>179</v>
      </c>
      <c r="R430" s="876">
        <v>100</v>
      </c>
      <c r="S430" s="877" t="s">
        <v>179</v>
      </c>
      <c r="T430" s="876">
        <v>31</v>
      </c>
      <c r="U430" s="877" t="s">
        <v>179</v>
      </c>
      <c r="V430" s="876">
        <v>130</v>
      </c>
      <c r="W430" s="877" t="s">
        <v>179</v>
      </c>
      <c r="X430" s="876">
        <v>1.9</v>
      </c>
      <c r="Y430" s="880" t="s">
        <v>179</v>
      </c>
      <c r="Z430" s="881" t="s">
        <v>43</v>
      </c>
      <c r="AA430" s="882">
        <v>4.2999999999999999E-4</v>
      </c>
      <c r="AB430" s="883" t="s">
        <v>179</v>
      </c>
      <c r="AC430" s="884" t="s">
        <v>1750</v>
      </c>
    </row>
    <row r="431" spans="1:29" ht="30.75">
      <c r="A431" s="856" t="s">
        <v>1090</v>
      </c>
      <c r="B431" s="792" t="s">
        <v>1091</v>
      </c>
      <c r="C431" s="857" t="s">
        <v>1750</v>
      </c>
      <c r="D431" s="858" t="s">
        <v>43</v>
      </c>
      <c r="E431" s="843" t="s">
        <v>1750</v>
      </c>
      <c r="F431" s="858" t="s">
        <v>43</v>
      </c>
      <c r="G431" s="804">
        <v>5.0000000000000002E-5</v>
      </c>
      <c r="H431" s="859" t="s">
        <v>280</v>
      </c>
      <c r="I431" s="843" t="s">
        <v>1750</v>
      </c>
      <c r="J431" s="858" t="s">
        <v>43</v>
      </c>
      <c r="K431" s="858" t="s">
        <v>43</v>
      </c>
      <c r="L431" s="858" t="s">
        <v>43</v>
      </c>
      <c r="M431" s="859">
        <v>1</v>
      </c>
      <c r="N431" s="859">
        <v>0.1</v>
      </c>
      <c r="O431" s="860" t="s">
        <v>1750</v>
      </c>
      <c r="P431" s="861">
        <v>3.2</v>
      </c>
      <c r="Q431" s="862" t="s">
        <v>179</v>
      </c>
      <c r="R431" s="861">
        <v>41</v>
      </c>
      <c r="S431" s="862" t="s">
        <v>179</v>
      </c>
      <c r="T431" s="863" t="s">
        <v>1750</v>
      </c>
      <c r="U431" s="864" t="s">
        <v>43</v>
      </c>
      <c r="V431" s="863" t="s">
        <v>1750</v>
      </c>
      <c r="W431" s="864" t="s">
        <v>43</v>
      </c>
      <c r="X431" s="861">
        <v>1</v>
      </c>
      <c r="Y431" s="865" t="s">
        <v>179</v>
      </c>
      <c r="Z431" s="866" t="s">
        <v>43</v>
      </c>
      <c r="AA431" s="867">
        <v>2.1000000000000001E-4</v>
      </c>
      <c r="AB431" s="868" t="s">
        <v>179</v>
      </c>
      <c r="AC431" s="869" t="s">
        <v>1750</v>
      </c>
    </row>
    <row r="432" spans="1:29" ht="15.75">
      <c r="A432" s="856" t="s">
        <v>1092</v>
      </c>
      <c r="B432" s="792" t="s">
        <v>1093</v>
      </c>
      <c r="C432" s="857" t="s">
        <v>1750</v>
      </c>
      <c r="D432" s="858" t="s">
        <v>43</v>
      </c>
      <c r="E432" s="843" t="s">
        <v>1750</v>
      </c>
      <c r="F432" s="858" t="s">
        <v>43</v>
      </c>
      <c r="G432" s="804">
        <v>2</v>
      </c>
      <c r="H432" s="859" t="s">
        <v>280</v>
      </c>
      <c r="I432" s="804">
        <v>20</v>
      </c>
      <c r="J432" s="859" t="s">
        <v>280</v>
      </c>
      <c r="K432" s="859" t="s">
        <v>1634</v>
      </c>
      <c r="L432" s="858" t="s">
        <v>43</v>
      </c>
      <c r="M432" s="859">
        <v>1</v>
      </c>
      <c r="N432" s="870" t="s">
        <v>1750</v>
      </c>
      <c r="O432" s="805">
        <v>106000</v>
      </c>
      <c r="P432" s="861">
        <v>120000</v>
      </c>
      <c r="Q432" s="862" t="s">
        <v>2280</v>
      </c>
      <c r="R432" s="861">
        <v>1200000</v>
      </c>
      <c r="S432" s="862" t="s">
        <v>2280</v>
      </c>
      <c r="T432" s="861">
        <v>21000</v>
      </c>
      <c r="U432" s="862" t="s">
        <v>179</v>
      </c>
      <c r="V432" s="861">
        <v>88000</v>
      </c>
      <c r="W432" s="862" t="s">
        <v>179</v>
      </c>
      <c r="X432" s="861">
        <v>20000</v>
      </c>
      <c r="Y432" s="865" t="s">
        <v>179</v>
      </c>
      <c r="Z432" s="866" t="s">
        <v>43</v>
      </c>
      <c r="AA432" s="867">
        <v>4.0999999999999996</v>
      </c>
      <c r="AB432" s="868" t="s">
        <v>179</v>
      </c>
      <c r="AC432" s="869" t="s">
        <v>1750</v>
      </c>
    </row>
    <row r="433" spans="1:29" ht="16.5" thickBot="1">
      <c r="A433" s="871" t="s">
        <v>1094</v>
      </c>
      <c r="B433" s="807" t="s">
        <v>1095</v>
      </c>
      <c r="C433" s="872" t="s">
        <v>1750</v>
      </c>
      <c r="D433" s="873" t="s">
        <v>43</v>
      </c>
      <c r="E433" s="847" t="s">
        <v>1750</v>
      </c>
      <c r="F433" s="873" t="s">
        <v>43</v>
      </c>
      <c r="G433" s="819">
        <v>1.5E-3</v>
      </c>
      <c r="H433" s="874" t="s">
        <v>2463</v>
      </c>
      <c r="I433" s="847" t="s">
        <v>1750</v>
      </c>
      <c r="J433" s="873" t="s">
        <v>43</v>
      </c>
      <c r="K433" s="873" t="s">
        <v>43</v>
      </c>
      <c r="L433" s="873" t="s">
        <v>43</v>
      </c>
      <c r="M433" s="874">
        <v>1</v>
      </c>
      <c r="N433" s="874">
        <v>0.1</v>
      </c>
      <c r="O433" s="875" t="s">
        <v>1750</v>
      </c>
      <c r="P433" s="876">
        <v>95</v>
      </c>
      <c r="Q433" s="877" t="s">
        <v>179</v>
      </c>
      <c r="R433" s="876">
        <v>1200</v>
      </c>
      <c r="S433" s="877" t="s">
        <v>179</v>
      </c>
      <c r="T433" s="878" t="s">
        <v>1750</v>
      </c>
      <c r="U433" s="879" t="s">
        <v>43</v>
      </c>
      <c r="V433" s="878" t="s">
        <v>1750</v>
      </c>
      <c r="W433" s="879" t="s">
        <v>43</v>
      </c>
      <c r="X433" s="876">
        <v>29</v>
      </c>
      <c r="Y433" s="880" t="s">
        <v>179</v>
      </c>
      <c r="Z433" s="881" t="s">
        <v>43</v>
      </c>
      <c r="AA433" s="882">
        <v>7.1000000000000004E-3</v>
      </c>
      <c r="AB433" s="883" t="s">
        <v>179</v>
      </c>
      <c r="AC433" s="884" t="s">
        <v>1750</v>
      </c>
    </row>
    <row r="434" spans="1:29" ht="30.75">
      <c r="A434" s="856" t="s">
        <v>1096</v>
      </c>
      <c r="B434" s="792" t="s">
        <v>1097</v>
      </c>
      <c r="C434" s="857" t="s">
        <v>1750</v>
      </c>
      <c r="D434" s="858" t="s">
        <v>43</v>
      </c>
      <c r="E434" s="843" t="s">
        <v>1750</v>
      </c>
      <c r="F434" s="858" t="s">
        <v>43</v>
      </c>
      <c r="G434" s="804">
        <v>2.5000000000000001E-2</v>
      </c>
      <c r="H434" s="859" t="s">
        <v>280</v>
      </c>
      <c r="I434" s="843" t="s">
        <v>1750</v>
      </c>
      <c r="J434" s="858" t="s">
        <v>43</v>
      </c>
      <c r="K434" s="858" t="s">
        <v>43</v>
      </c>
      <c r="L434" s="858" t="s">
        <v>43</v>
      </c>
      <c r="M434" s="859">
        <v>1</v>
      </c>
      <c r="N434" s="859">
        <v>0.1</v>
      </c>
      <c r="O434" s="860" t="s">
        <v>1750</v>
      </c>
      <c r="P434" s="861">
        <v>1600</v>
      </c>
      <c r="Q434" s="862" t="s">
        <v>179</v>
      </c>
      <c r="R434" s="861">
        <v>21000</v>
      </c>
      <c r="S434" s="862" t="s">
        <v>179</v>
      </c>
      <c r="T434" s="863" t="s">
        <v>1750</v>
      </c>
      <c r="U434" s="864" t="s">
        <v>43</v>
      </c>
      <c r="V434" s="863" t="s">
        <v>1750</v>
      </c>
      <c r="W434" s="864" t="s">
        <v>43</v>
      </c>
      <c r="X434" s="861">
        <v>500</v>
      </c>
      <c r="Y434" s="865" t="s">
        <v>179</v>
      </c>
      <c r="Z434" s="866" t="s">
        <v>43</v>
      </c>
      <c r="AA434" s="867">
        <v>0.11</v>
      </c>
      <c r="AB434" s="868" t="s">
        <v>179</v>
      </c>
      <c r="AC434" s="869" t="s">
        <v>1750</v>
      </c>
    </row>
    <row r="435" spans="1:29" ht="30.75">
      <c r="A435" s="856" t="s">
        <v>1098</v>
      </c>
      <c r="B435" s="792" t="s">
        <v>1099</v>
      </c>
      <c r="C435" s="889">
        <v>4.9000000000000002E-2</v>
      </c>
      <c r="D435" s="859" t="s">
        <v>3</v>
      </c>
      <c r="E435" s="804">
        <v>1.4E-5</v>
      </c>
      <c r="F435" s="859" t="s">
        <v>3</v>
      </c>
      <c r="G435" s="843" t="s">
        <v>1750</v>
      </c>
      <c r="H435" s="858" t="s">
        <v>43</v>
      </c>
      <c r="I435" s="843" t="s">
        <v>1750</v>
      </c>
      <c r="J435" s="858" t="s">
        <v>43</v>
      </c>
      <c r="K435" s="858" t="s">
        <v>43</v>
      </c>
      <c r="L435" s="858" t="s">
        <v>43</v>
      </c>
      <c r="M435" s="859">
        <v>1</v>
      </c>
      <c r="N435" s="859">
        <v>0.1</v>
      </c>
      <c r="O435" s="860" t="s">
        <v>1750</v>
      </c>
      <c r="P435" s="861">
        <v>11</v>
      </c>
      <c r="Q435" s="862" t="s">
        <v>2283</v>
      </c>
      <c r="R435" s="861">
        <v>47</v>
      </c>
      <c r="S435" s="862" t="s">
        <v>2283</v>
      </c>
      <c r="T435" s="861">
        <v>0.2</v>
      </c>
      <c r="U435" s="862" t="s">
        <v>2283</v>
      </c>
      <c r="V435" s="861">
        <v>0.88</v>
      </c>
      <c r="W435" s="862" t="s">
        <v>2283</v>
      </c>
      <c r="X435" s="861">
        <v>1.5</v>
      </c>
      <c r="Y435" s="865" t="s">
        <v>2283</v>
      </c>
      <c r="Z435" s="866" t="s">
        <v>43</v>
      </c>
      <c r="AA435" s="867">
        <v>5.2999999999999998E-4</v>
      </c>
      <c r="AB435" s="868" t="s">
        <v>2283</v>
      </c>
      <c r="AC435" s="869" t="s">
        <v>1750</v>
      </c>
    </row>
    <row r="436" spans="1:29" ht="16.5" thickBot="1">
      <c r="A436" s="871" t="s">
        <v>51</v>
      </c>
      <c r="B436" s="807" t="s">
        <v>1100</v>
      </c>
      <c r="C436" s="872" t="s">
        <v>1750</v>
      </c>
      <c r="D436" s="873" t="s">
        <v>43</v>
      </c>
      <c r="E436" s="847" t="s">
        <v>1750</v>
      </c>
      <c r="F436" s="873" t="s">
        <v>43</v>
      </c>
      <c r="G436" s="819">
        <v>5.0000000000000001E-3</v>
      </c>
      <c r="H436" s="874" t="s">
        <v>280</v>
      </c>
      <c r="I436" s="847" t="s">
        <v>1750</v>
      </c>
      <c r="J436" s="873" t="s">
        <v>43</v>
      </c>
      <c r="K436" s="873" t="s">
        <v>43</v>
      </c>
      <c r="L436" s="873" t="s">
        <v>43</v>
      </c>
      <c r="M436" s="874">
        <v>1</v>
      </c>
      <c r="N436" s="874">
        <v>0.1</v>
      </c>
      <c r="O436" s="875" t="s">
        <v>1750</v>
      </c>
      <c r="P436" s="876">
        <v>320</v>
      </c>
      <c r="Q436" s="877" t="s">
        <v>179</v>
      </c>
      <c r="R436" s="876">
        <v>4100</v>
      </c>
      <c r="S436" s="877" t="s">
        <v>179</v>
      </c>
      <c r="T436" s="878" t="s">
        <v>1750</v>
      </c>
      <c r="U436" s="879" t="s">
        <v>43</v>
      </c>
      <c r="V436" s="878" t="s">
        <v>1750</v>
      </c>
      <c r="W436" s="879" t="s">
        <v>43</v>
      </c>
      <c r="X436" s="876">
        <v>37</v>
      </c>
      <c r="Y436" s="880" t="s">
        <v>179</v>
      </c>
      <c r="Z436" s="893">
        <v>40</v>
      </c>
      <c r="AA436" s="882">
        <v>2</v>
      </c>
      <c r="AB436" s="883" t="s">
        <v>179</v>
      </c>
      <c r="AC436" s="894">
        <v>2.2000000000000002</v>
      </c>
    </row>
    <row r="437" spans="1:29" ht="30.75">
      <c r="A437" s="856" t="s">
        <v>1101</v>
      </c>
      <c r="B437" s="792" t="s">
        <v>1102</v>
      </c>
      <c r="C437" s="857" t="s">
        <v>1750</v>
      </c>
      <c r="D437" s="858" t="s">
        <v>43</v>
      </c>
      <c r="E437" s="843" t="s">
        <v>1750</v>
      </c>
      <c r="F437" s="858" t="s">
        <v>43</v>
      </c>
      <c r="G437" s="804">
        <v>8.0000000000000002E-3</v>
      </c>
      <c r="H437" s="859" t="s">
        <v>281</v>
      </c>
      <c r="I437" s="804">
        <v>1E-3</v>
      </c>
      <c r="J437" s="859" t="s">
        <v>281</v>
      </c>
      <c r="K437" s="859" t="s">
        <v>1634</v>
      </c>
      <c r="L437" s="858" t="s">
        <v>43</v>
      </c>
      <c r="M437" s="859">
        <v>1</v>
      </c>
      <c r="N437" s="870" t="s">
        <v>1750</v>
      </c>
      <c r="O437" s="805">
        <v>115000</v>
      </c>
      <c r="P437" s="861">
        <v>110</v>
      </c>
      <c r="Q437" s="862" t="s">
        <v>179</v>
      </c>
      <c r="R437" s="861">
        <v>510</v>
      </c>
      <c r="S437" s="862" t="s">
        <v>179</v>
      </c>
      <c r="T437" s="861">
        <v>1</v>
      </c>
      <c r="U437" s="862" t="s">
        <v>179</v>
      </c>
      <c r="V437" s="861">
        <v>4.4000000000000004</v>
      </c>
      <c r="W437" s="862" t="s">
        <v>179</v>
      </c>
      <c r="X437" s="861">
        <v>2.1</v>
      </c>
      <c r="Y437" s="865" t="s">
        <v>179</v>
      </c>
      <c r="Z437" s="866" t="s">
        <v>43</v>
      </c>
      <c r="AA437" s="867">
        <v>4.2000000000000002E-4</v>
      </c>
      <c r="AB437" s="868" t="s">
        <v>179</v>
      </c>
      <c r="AC437" s="869" t="s">
        <v>1750</v>
      </c>
    </row>
    <row r="438" spans="1:29" ht="15.75">
      <c r="A438" s="856" t="s">
        <v>1103</v>
      </c>
      <c r="B438" s="792" t="s">
        <v>1104</v>
      </c>
      <c r="C438" s="857" t="s">
        <v>1750</v>
      </c>
      <c r="D438" s="858" t="s">
        <v>43</v>
      </c>
      <c r="E438" s="843" t="s">
        <v>1750</v>
      </c>
      <c r="F438" s="858" t="s">
        <v>43</v>
      </c>
      <c r="G438" s="804">
        <v>5.0000000000000001E-3</v>
      </c>
      <c r="H438" s="859" t="s">
        <v>281</v>
      </c>
      <c r="I438" s="804">
        <v>0.02</v>
      </c>
      <c r="J438" s="859" t="s">
        <v>280</v>
      </c>
      <c r="K438" s="859" t="s">
        <v>1634</v>
      </c>
      <c r="L438" s="858" t="s">
        <v>43</v>
      </c>
      <c r="M438" s="859">
        <v>1</v>
      </c>
      <c r="N438" s="870" t="s">
        <v>1750</v>
      </c>
      <c r="O438" s="805">
        <v>106000</v>
      </c>
      <c r="P438" s="861">
        <v>330</v>
      </c>
      <c r="Q438" s="862" t="s">
        <v>179</v>
      </c>
      <c r="R438" s="861">
        <v>3500</v>
      </c>
      <c r="S438" s="862" t="s">
        <v>179</v>
      </c>
      <c r="T438" s="861">
        <v>21</v>
      </c>
      <c r="U438" s="862" t="s">
        <v>179</v>
      </c>
      <c r="V438" s="861">
        <v>88</v>
      </c>
      <c r="W438" s="862" t="s">
        <v>179</v>
      </c>
      <c r="X438" s="861">
        <v>29</v>
      </c>
      <c r="Y438" s="865" t="s">
        <v>179</v>
      </c>
      <c r="Z438" s="866" t="s">
        <v>43</v>
      </c>
      <c r="AA438" s="867">
        <v>5.8999999999999999E-3</v>
      </c>
      <c r="AB438" s="868" t="s">
        <v>179</v>
      </c>
      <c r="AC438" s="869" t="s">
        <v>1750</v>
      </c>
    </row>
    <row r="439" spans="1:29" ht="16.5" thickBot="1">
      <c r="A439" s="871" t="s">
        <v>1105</v>
      </c>
      <c r="B439" s="807" t="s">
        <v>1106</v>
      </c>
      <c r="C439" s="872" t="s">
        <v>1750</v>
      </c>
      <c r="D439" s="873" t="s">
        <v>43</v>
      </c>
      <c r="E439" s="847" t="s">
        <v>1750</v>
      </c>
      <c r="F439" s="873" t="s">
        <v>43</v>
      </c>
      <c r="G439" s="819">
        <v>1</v>
      </c>
      <c r="H439" s="874" t="s">
        <v>0</v>
      </c>
      <c r="I439" s="847" t="s">
        <v>1750</v>
      </c>
      <c r="J439" s="873" t="s">
        <v>43</v>
      </c>
      <c r="K439" s="874" t="s">
        <v>1634</v>
      </c>
      <c r="L439" s="873" t="s">
        <v>43</v>
      </c>
      <c r="M439" s="874">
        <v>1</v>
      </c>
      <c r="N439" s="888" t="s">
        <v>1750</v>
      </c>
      <c r="O439" s="820">
        <v>29000</v>
      </c>
      <c r="P439" s="876">
        <v>78000</v>
      </c>
      <c r="Q439" s="877" t="s">
        <v>2282</v>
      </c>
      <c r="R439" s="876">
        <v>1200000</v>
      </c>
      <c r="S439" s="877" t="s">
        <v>2280</v>
      </c>
      <c r="T439" s="878" t="s">
        <v>1750</v>
      </c>
      <c r="U439" s="879" t="s">
        <v>43</v>
      </c>
      <c r="V439" s="878" t="s">
        <v>1750</v>
      </c>
      <c r="W439" s="879" t="s">
        <v>43</v>
      </c>
      <c r="X439" s="876">
        <v>20000</v>
      </c>
      <c r="Y439" s="880" t="s">
        <v>179</v>
      </c>
      <c r="Z439" s="881" t="s">
        <v>43</v>
      </c>
      <c r="AA439" s="882">
        <v>4.0999999999999996</v>
      </c>
      <c r="AB439" s="883" t="s">
        <v>179</v>
      </c>
      <c r="AC439" s="884" t="s">
        <v>1750</v>
      </c>
    </row>
    <row r="440" spans="1:29" ht="15.75">
      <c r="A440" s="856" t="s">
        <v>1107</v>
      </c>
      <c r="B440" s="792" t="s">
        <v>1108</v>
      </c>
      <c r="C440" s="857" t="s">
        <v>1750</v>
      </c>
      <c r="D440" s="858" t="s">
        <v>43</v>
      </c>
      <c r="E440" s="843" t="s">
        <v>1750</v>
      </c>
      <c r="F440" s="858" t="s">
        <v>43</v>
      </c>
      <c r="G440" s="843" t="s">
        <v>1750</v>
      </c>
      <c r="H440" s="858" t="s">
        <v>43</v>
      </c>
      <c r="I440" s="804">
        <v>0.02</v>
      </c>
      <c r="J440" s="859" t="s">
        <v>281</v>
      </c>
      <c r="K440" s="859" t="s">
        <v>1634</v>
      </c>
      <c r="L440" s="858" t="s">
        <v>43</v>
      </c>
      <c r="M440" s="859">
        <v>1</v>
      </c>
      <c r="N440" s="870" t="s">
        <v>1750</v>
      </c>
      <c r="O440" s="805">
        <v>6750</v>
      </c>
      <c r="P440" s="861">
        <v>150</v>
      </c>
      <c r="Q440" s="862" t="s">
        <v>179</v>
      </c>
      <c r="R440" s="861">
        <v>610</v>
      </c>
      <c r="S440" s="862" t="s">
        <v>179</v>
      </c>
      <c r="T440" s="861">
        <v>21</v>
      </c>
      <c r="U440" s="862" t="s">
        <v>179</v>
      </c>
      <c r="V440" s="861">
        <v>88</v>
      </c>
      <c r="W440" s="862" t="s">
        <v>179</v>
      </c>
      <c r="X440" s="861">
        <v>42</v>
      </c>
      <c r="Y440" s="865" t="s">
        <v>179</v>
      </c>
      <c r="Z440" s="866" t="s">
        <v>43</v>
      </c>
      <c r="AA440" s="867">
        <v>8.8999999999999999E-3</v>
      </c>
      <c r="AB440" s="868" t="s">
        <v>179</v>
      </c>
      <c r="AC440" s="869" t="s">
        <v>1750</v>
      </c>
    </row>
    <row r="441" spans="1:29" ht="45.75">
      <c r="A441" s="856" t="s">
        <v>1109</v>
      </c>
      <c r="B441" s="792" t="s">
        <v>1110</v>
      </c>
      <c r="C441" s="857" t="s">
        <v>1750</v>
      </c>
      <c r="D441" s="858" t="s">
        <v>43</v>
      </c>
      <c r="E441" s="843" t="s">
        <v>1750</v>
      </c>
      <c r="F441" s="858" t="s">
        <v>43</v>
      </c>
      <c r="G441" s="804">
        <v>0.6</v>
      </c>
      <c r="H441" s="859" t="s">
        <v>280</v>
      </c>
      <c r="I441" s="804">
        <v>5</v>
      </c>
      <c r="J441" s="859" t="s">
        <v>280</v>
      </c>
      <c r="K441" s="859" t="s">
        <v>1634</v>
      </c>
      <c r="L441" s="858" t="s">
        <v>43</v>
      </c>
      <c r="M441" s="859">
        <v>1</v>
      </c>
      <c r="N441" s="870" t="s">
        <v>1750</v>
      </c>
      <c r="O441" s="805">
        <v>28400</v>
      </c>
      <c r="P441" s="861">
        <v>27000</v>
      </c>
      <c r="Q441" s="862" t="s">
        <v>179</v>
      </c>
      <c r="R441" s="861">
        <v>190000</v>
      </c>
      <c r="S441" s="862" t="s">
        <v>2280</v>
      </c>
      <c r="T441" s="861">
        <v>5200</v>
      </c>
      <c r="U441" s="862" t="s">
        <v>179</v>
      </c>
      <c r="V441" s="861">
        <v>22000</v>
      </c>
      <c r="W441" s="862" t="s">
        <v>179</v>
      </c>
      <c r="X441" s="861">
        <v>5600</v>
      </c>
      <c r="Y441" s="865" t="s">
        <v>179</v>
      </c>
      <c r="Z441" s="866" t="s">
        <v>43</v>
      </c>
      <c r="AA441" s="867">
        <v>1.2</v>
      </c>
      <c r="AB441" s="868" t="s">
        <v>179</v>
      </c>
      <c r="AC441" s="869" t="s">
        <v>1750</v>
      </c>
    </row>
    <row r="442" spans="1:29" ht="16.5" thickBot="1">
      <c r="A442" s="871" t="s">
        <v>1825</v>
      </c>
      <c r="B442" s="807" t="s">
        <v>1826</v>
      </c>
      <c r="C442" s="872" t="s">
        <v>1750</v>
      </c>
      <c r="D442" s="873" t="s">
        <v>43</v>
      </c>
      <c r="E442" s="819">
        <v>1E-3</v>
      </c>
      <c r="F442" s="874" t="s">
        <v>0</v>
      </c>
      <c r="G442" s="819">
        <v>1E-3</v>
      </c>
      <c r="H442" s="874" t="s">
        <v>281</v>
      </c>
      <c r="I442" s="819">
        <v>2.0000000000000002E-5</v>
      </c>
      <c r="J442" s="874" t="s">
        <v>0</v>
      </c>
      <c r="K442" s="874" t="s">
        <v>1634</v>
      </c>
      <c r="L442" s="873" t="s">
        <v>43</v>
      </c>
      <c r="M442" s="874">
        <v>1</v>
      </c>
      <c r="N442" s="888" t="s">
        <v>1750</v>
      </c>
      <c r="O442" s="820">
        <v>180000</v>
      </c>
      <c r="P442" s="876">
        <v>0.14000000000000001</v>
      </c>
      <c r="Q442" s="877" t="s">
        <v>2278</v>
      </c>
      <c r="R442" s="876">
        <v>0.62</v>
      </c>
      <c r="S442" s="877" t="s">
        <v>2278</v>
      </c>
      <c r="T442" s="876">
        <v>2.8E-3</v>
      </c>
      <c r="U442" s="877" t="s">
        <v>2278</v>
      </c>
      <c r="V442" s="876">
        <v>1.2E-2</v>
      </c>
      <c r="W442" s="877" t="s">
        <v>2278</v>
      </c>
      <c r="X442" s="876">
        <v>5.5999999999999999E-3</v>
      </c>
      <c r="Y442" s="880" t="s">
        <v>2278</v>
      </c>
      <c r="Z442" s="881" t="s">
        <v>43</v>
      </c>
      <c r="AA442" s="882">
        <v>1.3E-6</v>
      </c>
      <c r="AB442" s="883" t="s">
        <v>2278</v>
      </c>
      <c r="AC442" s="884" t="s">
        <v>1750</v>
      </c>
    </row>
    <row r="443" spans="1:29" ht="45.75">
      <c r="A443" s="856" t="s">
        <v>1111</v>
      </c>
      <c r="B443" s="792" t="s">
        <v>1112</v>
      </c>
      <c r="C443" s="857" t="s">
        <v>1750</v>
      </c>
      <c r="D443" s="858" t="s">
        <v>43</v>
      </c>
      <c r="E443" s="843" t="s">
        <v>1750</v>
      </c>
      <c r="F443" s="858" t="s">
        <v>43</v>
      </c>
      <c r="G443" s="843" t="s">
        <v>1750</v>
      </c>
      <c r="H443" s="858" t="s">
        <v>43</v>
      </c>
      <c r="I443" s="804">
        <v>3</v>
      </c>
      <c r="J443" s="859" t="s">
        <v>280</v>
      </c>
      <c r="K443" s="859" t="s">
        <v>1634</v>
      </c>
      <c r="L443" s="858" t="s">
        <v>43</v>
      </c>
      <c r="M443" s="859">
        <v>1</v>
      </c>
      <c r="N443" s="870" t="s">
        <v>1750</v>
      </c>
      <c r="O443" s="805">
        <v>3360</v>
      </c>
      <c r="P443" s="861">
        <v>33000</v>
      </c>
      <c r="Q443" s="862" t="s">
        <v>2282</v>
      </c>
      <c r="R443" s="861">
        <v>140000</v>
      </c>
      <c r="S443" s="862" t="s">
        <v>2280</v>
      </c>
      <c r="T443" s="861">
        <v>3100</v>
      </c>
      <c r="U443" s="862" t="s">
        <v>179</v>
      </c>
      <c r="V443" s="861">
        <v>13000</v>
      </c>
      <c r="W443" s="862" t="s">
        <v>179</v>
      </c>
      <c r="X443" s="861">
        <v>6300</v>
      </c>
      <c r="Y443" s="865" t="s">
        <v>179</v>
      </c>
      <c r="Z443" s="866" t="s">
        <v>43</v>
      </c>
      <c r="AA443" s="867">
        <v>1.4</v>
      </c>
      <c r="AB443" s="868" t="s">
        <v>179</v>
      </c>
      <c r="AC443" s="869" t="s">
        <v>1750</v>
      </c>
    </row>
    <row r="444" spans="1:29" ht="15.75">
      <c r="A444" s="856" t="s">
        <v>1113</v>
      </c>
      <c r="B444" s="792" t="s">
        <v>1114</v>
      </c>
      <c r="C444" s="857" t="s">
        <v>1750</v>
      </c>
      <c r="D444" s="858" t="s">
        <v>43</v>
      </c>
      <c r="E444" s="843" t="s">
        <v>1750</v>
      </c>
      <c r="F444" s="858" t="s">
        <v>43</v>
      </c>
      <c r="G444" s="843" t="s">
        <v>1750</v>
      </c>
      <c r="H444" s="858" t="s">
        <v>43</v>
      </c>
      <c r="I444" s="804">
        <v>1E-3</v>
      </c>
      <c r="J444" s="859" t="s">
        <v>3</v>
      </c>
      <c r="K444" s="859" t="s">
        <v>1634</v>
      </c>
      <c r="L444" s="858" t="s">
        <v>43</v>
      </c>
      <c r="M444" s="859">
        <v>1</v>
      </c>
      <c r="N444" s="870" t="s">
        <v>1750</v>
      </c>
      <c r="O444" s="805">
        <v>10100</v>
      </c>
      <c r="P444" s="861">
        <v>4.5999999999999996</v>
      </c>
      <c r="Q444" s="862" t="s">
        <v>179</v>
      </c>
      <c r="R444" s="861">
        <v>19</v>
      </c>
      <c r="S444" s="862" t="s">
        <v>179</v>
      </c>
      <c r="T444" s="861">
        <v>1</v>
      </c>
      <c r="U444" s="862" t="s">
        <v>179</v>
      </c>
      <c r="V444" s="861">
        <v>4.4000000000000004</v>
      </c>
      <c r="W444" s="862" t="s">
        <v>179</v>
      </c>
      <c r="X444" s="861">
        <v>2.1</v>
      </c>
      <c r="Y444" s="865" t="s">
        <v>179</v>
      </c>
      <c r="Z444" s="866" t="s">
        <v>43</v>
      </c>
      <c r="AA444" s="867">
        <v>5.9000000000000003E-4</v>
      </c>
      <c r="AB444" s="868" t="s">
        <v>179</v>
      </c>
      <c r="AC444" s="869" t="s">
        <v>1750</v>
      </c>
    </row>
    <row r="445" spans="1:29" ht="31.5" thickBot="1">
      <c r="A445" s="871" t="s">
        <v>1115</v>
      </c>
      <c r="B445" s="807" t="s">
        <v>1116</v>
      </c>
      <c r="C445" s="872" t="s">
        <v>1750</v>
      </c>
      <c r="D445" s="873" t="s">
        <v>43</v>
      </c>
      <c r="E445" s="847" t="s">
        <v>1750</v>
      </c>
      <c r="F445" s="873" t="s">
        <v>43</v>
      </c>
      <c r="G445" s="819">
        <v>1.4</v>
      </c>
      <c r="H445" s="874" t="s">
        <v>280</v>
      </c>
      <c r="I445" s="819">
        <v>0.7</v>
      </c>
      <c r="J445" s="874" t="s">
        <v>280</v>
      </c>
      <c r="K445" s="874" t="s">
        <v>1634</v>
      </c>
      <c r="L445" s="873" t="s">
        <v>43</v>
      </c>
      <c r="M445" s="874">
        <v>1</v>
      </c>
      <c r="N445" s="888" t="s">
        <v>1750</v>
      </c>
      <c r="O445" s="820">
        <v>2360</v>
      </c>
      <c r="P445" s="876">
        <v>4400</v>
      </c>
      <c r="Q445" s="877" t="s">
        <v>2282</v>
      </c>
      <c r="R445" s="876">
        <v>19000</v>
      </c>
      <c r="S445" s="877" t="s">
        <v>2282</v>
      </c>
      <c r="T445" s="876">
        <v>730</v>
      </c>
      <c r="U445" s="877" t="s">
        <v>179</v>
      </c>
      <c r="V445" s="876">
        <v>3100</v>
      </c>
      <c r="W445" s="877" t="s">
        <v>179</v>
      </c>
      <c r="X445" s="876">
        <v>1400</v>
      </c>
      <c r="Y445" s="880" t="s">
        <v>179</v>
      </c>
      <c r="Z445" s="881" t="s">
        <v>43</v>
      </c>
      <c r="AA445" s="882">
        <v>0.3</v>
      </c>
      <c r="AB445" s="883" t="s">
        <v>179</v>
      </c>
      <c r="AC445" s="884" t="s">
        <v>1750</v>
      </c>
    </row>
    <row r="446" spans="1:29" ht="15.75">
      <c r="A446" s="856" t="s">
        <v>1117</v>
      </c>
      <c r="B446" s="792" t="s">
        <v>1118</v>
      </c>
      <c r="C446" s="857" t="s">
        <v>1750</v>
      </c>
      <c r="D446" s="858" t="s">
        <v>43</v>
      </c>
      <c r="E446" s="843" t="s">
        <v>1750</v>
      </c>
      <c r="F446" s="858" t="s">
        <v>43</v>
      </c>
      <c r="G446" s="804">
        <v>2.5000000000000001E-4</v>
      </c>
      <c r="H446" s="859" t="s">
        <v>280</v>
      </c>
      <c r="I446" s="843" t="s">
        <v>1750</v>
      </c>
      <c r="J446" s="858" t="s">
        <v>43</v>
      </c>
      <c r="K446" s="858" t="s">
        <v>43</v>
      </c>
      <c r="L446" s="858" t="s">
        <v>43</v>
      </c>
      <c r="M446" s="859">
        <v>1</v>
      </c>
      <c r="N446" s="859">
        <v>0.1</v>
      </c>
      <c r="O446" s="860" t="s">
        <v>1750</v>
      </c>
      <c r="P446" s="861">
        <v>16</v>
      </c>
      <c r="Q446" s="862" t="s">
        <v>179</v>
      </c>
      <c r="R446" s="861">
        <v>210</v>
      </c>
      <c r="S446" s="862" t="s">
        <v>179</v>
      </c>
      <c r="T446" s="863" t="s">
        <v>1750</v>
      </c>
      <c r="U446" s="864" t="s">
        <v>43</v>
      </c>
      <c r="V446" s="863" t="s">
        <v>1750</v>
      </c>
      <c r="W446" s="864" t="s">
        <v>43</v>
      </c>
      <c r="X446" s="861">
        <v>4.5</v>
      </c>
      <c r="Y446" s="865" t="s">
        <v>179</v>
      </c>
      <c r="Z446" s="866" t="s">
        <v>43</v>
      </c>
      <c r="AA446" s="867">
        <v>7.4000000000000003E-3</v>
      </c>
      <c r="AB446" s="868" t="s">
        <v>179</v>
      </c>
      <c r="AC446" s="869" t="s">
        <v>1750</v>
      </c>
    </row>
    <row r="447" spans="1:29" ht="30.75">
      <c r="A447" s="856" t="s">
        <v>1119</v>
      </c>
      <c r="B447" s="792" t="s">
        <v>1120</v>
      </c>
      <c r="C447" s="857" t="s">
        <v>1750</v>
      </c>
      <c r="D447" s="858" t="s">
        <v>43</v>
      </c>
      <c r="E447" s="843" t="s">
        <v>1750</v>
      </c>
      <c r="F447" s="858" t="s">
        <v>43</v>
      </c>
      <c r="G447" s="804">
        <v>0.06</v>
      </c>
      <c r="H447" s="859" t="s">
        <v>0</v>
      </c>
      <c r="I447" s="843" t="s">
        <v>1750</v>
      </c>
      <c r="J447" s="858" t="s">
        <v>43</v>
      </c>
      <c r="K447" s="858" t="s">
        <v>43</v>
      </c>
      <c r="L447" s="858" t="s">
        <v>43</v>
      </c>
      <c r="M447" s="859">
        <v>1</v>
      </c>
      <c r="N447" s="859">
        <v>0.1</v>
      </c>
      <c r="O447" s="860" t="s">
        <v>1750</v>
      </c>
      <c r="P447" s="861">
        <v>3800</v>
      </c>
      <c r="Q447" s="862" t="s">
        <v>179</v>
      </c>
      <c r="R447" s="861">
        <v>49000</v>
      </c>
      <c r="S447" s="862" t="s">
        <v>179</v>
      </c>
      <c r="T447" s="863" t="s">
        <v>1750</v>
      </c>
      <c r="U447" s="864" t="s">
        <v>43</v>
      </c>
      <c r="V447" s="863" t="s">
        <v>1750</v>
      </c>
      <c r="W447" s="864" t="s">
        <v>43</v>
      </c>
      <c r="X447" s="861">
        <v>1200</v>
      </c>
      <c r="Y447" s="865" t="s">
        <v>179</v>
      </c>
      <c r="Z447" s="866" t="s">
        <v>43</v>
      </c>
      <c r="AA447" s="867">
        <v>0.24</v>
      </c>
      <c r="AB447" s="868" t="s">
        <v>179</v>
      </c>
      <c r="AC447" s="869" t="s">
        <v>1750</v>
      </c>
    </row>
    <row r="448" spans="1:29" ht="31.5" thickBot="1">
      <c r="A448" s="871" t="s">
        <v>1121</v>
      </c>
      <c r="B448" s="807" t="s">
        <v>1122</v>
      </c>
      <c r="C448" s="872" t="s">
        <v>1750</v>
      </c>
      <c r="D448" s="873" t="s">
        <v>43</v>
      </c>
      <c r="E448" s="847" t="s">
        <v>1750</v>
      </c>
      <c r="F448" s="873" t="s">
        <v>43</v>
      </c>
      <c r="G448" s="819">
        <v>6.0000000000000001E-3</v>
      </c>
      <c r="H448" s="874" t="s">
        <v>13</v>
      </c>
      <c r="I448" s="819">
        <v>0.04</v>
      </c>
      <c r="J448" s="874" t="s">
        <v>13</v>
      </c>
      <c r="K448" s="874" t="s">
        <v>1634</v>
      </c>
      <c r="L448" s="873" t="s">
        <v>43</v>
      </c>
      <c r="M448" s="874">
        <v>1</v>
      </c>
      <c r="N448" s="888" t="s">
        <v>1750</v>
      </c>
      <c r="O448" s="820">
        <v>393</v>
      </c>
      <c r="P448" s="876">
        <v>320</v>
      </c>
      <c r="Q448" s="877" t="s">
        <v>179</v>
      </c>
      <c r="R448" s="876">
        <v>2600</v>
      </c>
      <c r="S448" s="877" t="s">
        <v>2282</v>
      </c>
      <c r="T448" s="876">
        <v>42</v>
      </c>
      <c r="U448" s="877" t="s">
        <v>179</v>
      </c>
      <c r="V448" s="876">
        <v>180</v>
      </c>
      <c r="W448" s="877" t="s">
        <v>179</v>
      </c>
      <c r="X448" s="876">
        <v>23</v>
      </c>
      <c r="Y448" s="880" t="s">
        <v>179</v>
      </c>
      <c r="Z448" s="881" t="s">
        <v>43</v>
      </c>
      <c r="AA448" s="882">
        <v>3.7999999999999999E-2</v>
      </c>
      <c r="AB448" s="883" t="s">
        <v>179</v>
      </c>
      <c r="AC448" s="884" t="s">
        <v>1750</v>
      </c>
    </row>
    <row r="449" spans="1:29" ht="30.75">
      <c r="A449" s="856" t="s">
        <v>1123</v>
      </c>
      <c r="B449" s="792" t="s">
        <v>1124</v>
      </c>
      <c r="C449" s="889">
        <v>9.9000000000000005E-2</v>
      </c>
      <c r="D449" s="859" t="s">
        <v>3</v>
      </c>
      <c r="E449" s="804">
        <v>2.8E-5</v>
      </c>
      <c r="F449" s="859" t="s">
        <v>3</v>
      </c>
      <c r="G449" s="843" t="s">
        <v>1750</v>
      </c>
      <c r="H449" s="858" t="s">
        <v>43</v>
      </c>
      <c r="I449" s="843" t="s">
        <v>1750</v>
      </c>
      <c r="J449" s="858" t="s">
        <v>43</v>
      </c>
      <c r="K449" s="858" t="s">
        <v>43</v>
      </c>
      <c r="L449" s="858" t="s">
        <v>43</v>
      </c>
      <c r="M449" s="859">
        <v>1</v>
      </c>
      <c r="N449" s="859">
        <v>0.1</v>
      </c>
      <c r="O449" s="860" t="s">
        <v>1750</v>
      </c>
      <c r="P449" s="861">
        <v>5.5</v>
      </c>
      <c r="Q449" s="862" t="s">
        <v>2283</v>
      </c>
      <c r="R449" s="861">
        <v>23</v>
      </c>
      <c r="S449" s="862" t="s">
        <v>2283</v>
      </c>
      <c r="T449" s="861">
        <v>0.1</v>
      </c>
      <c r="U449" s="862" t="s">
        <v>2283</v>
      </c>
      <c r="V449" s="861">
        <v>0.44</v>
      </c>
      <c r="W449" s="862" t="s">
        <v>2283</v>
      </c>
      <c r="X449" s="861">
        <v>0.79</v>
      </c>
      <c r="Y449" s="865" t="s">
        <v>2283</v>
      </c>
      <c r="Z449" s="866" t="s">
        <v>43</v>
      </c>
      <c r="AA449" s="867">
        <v>1.6000000000000001E-4</v>
      </c>
      <c r="AB449" s="868" t="s">
        <v>2283</v>
      </c>
      <c r="AC449" s="869" t="s">
        <v>1750</v>
      </c>
    </row>
    <row r="450" spans="1:29" ht="30.75">
      <c r="A450" s="856" t="s">
        <v>1125</v>
      </c>
      <c r="B450" s="792" t="s">
        <v>1126</v>
      </c>
      <c r="C450" s="889">
        <v>1.8E-3</v>
      </c>
      <c r="D450" s="859" t="s">
        <v>3</v>
      </c>
      <c r="E450" s="804">
        <v>2.6E-7</v>
      </c>
      <c r="F450" s="859" t="s">
        <v>3</v>
      </c>
      <c r="G450" s="843" t="s">
        <v>1750</v>
      </c>
      <c r="H450" s="858" t="s">
        <v>43</v>
      </c>
      <c r="I450" s="804">
        <v>3</v>
      </c>
      <c r="J450" s="859" t="s">
        <v>280</v>
      </c>
      <c r="K450" s="859" t="s">
        <v>1634</v>
      </c>
      <c r="L450" s="858" t="s">
        <v>43</v>
      </c>
      <c r="M450" s="859">
        <v>1</v>
      </c>
      <c r="N450" s="870" t="s">
        <v>1750</v>
      </c>
      <c r="O450" s="805">
        <v>8870</v>
      </c>
      <c r="P450" s="861">
        <v>47</v>
      </c>
      <c r="Q450" s="862" t="s">
        <v>2283</v>
      </c>
      <c r="R450" s="861">
        <v>210</v>
      </c>
      <c r="S450" s="862" t="s">
        <v>2283</v>
      </c>
      <c r="T450" s="861">
        <v>11</v>
      </c>
      <c r="U450" s="862" t="s">
        <v>2283</v>
      </c>
      <c r="V450" s="861">
        <v>47</v>
      </c>
      <c r="W450" s="862" t="s">
        <v>2283</v>
      </c>
      <c r="X450" s="861">
        <v>14</v>
      </c>
      <c r="Y450" s="865" t="s">
        <v>2283</v>
      </c>
      <c r="Z450" s="866" t="s">
        <v>43</v>
      </c>
      <c r="AA450" s="867">
        <v>3.2000000000000002E-3</v>
      </c>
      <c r="AB450" s="868" t="s">
        <v>2283</v>
      </c>
      <c r="AC450" s="869" t="s">
        <v>1750</v>
      </c>
    </row>
    <row r="451" spans="1:29" ht="46.5" thickBot="1">
      <c r="A451" s="871" t="s">
        <v>1827</v>
      </c>
      <c r="B451" s="807" t="s">
        <v>1828</v>
      </c>
      <c r="C451" s="872" t="s">
        <v>1750</v>
      </c>
      <c r="D451" s="873" t="s">
        <v>43</v>
      </c>
      <c r="E451" s="847" t="s">
        <v>1750</v>
      </c>
      <c r="F451" s="873" t="s">
        <v>43</v>
      </c>
      <c r="G451" s="819">
        <v>2.9999999999999997E-4</v>
      </c>
      <c r="H451" s="874" t="s">
        <v>0</v>
      </c>
      <c r="I451" s="847" t="s">
        <v>1750</v>
      </c>
      <c r="J451" s="873" t="s">
        <v>43</v>
      </c>
      <c r="K451" s="873" t="s">
        <v>43</v>
      </c>
      <c r="L451" s="873" t="s">
        <v>43</v>
      </c>
      <c r="M451" s="874">
        <v>1</v>
      </c>
      <c r="N451" s="874">
        <v>0.1</v>
      </c>
      <c r="O451" s="875" t="s">
        <v>1750</v>
      </c>
      <c r="P451" s="876">
        <v>19</v>
      </c>
      <c r="Q451" s="877" t="s">
        <v>179</v>
      </c>
      <c r="R451" s="876">
        <v>250</v>
      </c>
      <c r="S451" s="877" t="s">
        <v>179</v>
      </c>
      <c r="T451" s="878" t="s">
        <v>1750</v>
      </c>
      <c r="U451" s="879" t="s">
        <v>43</v>
      </c>
      <c r="V451" s="878" t="s">
        <v>1750</v>
      </c>
      <c r="W451" s="879" t="s">
        <v>43</v>
      </c>
      <c r="X451" s="876">
        <v>6</v>
      </c>
      <c r="Y451" s="880" t="s">
        <v>179</v>
      </c>
      <c r="Z451" s="881" t="s">
        <v>43</v>
      </c>
      <c r="AA451" s="882">
        <v>3.5999999999999999E-3</v>
      </c>
      <c r="AB451" s="883" t="s">
        <v>179</v>
      </c>
      <c r="AC451" s="884" t="s">
        <v>1750</v>
      </c>
    </row>
    <row r="452" spans="1:29" ht="30.75">
      <c r="A452" s="856" t="s">
        <v>1127</v>
      </c>
      <c r="B452" s="792" t="s">
        <v>1128</v>
      </c>
      <c r="C452" s="889">
        <v>8.9999999999999993E-3</v>
      </c>
      <c r="D452" s="859" t="s">
        <v>281</v>
      </c>
      <c r="E452" s="843" t="s">
        <v>1750</v>
      </c>
      <c r="F452" s="858" t="s">
        <v>43</v>
      </c>
      <c r="G452" s="804">
        <v>0.02</v>
      </c>
      <c r="H452" s="859" t="s">
        <v>0</v>
      </c>
      <c r="I452" s="843" t="s">
        <v>1750</v>
      </c>
      <c r="J452" s="858" t="s">
        <v>43</v>
      </c>
      <c r="K452" s="858" t="s">
        <v>43</v>
      </c>
      <c r="L452" s="858" t="s">
        <v>43</v>
      </c>
      <c r="M452" s="859">
        <v>1</v>
      </c>
      <c r="N452" s="859">
        <v>0.1</v>
      </c>
      <c r="O452" s="860" t="s">
        <v>1750</v>
      </c>
      <c r="P452" s="861">
        <v>60</v>
      </c>
      <c r="Q452" s="862" t="s">
        <v>2279</v>
      </c>
      <c r="R452" s="861">
        <v>260</v>
      </c>
      <c r="S452" s="862" t="s">
        <v>2279</v>
      </c>
      <c r="T452" s="863" t="s">
        <v>1750</v>
      </c>
      <c r="U452" s="864" t="s">
        <v>43</v>
      </c>
      <c r="V452" s="863" t="s">
        <v>1750</v>
      </c>
      <c r="W452" s="864" t="s">
        <v>43</v>
      </c>
      <c r="X452" s="861">
        <v>8.1999999999999993</v>
      </c>
      <c r="Y452" s="865" t="s">
        <v>2279</v>
      </c>
      <c r="Z452" s="866" t="s">
        <v>43</v>
      </c>
      <c r="AA452" s="867">
        <v>4.5999999999999999E-3</v>
      </c>
      <c r="AB452" s="868" t="s">
        <v>2279</v>
      </c>
      <c r="AC452" s="869" t="s">
        <v>1750</v>
      </c>
    </row>
    <row r="453" spans="1:29" ht="45.75">
      <c r="A453" s="856" t="s">
        <v>1129</v>
      </c>
      <c r="B453" s="792" t="s">
        <v>1130</v>
      </c>
      <c r="C453" s="889">
        <v>8.3000000000000007</v>
      </c>
      <c r="D453" s="859" t="s">
        <v>3</v>
      </c>
      <c r="E453" s="804">
        <v>2.3999999999999998E-3</v>
      </c>
      <c r="F453" s="859" t="s">
        <v>3</v>
      </c>
      <c r="G453" s="843" t="s">
        <v>1750</v>
      </c>
      <c r="H453" s="858" t="s">
        <v>43</v>
      </c>
      <c r="I453" s="843" t="s">
        <v>1750</v>
      </c>
      <c r="J453" s="858" t="s">
        <v>43</v>
      </c>
      <c r="K453" s="858" t="s">
        <v>43</v>
      </c>
      <c r="L453" s="858" t="s">
        <v>43</v>
      </c>
      <c r="M453" s="859">
        <v>1</v>
      </c>
      <c r="N453" s="859">
        <v>0.1</v>
      </c>
      <c r="O453" s="860" t="s">
        <v>1750</v>
      </c>
      <c r="P453" s="861">
        <v>6.5000000000000002E-2</v>
      </c>
      <c r="Q453" s="862" t="s">
        <v>2283</v>
      </c>
      <c r="R453" s="861">
        <v>0.28000000000000003</v>
      </c>
      <c r="S453" s="862" t="s">
        <v>2283</v>
      </c>
      <c r="T453" s="861">
        <v>1.1999999999999999E-3</v>
      </c>
      <c r="U453" s="862" t="s">
        <v>2283</v>
      </c>
      <c r="V453" s="861">
        <v>5.1000000000000004E-3</v>
      </c>
      <c r="W453" s="862" t="s">
        <v>2283</v>
      </c>
      <c r="X453" s="861">
        <v>9.4000000000000004E-3</v>
      </c>
      <c r="Y453" s="865" t="s">
        <v>2283</v>
      </c>
      <c r="Z453" s="866" t="s">
        <v>43</v>
      </c>
      <c r="AA453" s="867">
        <v>3.1999999999999999E-6</v>
      </c>
      <c r="AB453" s="868" t="s">
        <v>2283</v>
      </c>
      <c r="AC453" s="869" t="s">
        <v>1750</v>
      </c>
    </row>
    <row r="454" spans="1:29" ht="31.5" thickBot="1">
      <c r="A454" s="871" t="s">
        <v>1131</v>
      </c>
      <c r="B454" s="807" t="s">
        <v>1132</v>
      </c>
      <c r="C454" s="890">
        <v>0.13</v>
      </c>
      <c r="D454" s="874" t="s">
        <v>3</v>
      </c>
      <c r="E454" s="819">
        <v>3.6999999999999998E-5</v>
      </c>
      <c r="F454" s="874" t="s">
        <v>3</v>
      </c>
      <c r="G454" s="847" t="s">
        <v>1750</v>
      </c>
      <c r="H454" s="873" t="s">
        <v>43</v>
      </c>
      <c r="I454" s="847" t="s">
        <v>1750</v>
      </c>
      <c r="J454" s="873" t="s">
        <v>43</v>
      </c>
      <c r="K454" s="873" t="s">
        <v>43</v>
      </c>
      <c r="L454" s="873" t="s">
        <v>43</v>
      </c>
      <c r="M454" s="874">
        <v>1</v>
      </c>
      <c r="N454" s="874">
        <v>0.1</v>
      </c>
      <c r="O454" s="875" t="s">
        <v>1750</v>
      </c>
      <c r="P454" s="876">
        <v>4.2</v>
      </c>
      <c r="Q454" s="877" t="s">
        <v>2283</v>
      </c>
      <c r="R454" s="876">
        <v>18</v>
      </c>
      <c r="S454" s="877" t="s">
        <v>2283</v>
      </c>
      <c r="T454" s="876">
        <v>7.5999999999999998E-2</v>
      </c>
      <c r="U454" s="877" t="s">
        <v>2283</v>
      </c>
      <c r="V454" s="876">
        <v>0.33</v>
      </c>
      <c r="W454" s="877" t="s">
        <v>2283</v>
      </c>
      <c r="X454" s="876">
        <v>0.6</v>
      </c>
      <c r="Y454" s="880" t="s">
        <v>2283</v>
      </c>
      <c r="Z454" s="881" t="s">
        <v>43</v>
      </c>
      <c r="AA454" s="882">
        <v>2.5999999999999998E-4</v>
      </c>
      <c r="AB454" s="883" t="s">
        <v>2283</v>
      </c>
      <c r="AC454" s="884" t="s">
        <v>1750</v>
      </c>
    </row>
    <row r="455" spans="1:29" ht="15.75">
      <c r="A455" s="856" t="s">
        <v>1133</v>
      </c>
      <c r="B455" s="792" t="s">
        <v>1134</v>
      </c>
      <c r="C455" s="857" t="s">
        <v>1750</v>
      </c>
      <c r="D455" s="858" t="s">
        <v>43</v>
      </c>
      <c r="E455" s="843" t="s">
        <v>1750</v>
      </c>
      <c r="F455" s="858" t="s">
        <v>43</v>
      </c>
      <c r="G455" s="804">
        <v>0.01</v>
      </c>
      <c r="H455" s="859" t="s">
        <v>18</v>
      </c>
      <c r="I455" s="843" t="s">
        <v>1750</v>
      </c>
      <c r="J455" s="858" t="s">
        <v>43</v>
      </c>
      <c r="K455" s="858" t="s">
        <v>43</v>
      </c>
      <c r="L455" s="858" t="s">
        <v>43</v>
      </c>
      <c r="M455" s="859">
        <v>1</v>
      </c>
      <c r="N455" s="859">
        <v>0.1</v>
      </c>
      <c r="O455" s="860" t="s">
        <v>1750</v>
      </c>
      <c r="P455" s="861">
        <v>630</v>
      </c>
      <c r="Q455" s="862" t="s">
        <v>179</v>
      </c>
      <c r="R455" s="861">
        <v>8200</v>
      </c>
      <c r="S455" s="862" t="s">
        <v>179</v>
      </c>
      <c r="T455" s="863" t="s">
        <v>1750</v>
      </c>
      <c r="U455" s="864" t="s">
        <v>43</v>
      </c>
      <c r="V455" s="863" t="s">
        <v>1750</v>
      </c>
      <c r="W455" s="864" t="s">
        <v>43</v>
      </c>
      <c r="X455" s="861">
        <v>200</v>
      </c>
      <c r="Y455" s="865" t="s">
        <v>179</v>
      </c>
      <c r="Z455" s="866" t="s">
        <v>43</v>
      </c>
      <c r="AA455" s="867">
        <v>5.8000000000000003E-2</v>
      </c>
      <c r="AB455" s="868" t="s">
        <v>179</v>
      </c>
      <c r="AC455" s="869" t="s">
        <v>1750</v>
      </c>
    </row>
    <row r="456" spans="1:29" ht="60.75">
      <c r="A456" s="856" t="s">
        <v>1829</v>
      </c>
      <c r="B456" s="792" t="s">
        <v>1830</v>
      </c>
      <c r="C456" s="857" t="s">
        <v>1750</v>
      </c>
      <c r="D456" s="858" t="s">
        <v>43</v>
      </c>
      <c r="E456" s="843" t="s">
        <v>1750</v>
      </c>
      <c r="F456" s="858" t="s">
        <v>43</v>
      </c>
      <c r="G456" s="804">
        <v>2.0000000000000001E-4</v>
      </c>
      <c r="H456" s="859" t="s">
        <v>0</v>
      </c>
      <c r="I456" s="843" t="s">
        <v>1750</v>
      </c>
      <c r="J456" s="858" t="s">
        <v>43</v>
      </c>
      <c r="K456" s="858" t="s">
        <v>43</v>
      </c>
      <c r="L456" s="858" t="s">
        <v>43</v>
      </c>
      <c r="M456" s="859">
        <v>1</v>
      </c>
      <c r="N456" s="859">
        <v>0.1</v>
      </c>
      <c r="O456" s="860" t="s">
        <v>1750</v>
      </c>
      <c r="P456" s="861">
        <v>13</v>
      </c>
      <c r="Q456" s="862" t="s">
        <v>179</v>
      </c>
      <c r="R456" s="861">
        <v>160</v>
      </c>
      <c r="S456" s="862" t="s">
        <v>179</v>
      </c>
      <c r="T456" s="863" t="s">
        <v>1750</v>
      </c>
      <c r="U456" s="864" t="s">
        <v>43</v>
      </c>
      <c r="V456" s="863" t="s">
        <v>1750</v>
      </c>
      <c r="W456" s="864" t="s">
        <v>43</v>
      </c>
      <c r="X456" s="861">
        <v>4</v>
      </c>
      <c r="Y456" s="865" t="s">
        <v>179</v>
      </c>
      <c r="Z456" s="866" t="s">
        <v>43</v>
      </c>
      <c r="AA456" s="886" t="s">
        <v>1750</v>
      </c>
      <c r="AB456" s="868" t="s">
        <v>179</v>
      </c>
      <c r="AC456" s="869" t="s">
        <v>1750</v>
      </c>
    </row>
    <row r="457" spans="1:29" ht="31.5" thickBot="1">
      <c r="A457" s="871" t="s">
        <v>1831</v>
      </c>
      <c r="B457" s="807" t="s">
        <v>1832</v>
      </c>
      <c r="C457" s="890">
        <v>0.1</v>
      </c>
      <c r="D457" s="874" t="s">
        <v>0</v>
      </c>
      <c r="E457" s="847" t="s">
        <v>1750</v>
      </c>
      <c r="F457" s="873" t="s">
        <v>43</v>
      </c>
      <c r="G457" s="819">
        <v>2.9999999999999997E-4</v>
      </c>
      <c r="H457" s="874" t="s">
        <v>0</v>
      </c>
      <c r="I457" s="847" t="s">
        <v>1750</v>
      </c>
      <c r="J457" s="873" t="s">
        <v>43</v>
      </c>
      <c r="K457" s="873" t="s">
        <v>43</v>
      </c>
      <c r="L457" s="873" t="s">
        <v>43</v>
      </c>
      <c r="M457" s="874">
        <v>1</v>
      </c>
      <c r="N457" s="874">
        <v>0.1</v>
      </c>
      <c r="O457" s="875" t="s">
        <v>1750</v>
      </c>
      <c r="P457" s="876">
        <v>5.4</v>
      </c>
      <c r="Q457" s="877" t="s">
        <v>2278</v>
      </c>
      <c r="R457" s="876">
        <v>23</v>
      </c>
      <c r="S457" s="877" t="s">
        <v>2279</v>
      </c>
      <c r="T457" s="878" t="s">
        <v>1750</v>
      </c>
      <c r="U457" s="879" t="s">
        <v>43</v>
      </c>
      <c r="V457" s="878" t="s">
        <v>1750</v>
      </c>
      <c r="W457" s="879" t="s">
        <v>43</v>
      </c>
      <c r="X457" s="876">
        <v>0.78</v>
      </c>
      <c r="Y457" s="880" t="s">
        <v>2278</v>
      </c>
      <c r="Z457" s="881" t="s">
        <v>43</v>
      </c>
      <c r="AA457" s="895" t="s">
        <v>1750</v>
      </c>
      <c r="AB457" s="883" t="s">
        <v>2278</v>
      </c>
      <c r="AC457" s="884" t="s">
        <v>1750</v>
      </c>
    </row>
    <row r="458" spans="1:29" ht="30.75">
      <c r="A458" s="856" t="s">
        <v>1135</v>
      </c>
      <c r="B458" s="792" t="s">
        <v>1136</v>
      </c>
      <c r="C458" s="889">
        <v>22</v>
      </c>
      <c r="D458" s="859" t="s">
        <v>3</v>
      </c>
      <c r="E458" s="804">
        <v>6.3E-3</v>
      </c>
      <c r="F458" s="859" t="s">
        <v>3</v>
      </c>
      <c r="G458" s="843" t="s">
        <v>1750</v>
      </c>
      <c r="H458" s="858" t="s">
        <v>43</v>
      </c>
      <c r="I458" s="843" t="s">
        <v>1750</v>
      </c>
      <c r="J458" s="858" t="s">
        <v>43</v>
      </c>
      <c r="K458" s="858" t="s">
        <v>43</v>
      </c>
      <c r="L458" s="859" t="s">
        <v>247</v>
      </c>
      <c r="M458" s="859">
        <v>1</v>
      </c>
      <c r="N458" s="859">
        <v>0.1</v>
      </c>
      <c r="O458" s="860" t="s">
        <v>1750</v>
      </c>
      <c r="P458" s="861">
        <v>5.4999999999999997E-3</v>
      </c>
      <c r="Q458" s="862" t="s">
        <v>2283</v>
      </c>
      <c r="R458" s="861">
        <v>0.1</v>
      </c>
      <c r="S458" s="862" t="s">
        <v>2283</v>
      </c>
      <c r="T458" s="861">
        <v>1.6000000000000001E-4</v>
      </c>
      <c r="U458" s="862" t="s">
        <v>2283</v>
      </c>
      <c r="V458" s="861">
        <v>1.9E-3</v>
      </c>
      <c r="W458" s="862" t="s">
        <v>2283</v>
      </c>
      <c r="X458" s="861">
        <v>1.1000000000000001E-3</v>
      </c>
      <c r="Y458" s="865" t="s">
        <v>2283</v>
      </c>
      <c r="Z458" s="866" t="s">
        <v>43</v>
      </c>
      <c r="AA458" s="867">
        <v>2.2000000000000001E-3</v>
      </c>
      <c r="AB458" s="868" t="s">
        <v>2283</v>
      </c>
      <c r="AC458" s="869" t="s">
        <v>1750</v>
      </c>
    </row>
    <row r="459" spans="1:29" ht="30.75">
      <c r="A459" s="856" t="s">
        <v>1137</v>
      </c>
      <c r="B459" s="792" t="s">
        <v>1138</v>
      </c>
      <c r="C459" s="889">
        <v>2E-3</v>
      </c>
      <c r="D459" s="859" t="s">
        <v>280</v>
      </c>
      <c r="E459" s="804">
        <v>1E-8</v>
      </c>
      <c r="F459" s="859" t="s">
        <v>280</v>
      </c>
      <c r="G459" s="804">
        <v>6.0000000000000001E-3</v>
      </c>
      <c r="H459" s="859" t="s">
        <v>280</v>
      </c>
      <c r="I459" s="804">
        <v>0.6</v>
      </c>
      <c r="J459" s="859" t="s">
        <v>280</v>
      </c>
      <c r="K459" s="859" t="s">
        <v>1634</v>
      </c>
      <c r="L459" s="859" t="s">
        <v>247</v>
      </c>
      <c r="M459" s="859">
        <v>1</v>
      </c>
      <c r="N459" s="870" t="s">
        <v>1750</v>
      </c>
      <c r="O459" s="805">
        <v>3320</v>
      </c>
      <c r="P459" s="861">
        <v>57</v>
      </c>
      <c r="Q459" s="862" t="s">
        <v>2278</v>
      </c>
      <c r="R459" s="861">
        <v>1000</v>
      </c>
      <c r="S459" s="862" t="s">
        <v>2278</v>
      </c>
      <c r="T459" s="861">
        <v>100</v>
      </c>
      <c r="U459" s="862" t="s">
        <v>2278</v>
      </c>
      <c r="V459" s="861">
        <v>1200</v>
      </c>
      <c r="W459" s="862" t="s">
        <v>2278</v>
      </c>
      <c r="X459" s="861">
        <v>11</v>
      </c>
      <c r="Y459" s="865" t="s">
        <v>2278</v>
      </c>
      <c r="Z459" s="891">
        <v>5</v>
      </c>
      <c r="AA459" s="867">
        <v>2.8999999999999998E-3</v>
      </c>
      <c r="AB459" s="868" t="s">
        <v>2278</v>
      </c>
      <c r="AC459" s="892">
        <v>1.2999999999999999E-3</v>
      </c>
    </row>
    <row r="460" spans="1:29" ht="31.5" thickBot="1">
      <c r="A460" s="871" t="s">
        <v>1139</v>
      </c>
      <c r="B460" s="807" t="s">
        <v>1140</v>
      </c>
      <c r="C460" s="890">
        <v>0.1</v>
      </c>
      <c r="D460" s="874" t="s">
        <v>281</v>
      </c>
      <c r="E460" s="819">
        <v>4.2999999999999999E-4</v>
      </c>
      <c r="F460" s="874" t="s">
        <v>3</v>
      </c>
      <c r="G460" s="819">
        <v>2E-3</v>
      </c>
      <c r="H460" s="874" t="s">
        <v>281</v>
      </c>
      <c r="I460" s="847" t="s">
        <v>1750</v>
      </c>
      <c r="J460" s="873" t="s">
        <v>43</v>
      </c>
      <c r="K460" s="873" t="s">
        <v>43</v>
      </c>
      <c r="L460" s="874" t="s">
        <v>247</v>
      </c>
      <c r="M460" s="874">
        <v>1</v>
      </c>
      <c r="N460" s="874">
        <v>0.1</v>
      </c>
      <c r="O460" s="875" t="s">
        <v>1750</v>
      </c>
      <c r="P460" s="876">
        <v>1.2</v>
      </c>
      <c r="Q460" s="877" t="s">
        <v>2283</v>
      </c>
      <c r="R460" s="876">
        <v>23</v>
      </c>
      <c r="S460" s="877" t="s">
        <v>2279</v>
      </c>
      <c r="T460" s="876">
        <v>2.3999999999999998E-3</v>
      </c>
      <c r="U460" s="877" t="s">
        <v>2283</v>
      </c>
      <c r="V460" s="876">
        <v>2.9000000000000001E-2</v>
      </c>
      <c r="W460" s="877" t="s">
        <v>2283</v>
      </c>
      <c r="X460" s="876">
        <v>0.16</v>
      </c>
      <c r="Y460" s="880" t="s">
        <v>2283</v>
      </c>
      <c r="Z460" s="881" t="s">
        <v>43</v>
      </c>
      <c r="AA460" s="882">
        <v>1.8E-3</v>
      </c>
      <c r="AB460" s="883" t="s">
        <v>2283</v>
      </c>
      <c r="AC460" s="884" t="s">
        <v>1750</v>
      </c>
    </row>
    <row r="461" spans="1:29" ht="45.75">
      <c r="A461" s="856" t="s">
        <v>1141</v>
      </c>
      <c r="B461" s="792" t="s">
        <v>1142</v>
      </c>
      <c r="C461" s="889">
        <v>4.5999999999999999E-2</v>
      </c>
      <c r="D461" s="859" t="s">
        <v>280</v>
      </c>
      <c r="E461" s="804">
        <v>1.2999999999999999E-5</v>
      </c>
      <c r="F461" s="859" t="s">
        <v>3</v>
      </c>
      <c r="G461" s="843" t="s">
        <v>1750</v>
      </c>
      <c r="H461" s="858" t="s">
        <v>43</v>
      </c>
      <c r="I461" s="843" t="s">
        <v>1750</v>
      </c>
      <c r="J461" s="858" t="s">
        <v>43</v>
      </c>
      <c r="K461" s="858" t="s">
        <v>43</v>
      </c>
      <c r="L461" s="858" t="s">
        <v>43</v>
      </c>
      <c r="M461" s="859">
        <v>1</v>
      </c>
      <c r="N461" s="859">
        <v>0.1</v>
      </c>
      <c r="O461" s="860" t="s">
        <v>1750</v>
      </c>
      <c r="P461" s="861">
        <v>12</v>
      </c>
      <c r="Q461" s="862" t="s">
        <v>2283</v>
      </c>
      <c r="R461" s="861">
        <v>50</v>
      </c>
      <c r="S461" s="862" t="s">
        <v>2283</v>
      </c>
      <c r="T461" s="861">
        <v>0.22</v>
      </c>
      <c r="U461" s="862" t="s">
        <v>2283</v>
      </c>
      <c r="V461" s="861">
        <v>0.94</v>
      </c>
      <c r="W461" s="862" t="s">
        <v>2283</v>
      </c>
      <c r="X461" s="861">
        <v>0.48</v>
      </c>
      <c r="Y461" s="865" t="s">
        <v>2283</v>
      </c>
      <c r="Z461" s="866" t="s">
        <v>43</v>
      </c>
      <c r="AA461" s="867">
        <v>2.5999999999999999E-3</v>
      </c>
      <c r="AB461" s="868" t="s">
        <v>2283</v>
      </c>
      <c r="AC461" s="869" t="s">
        <v>1750</v>
      </c>
    </row>
    <row r="462" spans="1:29" ht="30.75">
      <c r="A462" s="856" t="s">
        <v>1143</v>
      </c>
      <c r="B462" s="792" t="s">
        <v>1144</v>
      </c>
      <c r="C462" s="889">
        <v>1.6</v>
      </c>
      <c r="D462" s="859" t="s">
        <v>3</v>
      </c>
      <c r="E462" s="804">
        <v>4.6000000000000001E-4</v>
      </c>
      <c r="F462" s="859" t="s">
        <v>3</v>
      </c>
      <c r="G462" s="843" t="s">
        <v>1750</v>
      </c>
      <c r="H462" s="858" t="s">
        <v>43</v>
      </c>
      <c r="I462" s="804">
        <v>0.02</v>
      </c>
      <c r="J462" s="859" t="s">
        <v>3</v>
      </c>
      <c r="K462" s="858" t="s">
        <v>43</v>
      </c>
      <c r="L462" s="858" t="s">
        <v>43</v>
      </c>
      <c r="M462" s="859">
        <v>1</v>
      </c>
      <c r="N462" s="859">
        <v>0.1</v>
      </c>
      <c r="O462" s="860" t="s">
        <v>1750</v>
      </c>
      <c r="P462" s="861">
        <v>0.34</v>
      </c>
      <c r="Q462" s="862" t="s">
        <v>2283</v>
      </c>
      <c r="R462" s="861">
        <v>1.4</v>
      </c>
      <c r="S462" s="862" t="s">
        <v>2283</v>
      </c>
      <c r="T462" s="861">
        <v>6.1000000000000004E-3</v>
      </c>
      <c r="U462" s="862" t="s">
        <v>2283</v>
      </c>
      <c r="V462" s="861">
        <v>2.7E-2</v>
      </c>
      <c r="W462" s="862" t="s">
        <v>2283</v>
      </c>
      <c r="X462" s="861">
        <v>4.7E-2</v>
      </c>
      <c r="Y462" s="865" t="s">
        <v>2283</v>
      </c>
      <c r="Z462" s="866" t="s">
        <v>43</v>
      </c>
      <c r="AA462" s="867">
        <v>2.1000000000000001E-4</v>
      </c>
      <c r="AB462" s="868" t="s">
        <v>2283</v>
      </c>
      <c r="AC462" s="869" t="s">
        <v>1750</v>
      </c>
    </row>
    <row r="463" spans="1:29" ht="31.5" thickBot="1">
      <c r="A463" s="871" t="s">
        <v>1145</v>
      </c>
      <c r="B463" s="807" t="s">
        <v>1146</v>
      </c>
      <c r="C463" s="872" t="s">
        <v>1750</v>
      </c>
      <c r="D463" s="873" t="s">
        <v>43</v>
      </c>
      <c r="E463" s="847" t="s">
        <v>1750</v>
      </c>
      <c r="F463" s="873" t="s">
        <v>43</v>
      </c>
      <c r="G463" s="847" t="s">
        <v>1750</v>
      </c>
      <c r="H463" s="873" t="s">
        <v>43</v>
      </c>
      <c r="I463" s="819">
        <v>5.9999999999999995E-4</v>
      </c>
      <c r="J463" s="874" t="s">
        <v>280</v>
      </c>
      <c r="K463" s="873" t="s">
        <v>43</v>
      </c>
      <c r="L463" s="873" t="s">
        <v>43</v>
      </c>
      <c r="M463" s="874">
        <v>1</v>
      </c>
      <c r="N463" s="874">
        <v>0.1</v>
      </c>
      <c r="O463" s="875" t="s">
        <v>1750</v>
      </c>
      <c r="P463" s="876">
        <v>850000</v>
      </c>
      <c r="Q463" s="877" t="s">
        <v>2281</v>
      </c>
      <c r="R463" s="876">
        <v>3600000</v>
      </c>
      <c r="S463" s="877" t="s">
        <v>2281</v>
      </c>
      <c r="T463" s="876">
        <v>0.63</v>
      </c>
      <c r="U463" s="877" t="s">
        <v>179</v>
      </c>
      <c r="V463" s="876">
        <v>2.6</v>
      </c>
      <c r="W463" s="877" t="s">
        <v>179</v>
      </c>
      <c r="X463" s="878" t="s">
        <v>1750</v>
      </c>
      <c r="Y463" s="896" t="s">
        <v>43</v>
      </c>
      <c r="Z463" s="881" t="s">
        <v>43</v>
      </c>
      <c r="AA463" s="895" t="s">
        <v>1750</v>
      </c>
      <c r="AB463" s="897" t="s">
        <v>43</v>
      </c>
      <c r="AC463" s="884" t="s">
        <v>1750</v>
      </c>
    </row>
    <row r="464" spans="1:29" ht="30.75">
      <c r="A464" s="856" t="s">
        <v>1147</v>
      </c>
      <c r="B464" s="792" t="s">
        <v>1148</v>
      </c>
      <c r="C464" s="857" t="s">
        <v>1750</v>
      </c>
      <c r="D464" s="858" t="s">
        <v>43</v>
      </c>
      <c r="E464" s="843" t="s">
        <v>1750</v>
      </c>
      <c r="F464" s="858" t="s">
        <v>43</v>
      </c>
      <c r="G464" s="804">
        <v>7.0000000000000007E-2</v>
      </c>
      <c r="H464" s="859" t="s">
        <v>13</v>
      </c>
      <c r="I464" s="843" t="s">
        <v>1750</v>
      </c>
      <c r="J464" s="858" t="s">
        <v>43</v>
      </c>
      <c r="K464" s="859" t="s">
        <v>1634</v>
      </c>
      <c r="L464" s="858" t="s">
        <v>43</v>
      </c>
      <c r="M464" s="859">
        <v>1</v>
      </c>
      <c r="N464" s="870" t="s">
        <v>1750</v>
      </c>
      <c r="O464" s="805">
        <v>500</v>
      </c>
      <c r="P464" s="861">
        <v>5500</v>
      </c>
      <c r="Q464" s="862" t="s">
        <v>2282</v>
      </c>
      <c r="R464" s="861">
        <v>82000</v>
      </c>
      <c r="S464" s="862" t="s">
        <v>2282</v>
      </c>
      <c r="T464" s="863" t="s">
        <v>1750</v>
      </c>
      <c r="U464" s="864" t="s">
        <v>43</v>
      </c>
      <c r="V464" s="863" t="s">
        <v>1750</v>
      </c>
      <c r="W464" s="864" t="s">
        <v>43</v>
      </c>
      <c r="X464" s="861">
        <v>780</v>
      </c>
      <c r="Y464" s="865" t="s">
        <v>179</v>
      </c>
      <c r="Z464" s="866" t="s">
        <v>43</v>
      </c>
      <c r="AA464" s="867">
        <v>1.2</v>
      </c>
      <c r="AB464" s="868" t="s">
        <v>179</v>
      </c>
      <c r="AC464" s="869" t="s">
        <v>1750</v>
      </c>
    </row>
    <row r="465" spans="1:29" ht="30.75">
      <c r="A465" s="856" t="s">
        <v>1149</v>
      </c>
      <c r="B465" s="792" t="s">
        <v>1150</v>
      </c>
      <c r="C465" s="857" t="s">
        <v>1750</v>
      </c>
      <c r="D465" s="858" t="s">
        <v>43</v>
      </c>
      <c r="E465" s="843" t="s">
        <v>1750</v>
      </c>
      <c r="F465" s="858" t="s">
        <v>43</v>
      </c>
      <c r="G465" s="804">
        <v>0.15</v>
      </c>
      <c r="H465" s="859" t="s">
        <v>280</v>
      </c>
      <c r="I465" s="843" t="s">
        <v>1750</v>
      </c>
      <c r="J465" s="858" t="s">
        <v>43</v>
      </c>
      <c r="K465" s="858" t="s">
        <v>43</v>
      </c>
      <c r="L465" s="858" t="s">
        <v>43</v>
      </c>
      <c r="M465" s="859">
        <v>1</v>
      </c>
      <c r="N465" s="859">
        <v>0.1</v>
      </c>
      <c r="O465" s="860" t="s">
        <v>1750</v>
      </c>
      <c r="P465" s="861">
        <v>9500</v>
      </c>
      <c r="Q465" s="862" t="s">
        <v>179</v>
      </c>
      <c r="R465" s="861">
        <v>120000</v>
      </c>
      <c r="S465" s="862" t="s">
        <v>2281</v>
      </c>
      <c r="T465" s="863" t="s">
        <v>1750</v>
      </c>
      <c r="U465" s="864" t="s">
        <v>43</v>
      </c>
      <c r="V465" s="863" t="s">
        <v>1750</v>
      </c>
      <c r="W465" s="864" t="s">
        <v>43</v>
      </c>
      <c r="X465" s="861">
        <v>2700</v>
      </c>
      <c r="Y465" s="865" t="s">
        <v>179</v>
      </c>
      <c r="Z465" s="866" t="s">
        <v>43</v>
      </c>
      <c r="AA465" s="867">
        <v>3.2</v>
      </c>
      <c r="AB465" s="868" t="s">
        <v>179</v>
      </c>
      <c r="AC465" s="869" t="s">
        <v>1750</v>
      </c>
    </row>
    <row r="466" spans="1:29" ht="31.5" thickBot="1">
      <c r="A466" s="871" t="s">
        <v>1151</v>
      </c>
      <c r="B466" s="807" t="s">
        <v>1152</v>
      </c>
      <c r="C466" s="872" t="s">
        <v>1750</v>
      </c>
      <c r="D466" s="873" t="s">
        <v>43</v>
      </c>
      <c r="E466" s="847" t="s">
        <v>1750</v>
      </c>
      <c r="F466" s="873" t="s">
        <v>43</v>
      </c>
      <c r="G466" s="819">
        <v>2.5000000000000001E-2</v>
      </c>
      <c r="H466" s="874" t="s">
        <v>280</v>
      </c>
      <c r="I466" s="847" t="s">
        <v>1750</v>
      </c>
      <c r="J466" s="873" t="s">
        <v>43</v>
      </c>
      <c r="K466" s="873" t="s">
        <v>43</v>
      </c>
      <c r="L466" s="873" t="s">
        <v>43</v>
      </c>
      <c r="M466" s="874">
        <v>1</v>
      </c>
      <c r="N466" s="874">
        <v>0.1</v>
      </c>
      <c r="O466" s="875" t="s">
        <v>1750</v>
      </c>
      <c r="P466" s="876">
        <v>1600</v>
      </c>
      <c r="Q466" s="877" t="s">
        <v>179</v>
      </c>
      <c r="R466" s="876">
        <v>21000</v>
      </c>
      <c r="S466" s="877" t="s">
        <v>179</v>
      </c>
      <c r="T466" s="878" t="s">
        <v>1750</v>
      </c>
      <c r="U466" s="879" t="s">
        <v>43</v>
      </c>
      <c r="V466" s="878" t="s">
        <v>1750</v>
      </c>
      <c r="W466" s="879" t="s">
        <v>43</v>
      </c>
      <c r="X466" s="876">
        <v>490</v>
      </c>
      <c r="Y466" s="880" t="s">
        <v>179</v>
      </c>
      <c r="Z466" s="881" t="s">
        <v>43</v>
      </c>
      <c r="AA466" s="882">
        <v>0.15</v>
      </c>
      <c r="AB466" s="883" t="s">
        <v>179</v>
      </c>
      <c r="AC466" s="884" t="s">
        <v>1750</v>
      </c>
    </row>
    <row r="467" spans="1:29" ht="30.75">
      <c r="A467" s="856" t="s">
        <v>2232</v>
      </c>
      <c r="B467" s="792" t="s">
        <v>383</v>
      </c>
      <c r="C467" s="857" t="s">
        <v>1750</v>
      </c>
      <c r="D467" s="858" t="s">
        <v>43</v>
      </c>
      <c r="E467" s="843" t="s">
        <v>1750</v>
      </c>
      <c r="F467" s="858" t="s">
        <v>43</v>
      </c>
      <c r="G467" s="804">
        <v>0.25</v>
      </c>
      <c r="H467" s="859" t="s">
        <v>280</v>
      </c>
      <c r="I467" s="843" t="s">
        <v>1750</v>
      </c>
      <c r="J467" s="858" t="s">
        <v>43</v>
      </c>
      <c r="K467" s="858" t="s">
        <v>43</v>
      </c>
      <c r="L467" s="858" t="s">
        <v>43</v>
      </c>
      <c r="M467" s="859">
        <v>1</v>
      </c>
      <c r="N467" s="859">
        <v>0.1</v>
      </c>
      <c r="O467" s="860" t="s">
        <v>1750</v>
      </c>
      <c r="P467" s="861">
        <v>16000</v>
      </c>
      <c r="Q467" s="862" t="s">
        <v>179</v>
      </c>
      <c r="R467" s="861">
        <v>210000</v>
      </c>
      <c r="S467" s="862" t="s">
        <v>2281</v>
      </c>
      <c r="T467" s="863" t="s">
        <v>1750</v>
      </c>
      <c r="U467" s="864" t="s">
        <v>43</v>
      </c>
      <c r="V467" s="863" t="s">
        <v>1750</v>
      </c>
      <c r="W467" s="864" t="s">
        <v>43</v>
      </c>
      <c r="X467" s="861">
        <v>4900</v>
      </c>
      <c r="Y467" s="865" t="s">
        <v>179</v>
      </c>
      <c r="Z467" s="866" t="s">
        <v>43</v>
      </c>
      <c r="AA467" s="867">
        <v>1.9</v>
      </c>
      <c r="AB467" s="868" t="s">
        <v>179</v>
      </c>
      <c r="AC467" s="869" t="s">
        <v>1750</v>
      </c>
    </row>
    <row r="468" spans="1:29" ht="15.75">
      <c r="A468" s="856" t="s">
        <v>1153</v>
      </c>
      <c r="B468" s="792" t="s">
        <v>1154</v>
      </c>
      <c r="C468" s="857" t="s">
        <v>1750</v>
      </c>
      <c r="D468" s="858" t="s">
        <v>43</v>
      </c>
      <c r="E468" s="843" t="s">
        <v>1750</v>
      </c>
      <c r="F468" s="858" t="s">
        <v>43</v>
      </c>
      <c r="G468" s="804">
        <v>3</v>
      </c>
      <c r="H468" s="859" t="s">
        <v>281</v>
      </c>
      <c r="I468" s="843" t="s">
        <v>1750</v>
      </c>
      <c r="J468" s="858" t="s">
        <v>43</v>
      </c>
      <c r="K468" s="859" t="s">
        <v>1634</v>
      </c>
      <c r="L468" s="858" t="s">
        <v>43</v>
      </c>
      <c r="M468" s="859">
        <v>1</v>
      </c>
      <c r="N468" s="870" t="s">
        <v>1750</v>
      </c>
      <c r="O468" s="805">
        <v>0.34200000000000003</v>
      </c>
      <c r="P468" s="861">
        <v>230000</v>
      </c>
      <c r="Q468" s="862" t="s">
        <v>2280</v>
      </c>
      <c r="R468" s="861">
        <v>3500000</v>
      </c>
      <c r="S468" s="862" t="s">
        <v>2280</v>
      </c>
      <c r="T468" s="863" t="s">
        <v>1750</v>
      </c>
      <c r="U468" s="864" t="s">
        <v>43</v>
      </c>
      <c r="V468" s="863" t="s">
        <v>1750</v>
      </c>
      <c r="W468" s="864" t="s">
        <v>43</v>
      </c>
      <c r="X468" s="861">
        <v>60000</v>
      </c>
      <c r="Y468" s="865" t="s">
        <v>179</v>
      </c>
      <c r="Z468" s="866" t="s">
        <v>43</v>
      </c>
      <c r="AA468" s="867">
        <v>2400</v>
      </c>
      <c r="AB468" s="868" t="s">
        <v>179</v>
      </c>
      <c r="AC468" s="869" t="s">
        <v>1750</v>
      </c>
    </row>
    <row r="469" spans="1:29" ht="16.5" thickBot="1">
      <c r="A469" s="871" t="s">
        <v>1155</v>
      </c>
      <c r="B469" s="807" t="s">
        <v>1156</v>
      </c>
      <c r="C469" s="890">
        <v>18</v>
      </c>
      <c r="D469" s="874" t="s">
        <v>3</v>
      </c>
      <c r="E469" s="819">
        <v>5.1000000000000004E-3</v>
      </c>
      <c r="F469" s="874" t="s">
        <v>3</v>
      </c>
      <c r="G469" s="819">
        <v>2.0000000000000001E-4</v>
      </c>
      <c r="H469" s="874" t="s">
        <v>280</v>
      </c>
      <c r="I469" s="847" t="s">
        <v>1750</v>
      </c>
      <c r="J469" s="873" t="s">
        <v>43</v>
      </c>
      <c r="K469" s="874" t="s">
        <v>1634</v>
      </c>
      <c r="L469" s="873" t="s">
        <v>43</v>
      </c>
      <c r="M469" s="874">
        <v>1</v>
      </c>
      <c r="N469" s="888" t="s">
        <v>1750</v>
      </c>
      <c r="O469" s="875" t="s">
        <v>1750</v>
      </c>
      <c r="P469" s="876">
        <v>3.5999999999999997E-2</v>
      </c>
      <c r="Q469" s="877" t="s">
        <v>2283</v>
      </c>
      <c r="R469" s="876">
        <v>0.17</v>
      </c>
      <c r="S469" s="877" t="s">
        <v>2283</v>
      </c>
      <c r="T469" s="876">
        <v>5.5000000000000003E-4</v>
      </c>
      <c r="U469" s="877" t="s">
        <v>2283</v>
      </c>
      <c r="V469" s="876">
        <v>2.3999999999999998E-3</v>
      </c>
      <c r="W469" s="877" t="s">
        <v>2283</v>
      </c>
      <c r="X469" s="876">
        <v>8.8000000000000003E-4</v>
      </c>
      <c r="Y469" s="880" t="s">
        <v>2283</v>
      </c>
      <c r="Z469" s="881" t="s">
        <v>43</v>
      </c>
      <c r="AA469" s="882">
        <v>6.3000000000000003E-4</v>
      </c>
      <c r="AB469" s="883" t="s">
        <v>2283</v>
      </c>
      <c r="AC469" s="884" t="s">
        <v>1750</v>
      </c>
    </row>
    <row r="470" spans="1:29" ht="15.75">
      <c r="A470" s="856" t="s">
        <v>1157</v>
      </c>
      <c r="B470" s="792" t="s">
        <v>1158</v>
      </c>
      <c r="C470" s="857" t="s">
        <v>1750</v>
      </c>
      <c r="D470" s="858" t="s">
        <v>43</v>
      </c>
      <c r="E470" s="843" t="s">
        <v>1750</v>
      </c>
      <c r="F470" s="858" t="s">
        <v>43</v>
      </c>
      <c r="G470" s="804">
        <v>2E-3</v>
      </c>
      <c r="H470" s="859" t="s">
        <v>280</v>
      </c>
      <c r="I470" s="843" t="s">
        <v>1750</v>
      </c>
      <c r="J470" s="858" t="s">
        <v>43</v>
      </c>
      <c r="K470" s="858" t="s">
        <v>43</v>
      </c>
      <c r="L470" s="858" t="s">
        <v>43</v>
      </c>
      <c r="M470" s="859">
        <v>1</v>
      </c>
      <c r="N470" s="859">
        <v>0.1</v>
      </c>
      <c r="O470" s="860" t="s">
        <v>1750</v>
      </c>
      <c r="P470" s="861">
        <v>130</v>
      </c>
      <c r="Q470" s="862" t="s">
        <v>179</v>
      </c>
      <c r="R470" s="861">
        <v>1600</v>
      </c>
      <c r="S470" s="862" t="s">
        <v>179</v>
      </c>
      <c r="T470" s="863" t="s">
        <v>1750</v>
      </c>
      <c r="U470" s="864" t="s">
        <v>43</v>
      </c>
      <c r="V470" s="863" t="s">
        <v>1750</v>
      </c>
      <c r="W470" s="864" t="s">
        <v>43</v>
      </c>
      <c r="X470" s="861">
        <v>30</v>
      </c>
      <c r="Y470" s="865" t="s">
        <v>179</v>
      </c>
      <c r="Z470" s="866" t="s">
        <v>43</v>
      </c>
      <c r="AA470" s="867">
        <v>1.7000000000000001E-2</v>
      </c>
      <c r="AB470" s="868" t="s">
        <v>179</v>
      </c>
      <c r="AC470" s="869" t="s">
        <v>1750</v>
      </c>
    </row>
    <row r="471" spans="1:29" ht="15.75">
      <c r="A471" s="856" t="s">
        <v>1159</v>
      </c>
      <c r="B471" s="792" t="s">
        <v>1160</v>
      </c>
      <c r="C471" s="857" t="s">
        <v>1750</v>
      </c>
      <c r="D471" s="858" t="s">
        <v>43</v>
      </c>
      <c r="E471" s="843" t="s">
        <v>1750</v>
      </c>
      <c r="F471" s="858" t="s">
        <v>43</v>
      </c>
      <c r="G471" s="804">
        <v>5.0000000000000001E-3</v>
      </c>
      <c r="H471" s="859" t="s">
        <v>280</v>
      </c>
      <c r="I471" s="843" t="s">
        <v>1750</v>
      </c>
      <c r="J471" s="858" t="s">
        <v>43</v>
      </c>
      <c r="K471" s="858" t="s">
        <v>43</v>
      </c>
      <c r="L471" s="858" t="s">
        <v>43</v>
      </c>
      <c r="M471" s="859">
        <v>1</v>
      </c>
      <c r="N471" s="870" t="s">
        <v>1750</v>
      </c>
      <c r="O471" s="860" t="s">
        <v>1750</v>
      </c>
      <c r="P471" s="861">
        <v>390</v>
      </c>
      <c r="Q471" s="862" t="s">
        <v>179</v>
      </c>
      <c r="R471" s="861">
        <v>5800</v>
      </c>
      <c r="S471" s="862" t="s">
        <v>179</v>
      </c>
      <c r="T471" s="863" t="s">
        <v>1750</v>
      </c>
      <c r="U471" s="864" t="s">
        <v>43</v>
      </c>
      <c r="V471" s="863" t="s">
        <v>1750</v>
      </c>
      <c r="W471" s="864" t="s">
        <v>43</v>
      </c>
      <c r="X471" s="861">
        <v>100</v>
      </c>
      <c r="Y471" s="865" t="s">
        <v>179</v>
      </c>
      <c r="Z471" s="866" t="s">
        <v>43</v>
      </c>
      <c r="AA471" s="867">
        <v>2</v>
      </c>
      <c r="AB471" s="868" t="s">
        <v>179</v>
      </c>
      <c r="AC471" s="869" t="s">
        <v>1750</v>
      </c>
    </row>
    <row r="472" spans="1:29" ht="31.5" thickBot="1">
      <c r="A472" s="871" t="s">
        <v>1161</v>
      </c>
      <c r="B472" s="807" t="s">
        <v>1162</v>
      </c>
      <c r="C472" s="872" t="s">
        <v>1750</v>
      </c>
      <c r="D472" s="873" t="s">
        <v>43</v>
      </c>
      <c r="E472" s="847" t="s">
        <v>1750</v>
      </c>
      <c r="F472" s="873" t="s">
        <v>43</v>
      </c>
      <c r="G472" s="819">
        <v>0.1</v>
      </c>
      <c r="H472" s="874" t="s">
        <v>280</v>
      </c>
      <c r="I472" s="847" t="s">
        <v>1750</v>
      </c>
      <c r="J472" s="873" t="s">
        <v>43</v>
      </c>
      <c r="K472" s="873" t="s">
        <v>43</v>
      </c>
      <c r="L472" s="873" t="s">
        <v>43</v>
      </c>
      <c r="M472" s="874">
        <v>1</v>
      </c>
      <c r="N472" s="888" t="s">
        <v>1750</v>
      </c>
      <c r="O472" s="875" t="s">
        <v>1750</v>
      </c>
      <c r="P472" s="876">
        <v>7800</v>
      </c>
      <c r="Q472" s="877" t="s">
        <v>179</v>
      </c>
      <c r="R472" s="876">
        <v>120000</v>
      </c>
      <c r="S472" s="877" t="s">
        <v>2281</v>
      </c>
      <c r="T472" s="878" t="s">
        <v>1750</v>
      </c>
      <c r="U472" s="879" t="s">
        <v>43</v>
      </c>
      <c r="V472" s="878" t="s">
        <v>1750</v>
      </c>
      <c r="W472" s="879" t="s">
        <v>43</v>
      </c>
      <c r="X472" s="876">
        <v>2000</v>
      </c>
      <c r="Y472" s="880" t="s">
        <v>179</v>
      </c>
      <c r="Z472" s="893">
        <v>4000</v>
      </c>
      <c r="AA472" s="895" t="s">
        <v>1750</v>
      </c>
      <c r="AB472" s="883" t="s">
        <v>179</v>
      </c>
      <c r="AC472" s="884" t="s">
        <v>1750</v>
      </c>
    </row>
    <row r="473" spans="1:29" ht="15.75">
      <c r="A473" s="856" t="s">
        <v>1163</v>
      </c>
      <c r="B473" s="792" t="s">
        <v>1164</v>
      </c>
      <c r="C473" s="857" t="s">
        <v>1750</v>
      </c>
      <c r="D473" s="858" t="s">
        <v>43</v>
      </c>
      <c r="E473" s="843" t="s">
        <v>1750</v>
      </c>
      <c r="F473" s="858" t="s">
        <v>43</v>
      </c>
      <c r="G473" s="804">
        <v>2E-3</v>
      </c>
      <c r="H473" s="859" t="s">
        <v>281</v>
      </c>
      <c r="I473" s="843" t="s">
        <v>1750</v>
      </c>
      <c r="J473" s="858" t="s">
        <v>43</v>
      </c>
      <c r="K473" s="858" t="s">
        <v>43</v>
      </c>
      <c r="L473" s="858" t="s">
        <v>43</v>
      </c>
      <c r="M473" s="859">
        <v>1</v>
      </c>
      <c r="N473" s="859">
        <v>0.1</v>
      </c>
      <c r="O473" s="860" t="s">
        <v>1750</v>
      </c>
      <c r="P473" s="861">
        <v>130</v>
      </c>
      <c r="Q473" s="862" t="s">
        <v>179</v>
      </c>
      <c r="R473" s="861">
        <v>1600</v>
      </c>
      <c r="S473" s="862" t="s">
        <v>179</v>
      </c>
      <c r="T473" s="863" t="s">
        <v>1750</v>
      </c>
      <c r="U473" s="864" t="s">
        <v>43</v>
      </c>
      <c r="V473" s="863" t="s">
        <v>1750</v>
      </c>
      <c r="W473" s="864" t="s">
        <v>43</v>
      </c>
      <c r="X473" s="861">
        <v>38</v>
      </c>
      <c r="Y473" s="865" t="s">
        <v>179</v>
      </c>
      <c r="Z473" s="866" t="s">
        <v>43</v>
      </c>
      <c r="AA473" s="867">
        <v>1.4E-2</v>
      </c>
      <c r="AB473" s="868" t="s">
        <v>179</v>
      </c>
      <c r="AC473" s="869" t="s">
        <v>1750</v>
      </c>
    </row>
    <row r="474" spans="1:29" ht="30.75">
      <c r="A474" s="856" t="s">
        <v>2233</v>
      </c>
      <c r="B474" s="792" t="s">
        <v>1490</v>
      </c>
      <c r="C474" s="857" t="s">
        <v>1750</v>
      </c>
      <c r="D474" s="858" t="s">
        <v>43</v>
      </c>
      <c r="E474" s="843" t="s">
        <v>1750</v>
      </c>
      <c r="F474" s="858" t="s">
        <v>43</v>
      </c>
      <c r="G474" s="804">
        <v>2.5000000000000001E-2</v>
      </c>
      <c r="H474" s="859" t="s">
        <v>280</v>
      </c>
      <c r="I474" s="843" t="s">
        <v>1750</v>
      </c>
      <c r="J474" s="858" t="s">
        <v>43</v>
      </c>
      <c r="K474" s="858" t="s">
        <v>43</v>
      </c>
      <c r="L474" s="858" t="s">
        <v>43</v>
      </c>
      <c r="M474" s="859">
        <v>1</v>
      </c>
      <c r="N474" s="859">
        <v>0.1</v>
      </c>
      <c r="O474" s="860" t="s">
        <v>1750</v>
      </c>
      <c r="P474" s="861">
        <v>1600</v>
      </c>
      <c r="Q474" s="862" t="s">
        <v>179</v>
      </c>
      <c r="R474" s="861">
        <v>21000</v>
      </c>
      <c r="S474" s="862" t="s">
        <v>179</v>
      </c>
      <c r="T474" s="863" t="s">
        <v>1750</v>
      </c>
      <c r="U474" s="864" t="s">
        <v>43</v>
      </c>
      <c r="V474" s="863" t="s">
        <v>1750</v>
      </c>
      <c r="W474" s="864" t="s">
        <v>43</v>
      </c>
      <c r="X474" s="861">
        <v>450</v>
      </c>
      <c r="Y474" s="865" t="s">
        <v>179</v>
      </c>
      <c r="Z474" s="866" t="s">
        <v>43</v>
      </c>
      <c r="AA474" s="867">
        <v>5.6</v>
      </c>
      <c r="AB474" s="868" t="s">
        <v>179</v>
      </c>
      <c r="AC474" s="869" t="s">
        <v>1750</v>
      </c>
    </row>
    <row r="475" spans="1:29" ht="31.5" thickBot="1">
      <c r="A475" s="871" t="s">
        <v>1165</v>
      </c>
      <c r="B475" s="807" t="s">
        <v>1166</v>
      </c>
      <c r="C475" s="872" t="s">
        <v>1750</v>
      </c>
      <c r="D475" s="873" t="s">
        <v>43</v>
      </c>
      <c r="E475" s="847" t="s">
        <v>1750</v>
      </c>
      <c r="F475" s="873" t="s">
        <v>43</v>
      </c>
      <c r="G475" s="819">
        <v>2.9999999999999997E-4</v>
      </c>
      <c r="H475" s="874" t="s">
        <v>0</v>
      </c>
      <c r="I475" s="847" t="s">
        <v>1750</v>
      </c>
      <c r="J475" s="873" t="s">
        <v>43</v>
      </c>
      <c r="K475" s="873" t="s">
        <v>43</v>
      </c>
      <c r="L475" s="873" t="s">
        <v>43</v>
      </c>
      <c r="M475" s="874">
        <v>1</v>
      </c>
      <c r="N475" s="874">
        <v>0.1</v>
      </c>
      <c r="O475" s="875" t="s">
        <v>1750</v>
      </c>
      <c r="P475" s="876">
        <v>19</v>
      </c>
      <c r="Q475" s="877" t="s">
        <v>179</v>
      </c>
      <c r="R475" s="876">
        <v>250</v>
      </c>
      <c r="S475" s="877" t="s">
        <v>179</v>
      </c>
      <c r="T475" s="878" t="s">
        <v>1750</v>
      </c>
      <c r="U475" s="879" t="s">
        <v>43</v>
      </c>
      <c r="V475" s="878" t="s">
        <v>1750</v>
      </c>
      <c r="W475" s="879" t="s">
        <v>43</v>
      </c>
      <c r="X475" s="876">
        <v>3.6</v>
      </c>
      <c r="Y475" s="880" t="s">
        <v>179</v>
      </c>
      <c r="Z475" s="881" t="s">
        <v>43</v>
      </c>
      <c r="AA475" s="882">
        <v>0.37</v>
      </c>
      <c r="AB475" s="883" t="s">
        <v>179</v>
      </c>
      <c r="AC475" s="884" t="s">
        <v>1750</v>
      </c>
    </row>
    <row r="476" spans="1:29" ht="15.75">
      <c r="A476" s="856" t="s">
        <v>1167</v>
      </c>
      <c r="B476" s="792" t="s">
        <v>1168</v>
      </c>
      <c r="C476" s="857" t="s">
        <v>1750</v>
      </c>
      <c r="D476" s="858" t="s">
        <v>43</v>
      </c>
      <c r="E476" s="843" t="s">
        <v>1750</v>
      </c>
      <c r="F476" s="858" t="s">
        <v>43</v>
      </c>
      <c r="G476" s="804">
        <v>2E-3</v>
      </c>
      <c r="H476" s="859" t="s">
        <v>280</v>
      </c>
      <c r="I476" s="843" t="s">
        <v>1750</v>
      </c>
      <c r="J476" s="858" t="s">
        <v>43</v>
      </c>
      <c r="K476" s="859" t="s">
        <v>1634</v>
      </c>
      <c r="L476" s="858" t="s">
        <v>43</v>
      </c>
      <c r="M476" s="859">
        <v>1</v>
      </c>
      <c r="N476" s="870" t="s">
        <v>1750</v>
      </c>
      <c r="O476" s="860" t="s">
        <v>1750</v>
      </c>
      <c r="P476" s="861">
        <v>160</v>
      </c>
      <c r="Q476" s="862" t="s">
        <v>179</v>
      </c>
      <c r="R476" s="861">
        <v>2300</v>
      </c>
      <c r="S476" s="862" t="s">
        <v>179</v>
      </c>
      <c r="T476" s="863" t="s">
        <v>1750</v>
      </c>
      <c r="U476" s="864" t="s">
        <v>43</v>
      </c>
      <c r="V476" s="863" t="s">
        <v>1750</v>
      </c>
      <c r="W476" s="864" t="s">
        <v>43</v>
      </c>
      <c r="X476" s="861">
        <v>40</v>
      </c>
      <c r="Y476" s="865" t="s">
        <v>179</v>
      </c>
      <c r="Z476" s="866" t="s">
        <v>43</v>
      </c>
      <c r="AA476" s="867">
        <v>1.7999999999999999E-2</v>
      </c>
      <c r="AB476" s="868" t="s">
        <v>179</v>
      </c>
      <c r="AC476" s="869" t="s">
        <v>1750</v>
      </c>
    </row>
    <row r="477" spans="1:29" ht="45.75">
      <c r="A477" s="856" t="s">
        <v>1169</v>
      </c>
      <c r="B477" s="792" t="s">
        <v>2165</v>
      </c>
      <c r="C477" s="857" t="s">
        <v>1750</v>
      </c>
      <c r="D477" s="858" t="s">
        <v>43</v>
      </c>
      <c r="E477" s="843" t="s">
        <v>1750</v>
      </c>
      <c r="F477" s="858" t="s">
        <v>43</v>
      </c>
      <c r="G477" s="804">
        <v>0.03</v>
      </c>
      <c r="H477" s="859" t="s">
        <v>0</v>
      </c>
      <c r="I477" s="804">
        <v>0.1</v>
      </c>
      <c r="J477" s="859" t="s">
        <v>281</v>
      </c>
      <c r="K477" s="859" t="s">
        <v>1634</v>
      </c>
      <c r="L477" s="858" t="s">
        <v>43</v>
      </c>
      <c r="M477" s="859">
        <v>1</v>
      </c>
      <c r="N477" s="870" t="s">
        <v>1750</v>
      </c>
      <c r="O477" s="860" t="s">
        <v>1750</v>
      </c>
      <c r="P477" s="861">
        <v>2300</v>
      </c>
      <c r="Q477" s="862" t="s">
        <v>179</v>
      </c>
      <c r="R477" s="861">
        <v>35000</v>
      </c>
      <c r="S477" s="862" t="s">
        <v>179</v>
      </c>
      <c r="T477" s="861">
        <v>100</v>
      </c>
      <c r="U477" s="862" t="s">
        <v>179</v>
      </c>
      <c r="V477" s="861">
        <v>440</v>
      </c>
      <c r="W477" s="862" t="s">
        <v>179</v>
      </c>
      <c r="X477" s="861">
        <v>150</v>
      </c>
      <c r="Y477" s="865" t="s">
        <v>179</v>
      </c>
      <c r="Z477" s="866" t="s">
        <v>43</v>
      </c>
      <c r="AA477" s="886" t="s">
        <v>1750</v>
      </c>
      <c r="AB477" s="868" t="s">
        <v>179</v>
      </c>
      <c r="AC477" s="869" t="s">
        <v>1750</v>
      </c>
    </row>
    <row r="478" spans="1:29" ht="16.5" thickBot="1">
      <c r="A478" s="871" t="s">
        <v>1170</v>
      </c>
      <c r="B478" s="807" t="s">
        <v>1171</v>
      </c>
      <c r="C478" s="890">
        <v>1.8</v>
      </c>
      <c r="D478" s="874" t="s">
        <v>3</v>
      </c>
      <c r="E478" s="819">
        <v>0</v>
      </c>
      <c r="F478" s="874" t="s">
        <v>3</v>
      </c>
      <c r="G478" s="847" t="s">
        <v>1750</v>
      </c>
      <c r="H478" s="873" t="s">
        <v>43</v>
      </c>
      <c r="I478" s="847" t="s">
        <v>1750</v>
      </c>
      <c r="J478" s="873" t="s">
        <v>43</v>
      </c>
      <c r="K478" s="873" t="s">
        <v>43</v>
      </c>
      <c r="L478" s="873" t="s">
        <v>43</v>
      </c>
      <c r="M478" s="874">
        <v>1</v>
      </c>
      <c r="N478" s="874">
        <v>0.1</v>
      </c>
      <c r="O478" s="875" t="s">
        <v>1750</v>
      </c>
      <c r="P478" s="876">
        <v>0.3</v>
      </c>
      <c r="Q478" s="877" t="s">
        <v>2283</v>
      </c>
      <c r="R478" s="876">
        <v>1.3</v>
      </c>
      <c r="S478" s="877" t="s">
        <v>2283</v>
      </c>
      <c r="T478" s="878" t="s">
        <v>1750</v>
      </c>
      <c r="U478" s="879" t="s">
        <v>43</v>
      </c>
      <c r="V478" s="878" t="s">
        <v>1750</v>
      </c>
      <c r="W478" s="879" t="s">
        <v>43</v>
      </c>
      <c r="X478" s="876">
        <v>3.9E-2</v>
      </c>
      <c r="Y478" s="880" t="s">
        <v>2283</v>
      </c>
      <c r="Z478" s="881" t="s">
        <v>43</v>
      </c>
      <c r="AA478" s="882">
        <v>2.0000000000000001E-4</v>
      </c>
      <c r="AB478" s="883" t="s">
        <v>2283</v>
      </c>
      <c r="AC478" s="884" t="s">
        <v>1750</v>
      </c>
    </row>
    <row r="479" spans="1:29" ht="30.75">
      <c r="A479" s="856" t="s">
        <v>1172</v>
      </c>
      <c r="B479" s="792" t="s">
        <v>1173</v>
      </c>
      <c r="C479" s="857" t="s">
        <v>1750</v>
      </c>
      <c r="D479" s="858" t="s">
        <v>43</v>
      </c>
      <c r="E479" s="843" t="s">
        <v>1750</v>
      </c>
      <c r="F479" s="858" t="s">
        <v>43</v>
      </c>
      <c r="G479" s="804">
        <v>0.12</v>
      </c>
      <c r="H479" s="859" t="s">
        <v>2463</v>
      </c>
      <c r="I479" s="843" t="s">
        <v>1750</v>
      </c>
      <c r="J479" s="858" t="s">
        <v>43</v>
      </c>
      <c r="K479" s="858" t="s">
        <v>43</v>
      </c>
      <c r="L479" s="858" t="s">
        <v>43</v>
      </c>
      <c r="M479" s="859">
        <v>1</v>
      </c>
      <c r="N479" s="859">
        <v>0.1</v>
      </c>
      <c r="O479" s="860" t="s">
        <v>1750</v>
      </c>
      <c r="P479" s="861">
        <v>7600</v>
      </c>
      <c r="Q479" s="862" t="s">
        <v>179</v>
      </c>
      <c r="R479" s="861">
        <v>98000</v>
      </c>
      <c r="S479" s="862" t="s">
        <v>179</v>
      </c>
      <c r="T479" s="863" t="s">
        <v>1750</v>
      </c>
      <c r="U479" s="864" t="s">
        <v>43</v>
      </c>
      <c r="V479" s="863" t="s">
        <v>1750</v>
      </c>
      <c r="W479" s="864" t="s">
        <v>43</v>
      </c>
      <c r="X479" s="861">
        <v>2000</v>
      </c>
      <c r="Y479" s="865" t="s">
        <v>179</v>
      </c>
      <c r="Z479" s="866" t="s">
        <v>43</v>
      </c>
      <c r="AA479" s="867">
        <v>13</v>
      </c>
      <c r="AB479" s="868" t="s">
        <v>179</v>
      </c>
      <c r="AC479" s="869" t="s">
        <v>1750</v>
      </c>
    </row>
    <row r="480" spans="1:29" ht="15.75">
      <c r="A480" s="856" t="s">
        <v>2234</v>
      </c>
      <c r="B480" s="792" t="s">
        <v>2235</v>
      </c>
      <c r="C480" s="857" t="s">
        <v>1750</v>
      </c>
      <c r="D480" s="858" t="s">
        <v>43</v>
      </c>
      <c r="E480" s="804">
        <v>2.5999999999999998E-4</v>
      </c>
      <c r="F480" s="859" t="s">
        <v>3</v>
      </c>
      <c r="G480" s="804">
        <v>1.0999999999999999E-2</v>
      </c>
      <c r="H480" s="859" t="s">
        <v>3</v>
      </c>
      <c r="I480" s="804">
        <v>1.4E-5</v>
      </c>
      <c r="J480" s="859" t="s">
        <v>3</v>
      </c>
      <c r="K480" s="858" t="s">
        <v>43</v>
      </c>
      <c r="L480" s="858" t="s">
        <v>43</v>
      </c>
      <c r="M480" s="859">
        <v>1</v>
      </c>
      <c r="N480" s="859">
        <v>0.1</v>
      </c>
      <c r="O480" s="860" t="s">
        <v>1750</v>
      </c>
      <c r="P480" s="861">
        <v>670</v>
      </c>
      <c r="Q480" s="862" t="s">
        <v>179</v>
      </c>
      <c r="R480" s="861">
        <v>8100</v>
      </c>
      <c r="S480" s="862" t="s">
        <v>179</v>
      </c>
      <c r="T480" s="861">
        <v>1.0999999999999999E-2</v>
      </c>
      <c r="U480" s="862" t="s">
        <v>2278</v>
      </c>
      <c r="V480" s="861">
        <v>4.7E-2</v>
      </c>
      <c r="W480" s="862" t="s">
        <v>2278</v>
      </c>
      <c r="X480" s="861">
        <v>220</v>
      </c>
      <c r="Y480" s="865" t="s">
        <v>179</v>
      </c>
      <c r="Z480" s="866" t="s">
        <v>43</v>
      </c>
      <c r="AA480" s="867">
        <v>4.4999999999999998E-2</v>
      </c>
      <c r="AB480" s="868" t="s">
        <v>179</v>
      </c>
      <c r="AC480" s="869" t="s">
        <v>1750</v>
      </c>
    </row>
    <row r="481" spans="1:29" ht="16.5" thickBot="1">
      <c r="A481" s="871" t="s">
        <v>2236</v>
      </c>
      <c r="B481" s="807" t="s">
        <v>2237</v>
      </c>
      <c r="C481" s="872" t="s">
        <v>1750</v>
      </c>
      <c r="D481" s="873" t="s">
        <v>43</v>
      </c>
      <c r="E481" s="819">
        <v>2.5999999999999998E-4</v>
      </c>
      <c r="F481" s="874" t="s">
        <v>3</v>
      </c>
      <c r="G481" s="819">
        <v>1.0999999999999999E-2</v>
      </c>
      <c r="H481" s="874" t="s">
        <v>3</v>
      </c>
      <c r="I481" s="819">
        <v>1.4E-5</v>
      </c>
      <c r="J481" s="874" t="s">
        <v>3</v>
      </c>
      <c r="K481" s="873" t="s">
        <v>43</v>
      </c>
      <c r="L481" s="873" t="s">
        <v>43</v>
      </c>
      <c r="M481" s="874">
        <v>1</v>
      </c>
      <c r="N481" s="874">
        <v>0.1</v>
      </c>
      <c r="O481" s="875" t="s">
        <v>1750</v>
      </c>
      <c r="P481" s="876">
        <v>670</v>
      </c>
      <c r="Q481" s="877" t="s">
        <v>179</v>
      </c>
      <c r="R481" s="876">
        <v>8100</v>
      </c>
      <c r="S481" s="877" t="s">
        <v>179</v>
      </c>
      <c r="T481" s="876">
        <v>1.0999999999999999E-2</v>
      </c>
      <c r="U481" s="877" t="s">
        <v>2278</v>
      </c>
      <c r="V481" s="876">
        <v>4.7E-2</v>
      </c>
      <c r="W481" s="877" t="s">
        <v>2278</v>
      </c>
      <c r="X481" s="876">
        <v>220</v>
      </c>
      <c r="Y481" s="880" t="s">
        <v>179</v>
      </c>
      <c r="Z481" s="881" t="s">
        <v>43</v>
      </c>
      <c r="AA481" s="895" t="s">
        <v>1750</v>
      </c>
      <c r="AB481" s="883" t="s">
        <v>179</v>
      </c>
      <c r="AC481" s="884" t="s">
        <v>1750</v>
      </c>
    </row>
    <row r="482" spans="1:29" ht="30.75">
      <c r="A482" s="856" t="s">
        <v>1174</v>
      </c>
      <c r="B482" s="792" t="s">
        <v>1175</v>
      </c>
      <c r="C482" s="857" t="s">
        <v>1750</v>
      </c>
      <c r="D482" s="858" t="s">
        <v>43</v>
      </c>
      <c r="E482" s="804">
        <v>2.5999999999999998E-4</v>
      </c>
      <c r="F482" s="859" t="s">
        <v>3</v>
      </c>
      <c r="G482" s="804">
        <v>1.0999999999999999E-2</v>
      </c>
      <c r="H482" s="859" t="s">
        <v>3</v>
      </c>
      <c r="I482" s="804">
        <v>1.4E-5</v>
      </c>
      <c r="J482" s="859" t="s">
        <v>3</v>
      </c>
      <c r="K482" s="859" t="s">
        <v>1634</v>
      </c>
      <c r="L482" s="858" t="s">
        <v>43</v>
      </c>
      <c r="M482" s="859">
        <v>1</v>
      </c>
      <c r="N482" s="870" t="s">
        <v>1750</v>
      </c>
      <c r="O482" s="860" t="s">
        <v>1750</v>
      </c>
      <c r="P482" s="861">
        <v>820</v>
      </c>
      <c r="Q482" s="862" t="s">
        <v>179</v>
      </c>
      <c r="R482" s="861">
        <v>11000</v>
      </c>
      <c r="S482" s="862" t="s">
        <v>179</v>
      </c>
      <c r="T482" s="861">
        <v>1.0999999999999999E-2</v>
      </c>
      <c r="U482" s="862" t="s">
        <v>2278</v>
      </c>
      <c r="V482" s="861">
        <v>4.7E-2</v>
      </c>
      <c r="W482" s="862" t="s">
        <v>2278</v>
      </c>
      <c r="X482" s="861">
        <v>2.1999999999999999E-2</v>
      </c>
      <c r="Y482" s="865" t="s">
        <v>2278</v>
      </c>
      <c r="Z482" s="866" t="s">
        <v>43</v>
      </c>
      <c r="AA482" s="886" t="s">
        <v>1750</v>
      </c>
      <c r="AB482" s="868" t="s">
        <v>2278</v>
      </c>
      <c r="AC482" s="869" t="s">
        <v>1750</v>
      </c>
    </row>
    <row r="483" spans="1:29" ht="30.75">
      <c r="A483" s="856" t="s">
        <v>2238</v>
      </c>
      <c r="B483" s="792" t="s">
        <v>2239</v>
      </c>
      <c r="C483" s="857" t="s">
        <v>1750</v>
      </c>
      <c r="D483" s="858" t="s">
        <v>43</v>
      </c>
      <c r="E483" s="804">
        <v>2.5999999999999998E-4</v>
      </c>
      <c r="F483" s="859" t="s">
        <v>3</v>
      </c>
      <c r="G483" s="804">
        <v>1.0999999999999999E-2</v>
      </c>
      <c r="H483" s="859" t="s">
        <v>3</v>
      </c>
      <c r="I483" s="804">
        <v>1.4E-5</v>
      </c>
      <c r="J483" s="859" t="s">
        <v>3</v>
      </c>
      <c r="K483" s="858" t="s">
        <v>43</v>
      </c>
      <c r="L483" s="858" t="s">
        <v>43</v>
      </c>
      <c r="M483" s="859">
        <v>0.04</v>
      </c>
      <c r="N483" s="870" t="s">
        <v>1750</v>
      </c>
      <c r="O483" s="860" t="s">
        <v>1750</v>
      </c>
      <c r="P483" s="861">
        <v>820</v>
      </c>
      <c r="Q483" s="862" t="s">
        <v>179</v>
      </c>
      <c r="R483" s="861">
        <v>11000</v>
      </c>
      <c r="S483" s="862" t="s">
        <v>179</v>
      </c>
      <c r="T483" s="861">
        <v>1.0999999999999999E-2</v>
      </c>
      <c r="U483" s="862" t="s">
        <v>2278</v>
      </c>
      <c r="V483" s="861">
        <v>4.7E-2</v>
      </c>
      <c r="W483" s="862" t="s">
        <v>2278</v>
      </c>
      <c r="X483" s="861">
        <v>200</v>
      </c>
      <c r="Y483" s="865" t="s">
        <v>179</v>
      </c>
      <c r="Z483" s="866" t="s">
        <v>43</v>
      </c>
      <c r="AA483" s="886" t="s">
        <v>1750</v>
      </c>
      <c r="AB483" s="868" t="s">
        <v>179</v>
      </c>
      <c r="AC483" s="869" t="s">
        <v>1750</v>
      </c>
    </row>
    <row r="484" spans="1:29" ht="16.5" thickBot="1">
      <c r="A484" s="871" t="s">
        <v>1176</v>
      </c>
      <c r="B484" s="807" t="s">
        <v>1177</v>
      </c>
      <c r="C484" s="872" t="s">
        <v>1750</v>
      </c>
      <c r="D484" s="873" t="s">
        <v>43</v>
      </c>
      <c r="E484" s="819">
        <v>2.5999999999999998E-4</v>
      </c>
      <c r="F484" s="874" t="s">
        <v>3</v>
      </c>
      <c r="G484" s="819">
        <v>1.0999999999999999E-2</v>
      </c>
      <c r="H484" s="874" t="s">
        <v>3</v>
      </c>
      <c r="I484" s="819">
        <v>2.0000000000000002E-5</v>
      </c>
      <c r="J484" s="874" t="s">
        <v>3</v>
      </c>
      <c r="K484" s="873" t="s">
        <v>43</v>
      </c>
      <c r="L484" s="873" t="s">
        <v>43</v>
      </c>
      <c r="M484" s="874">
        <v>0.04</v>
      </c>
      <c r="N484" s="888" t="s">
        <v>1750</v>
      </c>
      <c r="O484" s="875" t="s">
        <v>1750</v>
      </c>
      <c r="P484" s="876">
        <v>840</v>
      </c>
      <c r="Q484" s="877" t="s">
        <v>179</v>
      </c>
      <c r="R484" s="876">
        <v>12000</v>
      </c>
      <c r="S484" s="877" t="s">
        <v>179</v>
      </c>
      <c r="T484" s="876">
        <v>1.0999999999999999E-2</v>
      </c>
      <c r="U484" s="877" t="s">
        <v>2278</v>
      </c>
      <c r="V484" s="876">
        <v>4.7E-2</v>
      </c>
      <c r="W484" s="877" t="s">
        <v>2278</v>
      </c>
      <c r="X484" s="876">
        <v>200</v>
      </c>
      <c r="Y484" s="880" t="s">
        <v>179</v>
      </c>
      <c r="Z484" s="881" t="s">
        <v>43</v>
      </c>
      <c r="AA484" s="895" t="s">
        <v>1750</v>
      </c>
      <c r="AB484" s="883" t="s">
        <v>179</v>
      </c>
      <c r="AC484" s="884" t="s">
        <v>1750</v>
      </c>
    </row>
    <row r="485" spans="1:29" ht="30.75">
      <c r="A485" s="856" t="s">
        <v>1178</v>
      </c>
      <c r="B485" s="792" t="s">
        <v>2421</v>
      </c>
      <c r="C485" s="857" t="s">
        <v>1750</v>
      </c>
      <c r="D485" s="858" t="s">
        <v>43</v>
      </c>
      <c r="E485" s="804">
        <v>2.4000000000000001E-4</v>
      </c>
      <c r="F485" s="859" t="s">
        <v>280</v>
      </c>
      <c r="G485" s="804">
        <v>1.0999999999999999E-2</v>
      </c>
      <c r="H485" s="859" t="s">
        <v>3</v>
      </c>
      <c r="I485" s="804">
        <v>1.4E-5</v>
      </c>
      <c r="J485" s="859" t="s">
        <v>3</v>
      </c>
      <c r="K485" s="858" t="s">
        <v>43</v>
      </c>
      <c r="L485" s="858" t="s">
        <v>43</v>
      </c>
      <c r="M485" s="859">
        <v>0.04</v>
      </c>
      <c r="N485" s="870" t="s">
        <v>1750</v>
      </c>
      <c r="O485" s="860" t="s">
        <v>1750</v>
      </c>
      <c r="P485" s="861">
        <v>820</v>
      </c>
      <c r="Q485" s="862" t="s">
        <v>179</v>
      </c>
      <c r="R485" s="861">
        <v>11000</v>
      </c>
      <c r="S485" s="862" t="s">
        <v>179</v>
      </c>
      <c r="T485" s="861">
        <v>1.2E-2</v>
      </c>
      <c r="U485" s="862" t="s">
        <v>2278</v>
      </c>
      <c r="V485" s="861">
        <v>5.0999999999999997E-2</v>
      </c>
      <c r="W485" s="862" t="s">
        <v>2278</v>
      </c>
      <c r="X485" s="861">
        <v>220</v>
      </c>
      <c r="Y485" s="865" t="s">
        <v>179</v>
      </c>
      <c r="Z485" s="866" t="s">
        <v>43</v>
      </c>
      <c r="AA485" s="867">
        <v>32</v>
      </c>
      <c r="AB485" s="868" t="s">
        <v>179</v>
      </c>
      <c r="AC485" s="869" t="s">
        <v>1750</v>
      </c>
    </row>
    <row r="486" spans="1:29" ht="30.75">
      <c r="A486" s="856" t="s">
        <v>1179</v>
      </c>
      <c r="B486" s="792" t="s">
        <v>1180</v>
      </c>
      <c r="C486" s="857" t="s">
        <v>1750</v>
      </c>
      <c r="D486" s="858" t="s">
        <v>43</v>
      </c>
      <c r="E486" s="804">
        <v>2.5999999999999998E-4</v>
      </c>
      <c r="F486" s="859" t="s">
        <v>3</v>
      </c>
      <c r="G486" s="804">
        <v>0.02</v>
      </c>
      <c r="H486" s="859" t="s">
        <v>280</v>
      </c>
      <c r="I486" s="804">
        <v>9.0000000000000006E-5</v>
      </c>
      <c r="J486" s="859" t="s">
        <v>18</v>
      </c>
      <c r="K486" s="858" t="s">
        <v>43</v>
      </c>
      <c r="L486" s="858" t="s">
        <v>43</v>
      </c>
      <c r="M486" s="859">
        <v>0.04</v>
      </c>
      <c r="N486" s="870" t="s">
        <v>1750</v>
      </c>
      <c r="O486" s="860" t="s">
        <v>1750</v>
      </c>
      <c r="P486" s="861">
        <v>1500</v>
      </c>
      <c r="Q486" s="862" t="s">
        <v>179</v>
      </c>
      <c r="R486" s="861">
        <v>22000</v>
      </c>
      <c r="S486" s="862" t="s">
        <v>179</v>
      </c>
      <c r="T486" s="861">
        <v>1.0999999999999999E-2</v>
      </c>
      <c r="U486" s="862" t="s">
        <v>2278</v>
      </c>
      <c r="V486" s="861">
        <v>4.7E-2</v>
      </c>
      <c r="W486" s="862" t="s">
        <v>2278</v>
      </c>
      <c r="X486" s="861">
        <v>390</v>
      </c>
      <c r="Y486" s="865" t="s">
        <v>179</v>
      </c>
      <c r="Z486" s="866" t="s">
        <v>43</v>
      </c>
      <c r="AA486" s="867">
        <v>26</v>
      </c>
      <c r="AB486" s="868" t="s">
        <v>179</v>
      </c>
      <c r="AC486" s="869" t="s">
        <v>1750</v>
      </c>
    </row>
    <row r="487" spans="1:29" ht="31.5" thickBot="1">
      <c r="A487" s="871" t="s">
        <v>1181</v>
      </c>
      <c r="B487" s="807" t="s">
        <v>1182</v>
      </c>
      <c r="C487" s="890">
        <v>1.7</v>
      </c>
      <c r="D487" s="874" t="s">
        <v>3</v>
      </c>
      <c r="E487" s="819">
        <v>4.8000000000000001E-4</v>
      </c>
      <c r="F487" s="874" t="s">
        <v>280</v>
      </c>
      <c r="G487" s="819">
        <v>1.0999999999999999E-2</v>
      </c>
      <c r="H487" s="874" t="s">
        <v>3</v>
      </c>
      <c r="I487" s="819">
        <v>1.4E-5</v>
      </c>
      <c r="J487" s="874" t="s">
        <v>3</v>
      </c>
      <c r="K487" s="873" t="s">
        <v>43</v>
      </c>
      <c r="L487" s="873" t="s">
        <v>43</v>
      </c>
      <c r="M487" s="874">
        <v>0.04</v>
      </c>
      <c r="N487" s="888" t="s">
        <v>1750</v>
      </c>
      <c r="O487" s="875" t="s">
        <v>1750</v>
      </c>
      <c r="P487" s="876">
        <v>0.41</v>
      </c>
      <c r="Q487" s="877" t="s">
        <v>2283</v>
      </c>
      <c r="R487" s="876">
        <v>1.9</v>
      </c>
      <c r="S487" s="877" t="s">
        <v>2283</v>
      </c>
      <c r="T487" s="876">
        <v>5.7999999999999996E-3</v>
      </c>
      <c r="U487" s="877" t="s">
        <v>2278</v>
      </c>
      <c r="V487" s="876">
        <v>2.5999999999999999E-2</v>
      </c>
      <c r="W487" s="877" t="s">
        <v>2278</v>
      </c>
      <c r="X487" s="876">
        <v>4.4999999999999998E-2</v>
      </c>
      <c r="Y487" s="880" t="s">
        <v>2283</v>
      </c>
      <c r="Z487" s="881" t="s">
        <v>43</v>
      </c>
      <c r="AA487" s="895" t="s">
        <v>1750</v>
      </c>
      <c r="AB487" s="883" t="s">
        <v>2283</v>
      </c>
      <c r="AC487" s="884" t="s">
        <v>1750</v>
      </c>
    </row>
    <row r="488" spans="1:29" ht="15.75">
      <c r="A488" s="856" t="s">
        <v>2240</v>
      </c>
      <c r="B488" s="792" t="s">
        <v>2241</v>
      </c>
      <c r="C488" s="857" t="s">
        <v>1750</v>
      </c>
      <c r="D488" s="858" t="s">
        <v>43</v>
      </c>
      <c r="E488" s="804">
        <v>2.5999999999999998E-4</v>
      </c>
      <c r="F488" s="859" t="s">
        <v>3</v>
      </c>
      <c r="G488" s="804">
        <v>1.0999999999999999E-2</v>
      </c>
      <c r="H488" s="859" t="s">
        <v>3</v>
      </c>
      <c r="I488" s="804">
        <v>1.4E-5</v>
      </c>
      <c r="J488" s="859" t="s">
        <v>3</v>
      </c>
      <c r="K488" s="858" t="s">
        <v>43</v>
      </c>
      <c r="L488" s="858" t="s">
        <v>43</v>
      </c>
      <c r="M488" s="859">
        <v>1</v>
      </c>
      <c r="N488" s="859">
        <v>0.1</v>
      </c>
      <c r="O488" s="860" t="s">
        <v>1750</v>
      </c>
      <c r="P488" s="861">
        <v>670</v>
      </c>
      <c r="Q488" s="862" t="s">
        <v>179</v>
      </c>
      <c r="R488" s="861">
        <v>8100</v>
      </c>
      <c r="S488" s="862" t="s">
        <v>179</v>
      </c>
      <c r="T488" s="861">
        <v>1.0999999999999999E-2</v>
      </c>
      <c r="U488" s="862" t="s">
        <v>2278</v>
      </c>
      <c r="V488" s="861">
        <v>4.7E-2</v>
      </c>
      <c r="W488" s="862" t="s">
        <v>2278</v>
      </c>
      <c r="X488" s="861">
        <v>220</v>
      </c>
      <c r="Y488" s="865" t="s">
        <v>179</v>
      </c>
      <c r="Z488" s="866" t="s">
        <v>43</v>
      </c>
      <c r="AA488" s="886" t="s">
        <v>1750</v>
      </c>
      <c r="AB488" s="868" t="s">
        <v>179</v>
      </c>
      <c r="AC488" s="869" t="s">
        <v>1750</v>
      </c>
    </row>
    <row r="489" spans="1:29" ht="30.75">
      <c r="A489" s="856" t="s">
        <v>1183</v>
      </c>
      <c r="B489" s="792" t="s">
        <v>1184</v>
      </c>
      <c r="C489" s="857" t="s">
        <v>1750</v>
      </c>
      <c r="D489" s="858" t="s">
        <v>43</v>
      </c>
      <c r="E489" s="843" t="s">
        <v>1750</v>
      </c>
      <c r="F489" s="858" t="s">
        <v>43</v>
      </c>
      <c r="G489" s="804">
        <v>1.6</v>
      </c>
      <c r="H489" s="859" t="s">
        <v>280</v>
      </c>
      <c r="I489" s="843" t="s">
        <v>1750</v>
      </c>
      <c r="J489" s="858" t="s">
        <v>43</v>
      </c>
      <c r="K489" s="858" t="s">
        <v>43</v>
      </c>
      <c r="L489" s="858" t="s">
        <v>43</v>
      </c>
      <c r="M489" s="859">
        <v>1</v>
      </c>
      <c r="N489" s="870" t="s">
        <v>1750</v>
      </c>
      <c r="O489" s="860" t="s">
        <v>1750</v>
      </c>
      <c r="P489" s="861">
        <v>130000</v>
      </c>
      <c r="Q489" s="862" t="s">
        <v>2281</v>
      </c>
      <c r="R489" s="861">
        <v>1900000</v>
      </c>
      <c r="S489" s="862" t="s">
        <v>2281</v>
      </c>
      <c r="T489" s="863" t="s">
        <v>1750</v>
      </c>
      <c r="U489" s="864" t="s">
        <v>43</v>
      </c>
      <c r="V489" s="863" t="s">
        <v>1750</v>
      </c>
      <c r="W489" s="864" t="s">
        <v>43</v>
      </c>
      <c r="X489" s="861">
        <v>32000</v>
      </c>
      <c r="Y489" s="865" t="s">
        <v>179</v>
      </c>
      <c r="Z489" s="891">
        <v>10000</v>
      </c>
      <c r="AA489" s="886" t="s">
        <v>1750</v>
      </c>
      <c r="AB489" s="868" t="s">
        <v>179</v>
      </c>
      <c r="AC489" s="869" t="s">
        <v>1750</v>
      </c>
    </row>
    <row r="490" spans="1:29" ht="31.5" thickBot="1">
      <c r="A490" s="871" t="s">
        <v>1833</v>
      </c>
      <c r="B490" s="807" t="s">
        <v>2422</v>
      </c>
      <c r="C490" s="872" t="s">
        <v>1750</v>
      </c>
      <c r="D490" s="873" t="s">
        <v>43</v>
      </c>
      <c r="E490" s="847" t="s">
        <v>1750</v>
      </c>
      <c r="F490" s="873" t="s">
        <v>43</v>
      </c>
      <c r="G490" s="847" t="s">
        <v>1750</v>
      </c>
      <c r="H490" s="873" t="s">
        <v>43</v>
      </c>
      <c r="I490" s="847" t="s">
        <v>1750</v>
      </c>
      <c r="J490" s="873" t="s">
        <v>43</v>
      </c>
      <c r="K490" s="873" t="s">
        <v>43</v>
      </c>
      <c r="L490" s="873" t="s">
        <v>43</v>
      </c>
      <c r="M490" s="874">
        <v>1</v>
      </c>
      <c r="N490" s="888" t="s">
        <v>1750</v>
      </c>
      <c r="O490" s="875" t="s">
        <v>1750</v>
      </c>
      <c r="P490" s="878" t="s">
        <v>1750</v>
      </c>
      <c r="Q490" s="879" t="s">
        <v>43</v>
      </c>
      <c r="R490" s="878" t="s">
        <v>1750</v>
      </c>
      <c r="S490" s="879" t="s">
        <v>43</v>
      </c>
      <c r="T490" s="878" t="s">
        <v>1750</v>
      </c>
      <c r="U490" s="879" t="s">
        <v>43</v>
      </c>
      <c r="V490" s="878" t="s">
        <v>1750</v>
      </c>
      <c r="W490" s="879" t="s">
        <v>43</v>
      </c>
      <c r="X490" s="878" t="s">
        <v>1750</v>
      </c>
      <c r="Y490" s="896" t="s">
        <v>43</v>
      </c>
      <c r="Z490" s="893">
        <v>10000</v>
      </c>
      <c r="AA490" s="895" t="s">
        <v>1750</v>
      </c>
      <c r="AB490" s="897" t="s">
        <v>43</v>
      </c>
      <c r="AC490" s="884" t="s">
        <v>1750</v>
      </c>
    </row>
    <row r="491" spans="1:29" ht="30.75">
      <c r="A491" s="856" t="s">
        <v>1185</v>
      </c>
      <c r="B491" s="792" t="s">
        <v>1186</v>
      </c>
      <c r="C491" s="857" t="s">
        <v>1750</v>
      </c>
      <c r="D491" s="858" t="s">
        <v>43</v>
      </c>
      <c r="E491" s="843" t="s">
        <v>1750</v>
      </c>
      <c r="F491" s="858" t="s">
        <v>43</v>
      </c>
      <c r="G491" s="804">
        <v>0.1</v>
      </c>
      <c r="H491" s="859" t="s">
        <v>280</v>
      </c>
      <c r="I491" s="843" t="s">
        <v>1750</v>
      </c>
      <c r="J491" s="858" t="s">
        <v>43</v>
      </c>
      <c r="K491" s="858" t="s">
        <v>43</v>
      </c>
      <c r="L491" s="858" t="s">
        <v>43</v>
      </c>
      <c r="M491" s="859">
        <v>1</v>
      </c>
      <c r="N491" s="870" t="s">
        <v>1750</v>
      </c>
      <c r="O491" s="860" t="s">
        <v>1750</v>
      </c>
      <c r="P491" s="861">
        <v>7800</v>
      </c>
      <c r="Q491" s="862" t="s">
        <v>179</v>
      </c>
      <c r="R491" s="861">
        <v>120000</v>
      </c>
      <c r="S491" s="862" t="s">
        <v>2281</v>
      </c>
      <c r="T491" s="863" t="s">
        <v>1750</v>
      </c>
      <c r="U491" s="864" t="s">
        <v>43</v>
      </c>
      <c r="V491" s="863" t="s">
        <v>1750</v>
      </c>
      <c r="W491" s="864" t="s">
        <v>43</v>
      </c>
      <c r="X491" s="861">
        <v>2000</v>
      </c>
      <c r="Y491" s="865" t="s">
        <v>179</v>
      </c>
      <c r="Z491" s="891">
        <v>1000</v>
      </c>
      <c r="AA491" s="886" t="s">
        <v>1750</v>
      </c>
      <c r="AB491" s="868" t="s">
        <v>179</v>
      </c>
      <c r="AC491" s="869" t="s">
        <v>1750</v>
      </c>
    </row>
    <row r="492" spans="1:29" ht="15.75">
      <c r="A492" s="856" t="s">
        <v>1187</v>
      </c>
      <c r="B492" s="792" t="s">
        <v>1188</v>
      </c>
      <c r="C492" s="857" t="s">
        <v>1750</v>
      </c>
      <c r="D492" s="858" t="s">
        <v>43</v>
      </c>
      <c r="E492" s="843" t="s">
        <v>1750</v>
      </c>
      <c r="F492" s="858" t="s">
        <v>43</v>
      </c>
      <c r="G492" s="804">
        <v>0.01</v>
      </c>
      <c r="H492" s="859" t="s">
        <v>0</v>
      </c>
      <c r="I492" s="804">
        <v>5.0000000000000002E-5</v>
      </c>
      <c r="J492" s="859" t="s">
        <v>0</v>
      </c>
      <c r="K492" s="858" t="s">
        <v>43</v>
      </c>
      <c r="L492" s="858" t="s">
        <v>43</v>
      </c>
      <c r="M492" s="859">
        <v>1</v>
      </c>
      <c r="N492" s="859">
        <v>0.1</v>
      </c>
      <c r="O492" s="860" t="s">
        <v>1750</v>
      </c>
      <c r="P492" s="861">
        <v>630</v>
      </c>
      <c r="Q492" s="862" t="s">
        <v>179</v>
      </c>
      <c r="R492" s="861">
        <v>8000</v>
      </c>
      <c r="S492" s="862" t="s">
        <v>179</v>
      </c>
      <c r="T492" s="861">
        <v>5.1999999999999998E-2</v>
      </c>
      <c r="U492" s="862" t="s">
        <v>179</v>
      </c>
      <c r="V492" s="861">
        <v>0.22</v>
      </c>
      <c r="W492" s="862" t="s">
        <v>179</v>
      </c>
      <c r="X492" s="861">
        <v>190</v>
      </c>
      <c r="Y492" s="865" t="s">
        <v>179</v>
      </c>
      <c r="Z492" s="866" t="s">
        <v>43</v>
      </c>
      <c r="AA492" s="867">
        <v>0.08</v>
      </c>
      <c r="AB492" s="868" t="s">
        <v>179</v>
      </c>
      <c r="AC492" s="869" t="s">
        <v>1750</v>
      </c>
    </row>
    <row r="493" spans="1:29" ht="16.5" thickBot="1">
      <c r="A493" s="871" t="s">
        <v>1189</v>
      </c>
      <c r="B493" s="807" t="s">
        <v>1190</v>
      </c>
      <c r="C493" s="890">
        <v>0.02</v>
      </c>
      <c r="D493" s="874" t="s">
        <v>281</v>
      </c>
      <c r="E493" s="847" t="s">
        <v>1750</v>
      </c>
      <c r="F493" s="873" t="s">
        <v>43</v>
      </c>
      <c r="G493" s="819">
        <v>4.0000000000000001E-3</v>
      </c>
      <c r="H493" s="874" t="s">
        <v>281</v>
      </c>
      <c r="I493" s="819">
        <v>6.0000000000000001E-3</v>
      </c>
      <c r="J493" s="874" t="s">
        <v>281</v>
      </c>
      <c r="K493" s="873" t="s">
        <v>43</v>
      </c>
      <c r="L493" s="873" t="s">
        <v>43</v>
      </c>
      <c r="M493" s="874">
        <v>1</v>
      </c>
      <c r="N493" s="874">
        <v>0.1</v>
      </c>
      <c r="O493" s="875" t="s">
        <v>1750</v>
      </c>
      <c r="P493" s="876">
        <v>27</v>
      </c>
      <c r="Q493" s="877" t="s">
        <v>2278</v>
      </c>
      <c r="R493" s="876">
        <v>110</v>
      </c>
      <c r="S493" s="877" t="s">
        <v>2279</v>
      </c>
      <c r="T493" s="876">
        <v>6.3</v>
      </c>
      <c r="U493" s="877" t="s">
        <v>179</v>
      </c>
      <c r="V493" s="876">
        <v>26</v>
      </c>
      <c r="W493" s="877" t="s">
        <v>179</v>
      </c>
      <c r="X493" s="876">
        <v>3.8</v>
      </c>
      <c r="Y493" s="880" t="s">
        <v>2279</v>
      </c>
      <c r="Z493" s="881" t="s">
        <v>43</v>
      </c>
      <c r="AA493" s="882">
        <v>1.6000000000000001E-3</v>
      </c>
      <c r="AB493" s="883" t="s">
        <v>2279</v>
      </c>
      <c r="AC493" s="884" t="s">
        <v>1750</v>
      </c>
    </row>
    <row r="494" spans="1:29" ht="15.75">
      <c r="A494" s="856" t="s">
        <v>83</v>
      </c>
      <c r="B494" s="792" t="s">
        <v>1191</v>
      </c>
      <c r="C494" s="857" t="s">
        <v>1750</v>
      </c>
      <c r="D494" s="858" t="s">
        <v>43</v>
      </c>
      <c r="E494" s="804">
        <v>4.0000000000000003E-5</v>
      </c>
      <c r="F494" s="859" t="s">
        <v>280</v>
      </c>
      <c r="G494" s="804">
        <v>2E-3</v>
      </c>
      <c r="H494" s="859" t="s">
        <v>280</v>
      </c>
      <c r="I494" s="804">
        <v>8.9999999999999993E-3</v>
      </c>
      <c r="J494" s="859" t="s">
        <v>280</v>
      </c>
      <c r="K494" s="859" t="s">
        <v>1634</v>
      </c>
      <c r="L494" s="858" t="s">
        <v>43</v>
      </c>
      <c r="M494" s="859">
        <v>1</v>
      </c>
      <c r="N494" s="870" t="s">
        <v>1750</v>
      </c>
      <c r="O494" s="805">
        <v>3050</v>
      </c>
      <c r="P494" s="861">
        <v>5.0999999999999996</v>
      </c>
      <c r="Q494" s="862" t="s">
        <v>2279</v>
      </c>
      <c r="R494" s="861">
        <v>22</v>
      </c>
      <c r="S494" s="862" t="s">
        <v>2279</v>
      </c>
      <c r="T494" s="861">
        <v>7.0000000000000007E-2</v>
      </c>
      <c r="U494" s="862" t="s">
        <v>2283</v>
      </c>
      <c r="V494" s="861">
        <v>0.31</v>
      </c>
      <c r="W494" s="862" t="s">
        <v>2283</v>
      </c>
      <c r="X494" s="861">
        <v>0.14000000000000001</v>
      </c>
      <c r="Y494" s="865" t="s">
        <v>2279</v>
      </c>
      <c r="Z494" s="866" t="s">
        <v>43</v>
      </c>
      <c r="AA494" s="867">
        <v>9.2E-5</v>
      </c>
      <c r="AB494" s="868" t="s">
        <v>2279</v>
      </c>
      <c r="AC494" s="869" t="s">
        <v>1750</v>
      </c>
    </row>
    <row r="495" spans="1:29" ht="15.75">
      <c r="A495" s="856" t="s">
        <v>1192</v>
      </c>
      <c r="B495" s="792" t="s">
        <v>1193</v>
      </c>
      <c r="C495" s="857" t="s">
        <v>1750</v>
      </c>
      <c r="D495" s="858" t="s">
        <v>43</v>
      </c>
      <c r="E495" s="843" t="s">
        <v>1750</v>
      </c>
      <c r="F495" s="858" t="s">
        <v>43</v>
      </c>
      <c r="G495" s="804">
        <v>3000</v>
      </c>
      <c r="H495" s="859" t="s">
        <v>281</v>
      </c>
      <c r="I495" s="843" t="s">
        <v>1750</v>
      </c>
      <c r="J495" s="858" t="s">
        <v>43</v>
      </c>
      <c r="K495" s="858" t="s">
        <v>43</v>
      </c>
      <c r="L495" s="858" t="s">
        <v>43</v>
      </c>
      <c r="M495" s="859">
        <v>1</v>
      </c>
      <c r="N495" s="859">
        <v>0.1</v>
      </c>
      <c r="O495" s="860" t="s">
        <v>1750</v>
      </c>
      <c r="P495" s="861">
        <v>190000000</v>
      </c>
      <c r="Q495" s="862" t="s">
        <v>2281</v>
      </c>
      <c r="R495" s="861">
        <v>2500000000</v>
      </c>
      <c r="S495" s="862" t="s">
        <v>2281</v>
      </c>
      <c r="T495" s="863" t="s">
        <v>1750</v>
      </c>
      <c r="U495" s="864" t="s">
        <v>43</v>
      </c>
      <c r="V495" s="863" t="s">
        <v>1750</v>
      </c>
      <c r="W495" s="864" t="s">
        <v>43</v>
      </c>
      <c r="X495" s="861">
        <v>60000000</v>
      </c>
      <c r="Y495" s="865" t="s">
        <v>179</v>
      </c>
      <c r="Z495" s="866" t="s">
        <v>43</v>
      </c>
      <c r="AA495" s="867">
        <v>13000</v>
      </c>
      <c r="AB495" s="868" t="s">
        <v>179</v>
      </c>
      <c r="AC495" s="869" t="s">
        <v>1750</v>
      </c>
    </row>
    <row r="496" spans="1:29" ht="16.5" thickBot="1">
      <c r="A496" s="871" t="s">
        <v>1194</v>
      </c>
      <c r="B496" s="807" t="s">
        <v>1195</v>
      </c>
      <c r="C496" s="872" t="s">
        <v>1750</v>
      </c>
      <c r="D496" s="873" t="s">
        <v>43</v>
      </c>
      <c r="E496" s="847" t="s">
        <v>1750</v>
      </c>
      <c r="F496" s="873" t="s">
        <v>43</v>
      </c>
      <c r="G496" s="819">
        <v>7.0000000000000007E-2</v>
      </c>
      <c r="H496" s="874" t="s">
        <v>13</v>
      </c>
      <c r="I496" s="847" t="s">
        <v>1750</v>
      </c>
      <c r="J496" s="873" t="s">
        <v>43</v>
      </c>
      <c r="K496" s="873" t="s">
        <v>43</v>
      </c>
      <c r="L496" s="873" t="s">
        <v>43</v>
      </c>
      <c r="M496" s="874">
        <v>1</v>
      </c>
      <c r="N496" s="874">
        <v>0.1</v>
      </c>
      <c r="O496" s="875" t="s">
        <v>1750</v>
      </c>
      <c r="P496" s="876">
        <v>4400</v>
      </c>
      <c r="Q496" s="877" t="s">
        <v>179</v>
      </c>
      <c r="R496" s="876">
        <v>57000</v>
      </c>
      <c r="S496" s="877" t="s">
        <v>179</v>
      </c>
      <c r="T496" s="878" t="s">
        <v>1750</v>
      </c>
      <c r="U496" s="879" t="s">
        <v>43</v>
      </c>
      <c r="V496" s="878" t="s">
        <v>1750</v>
      </c>
      <c r="W496" s="879" t="s">
        <v>43</v>
      </c>
      <c r="X496" s="876">
        <v>1400</v>
      </c>
      <c r="Y496" s="880" t="s">
        <v>179</v>
      </c>
      <c r="Z496" s="881" t="s">
        <v>43</v>
      </c>
      <c r="AA496" s="882">
        <v>0.61</v>
      </c>
      <c r="AB496" s="883" t="s">
        <v>179</v>
      </c>
      <c r="AC496" s="884" t="s">
        <v>1750</v>
      </c>
    </row>
    <row r="497" spans="1:29" ht="15.75">
      <c r="A497" s="856" t="s">
        <v>1196</v>
      </c>
      <c r="B497" s="792" t="s">
        <v>1197</v>
      </c>
      <c r="C497" s="889">
        <v>1.3</v>
      </c>
      <c r="D497" s="859" t="s">
        <v>3</v>
      </c>
      <c r="E497" s="804">
        <v>3.6999999999999999E-4</v>
      </c>
      <c r="F497" s="859" t="s">
        <v>3</v>
      </c>
      <c r="G497" s="843" t="s">
        <v>1750</v>
      </c>
      <c r="H497" s="858" t="s">
        <v>43</v>
      </c>
      <c r="I497" s="843" t="s">
        <v>1750</v>
      </c>
      <c r="J497" s="858" t="s">
        <v>43</v>
      </c>
      <c r="K497" s="858" t="s">
        <v>43</v>
      </c>
      <c r="L497" s="858" t="s">
        <v>43</v>
      </c>
      <c r="M497" s="859">
        <v>1</v>
      </c>
      <c r="N497" s="859">
        <v>0.1</v>
      </c>
      <c r="O497" s="860" t="s">
        <v>1750</v>
      </c>
      <c r="P497" s="861">
        <v>0.42</v>
      </c>
      <c r="Q497" s="862" t="s">
        <v>2283</v>
      </c>
      <c r="R497" s="861">
        <v>1.8</v>
      </c>
      <c r="S497" s="862" t="s">
        <v>2283</v>
      </c>
      <c r="T497" s="861">
        <v>7.6E-3</v>
      </c>
      <c r="U497" s="862" t="s">
        <v>2283</v>
      </c>
      <c r="V497" s="861">
        <v>3.3000000000000002E-2</v>
      </c>
      <c r="W497" s="862" t="s">
        <v>2283</v>
      </c>
      <c r="X497" s="861">
        <v>0.06</v>
      </c>
      <c r="Y497" s="865" t="s">
        <v>2283</v>
      </c>
      <c r="Z497" s="866" t="s">
        <v>43</v>
      </c>
      <c r="AA497" s="867">
        <v>5.3999999999999998E-5</v>
      </c>
      <c r="AB497" s="868" t="s">
        <v>2283</v>
      </c>
      <c r="AC497" s="869" t="s">
        <v>1750</v>
      </c>
    </row>
    <row r="498" spans="1:29" ht="15.75">
      <c r="A498" s="856" t="s">
        <v>1198</v>
      </c>
      <c r="B498" s="792" t="s">
        <v>1199</v>
      </c>
      <c r="C498" s="889">
        <v>1.7000000000000001E-2</v>
      </c>
      <c r="D498" s="859" t="s">
        <v>281</v>
      </c>
      <c r="E498" s="843" t="s">
        <v>1750</v>
      </c>
      <c r="F498" s="858" t="s">
        <v>43</v>
      </c>
      <c r="G498" s="804">
        <v>1E-4</v>
      </c>
      <c r="H498" s="859" t="s">
        <v>281</v>
      </c>
      <c r="I498" s="843" t="s">
        <v>1750</v>
      </c>
      <c r="J498" s="858" t="s">
        <v>43</v>
      </c>
      <c r="K498" s="858" t="s">
        <v>43</v>
      </c>
      <c r="L498" s="858" t="s">
        <v>43</v>
      </c>
      <c r="M498" s="859">
        <v>1</v>
      </c>
      <c r="N498" s="859">
        <v>0.1</v>
      </c>
      <c r="O498" s="860" t="s">
        <v>1750</v>
      </c>
      <c r="P498" s="861">
        <v>6.3</v>
      </c>
      <c r="Q498" s="862" t="s">
        <v>179</v>
      </c>
      <c r="R498" s="861">
        <v>82</v>
      </c>
      <c r="S498" s="862" t="s">
        <v>179</v>
      </c>
      <c r="T498" s="863" t="s">
        <v>1750</v>
      </c>
      <c r="U498" s="864" t="s">
        <v>43</v>
      </c>
      <c r="V498" s="863" t="s">
        <v>1750</v>
      </c>
      <c r="W498" s="864" t="s">
        <v>43</v>
      </c>
      <c r="X498" s="861">
        <v>2</v>
      </c>
      <c r="Y498" s="865" t="s">
        <v>179</v>
      </c>
      <c r="Z498" s="866" t="s">
        <v>43</v>
      </c>
      <c r="AA498" s="867">
        <v>8.4999999999999995E-4</v>
      </c>
      <c r="AB498" s="868" t="s">
        <v>179</v>
      </c>
      <c r="AC498" s="869" t="s">
        <v>1750</v>
      </c>
    </row>
    <row r="499" spans="1:29" ht="16.5" thickBot="1">
      <c r="A499" s="871" t="s">
        <v>1200</v>
      </c>
      <c r="B499" s="807" t="s">
        <v>1201</v>
      </c>
      <c r="C499" s="872" t="s">
        <v>1750</v>
      </c>
      <c r="D499" s="873" t="s">
        <v>43</v>
      </c>
      <c r="E499" s="847" t="s">
        <v>1750</v>
      </c>
      <c r="F499" s="873" t="s">
        <v>43</v>
      </c>
      <c r="G499" s="819">
        <v>0.1</v>
      </c>
      <c r="H499" s="874" t="s">
        <v>280</v>
      </c>
      <c r="I499" s="847" t="s">
        <v>1750</v>
      </c>
      <c r="J499" s="873" t="s">
        <v>43</v>
      </c>
      <c r="K499" s="873" t="s">
        <v>43</v>
      </c>
      <c r="L499" s="873" t="s">
        <v>43</v>
      </c>
      <c r="M499" s="874">
        <v>1</v>
      </c>
      <c r="N499" s="874">
        <v>0.1</v>
      </c>
      <c r="O499" s="875" t="s">
        <v>1750</v>
      </c>
      <c r="P499" s="876">
        <v>6300</v>
      </c>
      <c r="Q499" s="877" t="s">
        <v>179</v>
      </c>
      <c r="R499" s="876">
        <v>82000</v>
      </c>
      <c r="S499" s="877" t="s">
        <v>179</v>
      </c>
      <c r="T499" s="878" t="s">
        <v>1750</v>
      </c>
      <c r="U499" s="879" t="s">
        <v>43</v>
      </c>
      <c r="V499" s="878" t="s">
        <v>1750</v>
      </c>
      <c r="W499" s="879" t="s">
        <v>43</v>
      </c>
      <c r="X499" s="876">
        <v>2000</v>
      </c>
      <c r="Y499" s="880" t="s">
        <v>179</v>
      </c>
      <c r="Z499" s="881" t="s">
        <v>43</v>
      </c>
      <c r="AA499" s="882">
        <v>0.48</v>
      </c>
      <c r="AB499" s="883" t="s">
        <v>179</v>
      </c>
      <c r="AC499" s="884" t="s">
        <v>1750</v>
      </c>
    </row>
    <row r="500" spans="1:29" ht="15.75">
      <c r="A500" s="856" t="s">
        <v>1202</v>
      </c>
      <c r="B500" s="792" t="s">
        <v>1203</v>
      </c>
      <c r="C500" s="857" t="s">
        <v>1750</v>
      </c>
      <c r="D500" s="858" t="s">
        <v>43</v>
      </c>
      <c r="E500" s="804">
        <v>8.8000000000000004E-6</v>
      </c>
      <c r="F500" s="859" t="s">
        <v>281</v>
      </c>
      <c r="G500" s="843" t="s">
        <v>1750</v>
      </c>
      <c r="H500" s="858" t="s">
        <v>43</v>
      </c>
      <c r="I500" s="804">
        <v>5.0000000000000001E-3</v>
      </c>
      <c r="J500" s="859" t="s">
        <v>281</v>
      </c>
      <c r="K500" s="859" t="s">
        <v>1634</v>
      </c>
      <c r="L500" s="858" t="s">
        <v>43</v>
      </c>
      <c r="M500" s="859">
        <v>1</v>
      </c>
      <c r="N500" s="870" t="s">
        <v>1750</v>
      </c>
      <c r="O500" s="805">
        <v>18000</v>
      </c>
      <c r="P500" s="861">
        <v>5.4</v>
      </c>
      <c r="Q500" s="862" t="s">
        <v>2279</v>
      </c>
      <c r="R500" s="861">
        <v>24</v>
      </c>
      <c r="S500" s="862" t="s">
        <v>2279</v>
      </c>
      <c r="T500" s="861">
        <v>0.32</v>
      </c>
      <c r="U500" s="862" t="s">
        <v>2279</v>
      </c>
      <c r="V500" s="861">
        <v>1.4</v>
      </c>
      <c r="W500" s="862" t="s">
        <v>2279</v>
      </c>
      <c r="X500" s="861">
        <v>0.64</v>
      </c>
      <c r="Y500" s="865" t="s">
        <v>2279</v>
      </c>
      <c r="Z500" s="866" t="s">
        <v>43</v>
      </c>
      <c r="AA500" s="867">
        <v>1.3999999999999999E-4</v>
      </c>
      <c r="AB500" s="868" t="s">
        <v>2279</v>
      </c>
      <c r="AC500" s="869" t="s">
        <v>1750</v>
      </c>
    </row>
    <row r="501" spans="1:29" ht="15.75">
      <c r="A501" s="856" t="s">
        <v>170</v>
      </c>
      <c r="B501" s="792" t="s">
        <v>1204</v>
      </c>
      <c r="C501" s="857" t="s">
        <v>1750</v>
      </c>
      <c r="D501" s="858" t="s">
        <v>43</v>
      </c>
      <c r="E501" s="804">
        <v>2.7000000000000001E-3</v>
      </c>
      <c r="F501" s="859" t="s">
        <v>13</v>
      </c>
      <c r="G501" s="843" t="s">
        <v>1750</v>
      </c>
      <c r="H501" s="858" t="s">
        <v>43</v>
      </c>
      <c r="I501" s="804">
        <v>0.02</v>
      </c>
      <c r="J501" s="859" t="s">
        <v>280</v>
      </c>
      <c r="K501" s="859" t="s">
        <v>1634</v>
      </c>
      <c r="L501" s="858" t="s">
        <v>43</v>
      </c>
      <c r="M501" s="859">
        <v>1</v>
      </c>
      <c r="N501" s="870" t="s">
        <v>1750</v>
      </c>
      <c r="O501" s="805">
        <v>4860</v>
      </c>
      <c r="P501" s="861">
        <v>1.4E-2</v>
      </c>
      <c r="Q501" s="862" t="s">
        <v>2283</v>
      </c>
      <c r="R501" s="861">
        <v>0.06</v>
      </c>
      <c r="S501" s="862" t="s">
        <v>2283</v>
      </c>
      <c r="T501" s="861">
        <v>1E-3</v>
      </c>
      <c r="U501" s="862" t="s">
        <v>2283</v>
      </c>
      <c r="V501" s="861">
        <v>4.4999999999999997E-3</v>
      </c>
      <c r="W501" s="862" t="s">
        <v>2283</v>
      </c>
      <c r="X501" s="861">
        <v>2.0999999999999999E-3</v>
      </c>
      <c r="Y501" s="865" t="s">
        <v>2283</v>
      </c>
      <c r="Z501" s="866" t="s">
        <v>43</v>
      </c>
      <c r="AA501" s="867">
        <v>5.4000000000000002E-7</v>
      </c>
      <c r="AB501" s="868" t="s">
        <v>2283</v>
      </c>
      <c r="AC501" s="869" t="s">
        <v>1750</v>
      </c>
    </row>
    <row r="502" spans="1:29" ht="31.5" thickBot="1">
      <c r="A502" s="871" t="s">
        <v>1205</v>
      </c>
      <c r="B502" s="807" t="s">
        <v>1206</v>
      </c>
      <c r="C502" s="890">
        <v>27</v>
      </c>
      <c r="D502" s="874" t="s">
        <v>3</v>
      </c>
      <c r="E502" s="819">
        <v>7.7000000000000002E-3</v>
      </c>
      <c r="F502" s="874" t="s">
        <v>3</v>
      </c>
      <c r="G502" s="847" t="s">
        <v>1750</v>
      </c>
      <c r="H502" s="873" t="s">
        <v>43</v>
      </c>
      <c r="I502" s="847" t="s">
        <v>1750</v>
      </c>
      <c r="J502" s="873" t="s">
        <v>43</v>
      </c>
      <c r="K502" s="873" t="s">
        <v>43</v>
      </c>
      <c r="L502" s="874" t="s">
        <v>247</v>
      </c>
      <c r="M502" s="874">
        <v>1</v>
      </c>
      <c r="N502" s="874">
        <v>0.1</v>
      </c>
      <c r="O502" s="875" t="s">
        <v>1750</v>
      </c>
      <c r="P502" s="876">
        <v>4.4999999999999997E-3</v>
      </c>
      <c r="Q502" s="877" t="s">
        <v>2283</v>
      </c>
      <c r="R502" s="876">
        <v>8.5000000000000006E-2</v>
      </c>
      <c r="S502" s="877" t="s">
        <v>2283</v>
      </c>
      <c r="T502" s="876">
        <v>1.2999999999999999E-4</v>
      </c>
      <c r="U502" s="877" t="s">
        <v>2283</v>
      </c>
      <c r="V502" s="876">
        <v>1.6000000000000001E-3</v>
      </c>
      <c r="W502" s="877" t="s">
        <v>2283</v>
      </c>
      <c r="X502" s="876">
        <v>9.2000000000000003E-4</v>
      </c>
      <c r="Y502" s="880" t="s">
        <v>2283</v>
      </c>
      <c r="Z502" s="881" t="s">
        <v>43</v>
      </c>
      <c r="AA502" s="882">
        <v>2.2000000000000001E-7</v>
      </c>
      <c r="AB502" s="883" t="s">
        <v>2283</v>
      </c>
      <c r="AC502" s="884" t="s">
        <v>1750</v>
      </c>
    </row>
    <row r="503" spans="1:29" ht="30.75">
      <c r="A503" s="856" t="s">
        <v>1207</v>
      </c>
      <c r="B503" s="792" t="s">
        <v>1208</v>
      </c>
      <c r="C503" s="889">
        <v>120</v>
      </c>
      <c r="D503" s="859" t="s">
        <v>3</v>
      </c>
      <c r="E503" s="804">
        <v>3.4000000000000002E-2</v>
      </c>
      <c r="F503" s="859" t="s">
        <v>3</v>
      </c>
      <c r="G503" s="843" t="s">
        <v>1750</v>
      </c>
      <c r="H503" s="858" t="s">
        <v>43</v>
      </c>
      <c r="I503" s="843" t="s">
        <v>1750</v>
      </c>
      <c r="J503" s="858" t="s">
        <v>43</v>
      </c>
      <c r="K503" s="858" t="s">
        <v>43</v>
      </c>
      <c r="L503" s="859" t="s">
        <v>247</v>
      </c>
      <c r="M503" s="859">
        <v>1</v>
      </c>
      <c r="N503" s="859">
        <v>0.1</v>
      </c>
      <c r="O503" s="860" t="s">
        <v>1750</v>
      </c>
      <c r="P503" s="861">
        <v>1E-3</v>
      </c>
      <c r="Q503" s="862" t="s">
        <v>2283</v>
      </c>
      <c r="R503" s="861">
        <v>1.9E-2</v>
      </c>
      <c r="S503" s="862" t="s">
        <v>2283</v>
      </c>
      <c r="T503" s="861">
        <v>3.0000000000000001E-5</v>
      </c>
      <c r="U503" s="862" t="s">
        <v>2283</v>
      </c>
      <c r="V503" s="861">
        <v>3.6000000000000002E-4</v>
      </c>
      <c r="W503" s="862" t="s">
        <v>2283</v>
      </c>
      <c r="X503" s="861">
        <v>2.1000000000000001E-4</v>
      </c>
      <c r="Y503" s="865" t="s">
        <v>2283</v>
      </c>
      <c r="Z503" s="866" t="s">
        <v>43</v>
      </c>
      <c r="AA503" s="867">
        <v>4.6000000000000002E-8</v>
      </c>
      <c r="AB503" s="868" t="s">
        <v>2283</v>
      </c>
      <c r="AC503" s="869" t="s">
        <v>1750</v>
      </c>
    </row>
    <row r="504" spans="1:29" ht="30.75">
      <c r="A504" s="856" t="s">
        <v>1209</v>
      </c>
      <c r="B504" s="792" t="s">
        <v>1210</v>
      </c>
      <c r="C504" s="889">
        <v>5.4</v>
      </c>
      <c r="D504" s="859" t="s">
        <v>280</v>
      </c>
      <c r="E504" s="804">
        <v>1.6000000000000001E-3</v>
      </c>
      <c r="F504" s="859" t="s">
        <v>280</v>
      </c>
      <c r="G504" s="843" t="s">
        <v>1750</v>
      </c>
      <c r="H504" s="858" t="s">
        <v>43</v>
      </c>
      <c r="I504" s="843" t="s">
        <v>1750</v>
      </c>
      <c r="J504" s="858" t="s">
        <v>43</v>
      </c>
      <c r="K504" s="859" t="s">
        <v>1634</v>
      </c>
      <c r="L504" s="858" t="s">
        <v>43</v>
      </c>
      <c r="M504" s="859">
        <v>1</v>
      </c>
      <c r="N504" s="870" t="s">
        <v>1750</v>
      </c>
      <c r="O504" s="860" t="s">
        <v>1750</v>
      </c>
      <c r="P504" s="861">
        <v>9.9000000000000005E-2</v>
      </c>
      <c r="Q504" s="862" t="s">
        <v>2283</v>
      </c>
      <c r="R504" s="861">
        <v>0.46</v>
      </c>
      <c r="S504" s="862" t="s">
        <v>2283</v>
      </c>
      <c r="T504" s="861">
        <v>1.8E-3</v>
      </c>
      <c r="U504" s="862" t="s">
        <v>2283</v>
      </c>
      <c r="V504" s="861">
        <v>7.7000000000000002E-3</v>
      </c>
      <c r="W504" s="862" t="s">
        <v>2283</v>
      </c>
      <c r="X504" s="861">
        <v>2.7000000000000001E-3</v>
      </c>
      <c r="Y504" s="865" t="s">
        <v>2283</v>
      </c>
      <c r="Z504" s="866" t="s">
        <v>43</v>
      </c>
      <c r="AA504" s="867">
        <v>5.4999999999999999E-6</v>
      </c>
      <c r="AB504" s="868" t="s">
        <v>2283</v>
      </c>
      <c r="AC504" s="869" t="s">
        <v>1750</v>
      </c>
    </row>
    <row r="505" spans="1:29" ht="31.5" thickBot="1">
      <c r="A505" s="871" t="s">
        <v>1211</v>
      </c>
      <c r="B505" s="807" t="s">
        <v>1212</v>
      </c>
      <c r="C505" s="890">
        <v>7</v>
      </c>
      <c r="D505" s="874" t="s">
        <v>280</v>
      </c>
      <c r="E505" s="819">
        <v>2E-3</v>
      </c>
      <c r="F505" s="874" t="s">
        <v>3</v>
      </c>
      <c r="G505" s="847" t="s">
        <v>1750</v>
      </c>
      <c r="H505" s="873" t="s">
        <v>43</v>
      </c>
      <c r="I505" s="847" t="s">
        <v>1750</v>
      </c>
      <c r="J505" s="873" t="s">
        <v>43</v>
      </c>
      <c r="K505" s="873" t="s">
        <v>43</v>
      </c>
      <c r="L505" s="873" t="s">
        <v>43</v>
      </c>
      <c r="M505" s="874">
        <v>1</v>
      </c>
      <c r="N505" s="874">
        <v>0.1</v>
      </c>
      <c r="O505" s="875" t="s">
        <v>1750</v>
      </c>
      <c r="P505" s="876">
        <v>7.8E-2</v>
      </c>
      <c r="Q505" s="877" t="s">
        <v>2283</v>
      </c>
      <c r="R505" s="876">
        <v>0.33</v>
      </c>
      <c r="S505" s="877" t="s">
        <v>2283</v>
      </c>
      <c r="T505" s="876">
        <v>1.4E-3</v>
      </c>
      <c r="U505" s="877" t="s">
        <v>2283</v>
      </c>
      <c r="V505" s="876">
        <v>6.1000000000000004E-3</v>
      </c>
      <c r="W505" s="877" t="s">
        <v>2283</v>
      </c>
      <c r="X505" s="876">
        <v>1.0999999999999999E-2</v>
      </c>
      <c r="Y505" s="880" t="s">
        <v>2283</v>
      </c>
      <c r="Z505" s="881" t="s">
        <v>43</v>
      </c>
      <c r="AA505" s="882">
        <v>8.1000000000000004E-6</v>
      </c>
      <c r="AB505" s="883" t="s">
        <v>2283</v>
      </c>
      <c r="AC505" s="884" t="s">
        <v>1750</v>
      </c>
    </row>
    <row r="506" spans="1:29" ht="30.75">
      <c r="A506" s="856" t="s">
        <v>1213</v>
      </c>
      <c r="B506" s="792" t="s">
        <v>1214</v>
      </c>
      <c r="C506" s="889">
        <v>2.8</v>
      </c>
      <c r="D506" s="859" t="s">
        <v>280</v>
      </c>
      <c r="E506" s="804">
        <v>8.0000000000000004E-4</v>
      </c>
      <c r="F506" s="859" t="s">
        <v>3</v>
      </c>
      <c r="G506" s="843" t="s">
        <v>1750</v>
      </c>
      <c r="H506" s="858" t="s">
        <v>43</v>
      </c>
      <c r="I506" s="843" t="s">
        <v>1750</v>
      </c>
      <c r="J506" s="858" t="s">
        <v>43</v>
      </c>
      <c r="K506" s="858" t="s">
        <v>43</v>
      </c>
      <c r="L506" s="858" t="s">
        <v>43</v>
      </c>
      <c r="M506" s="859">
        <v>1</v>
      </c>
      <c r="N506" s="859">
        <v>0.1</v>
      </c>
      <c r="O506" s="860" t="s">
        <v>1750</v>
      </c>
      <c r="P506" s="861">
        <v>0.19</v>
      </c>
      <c r="Q506" s="862" t="s">
        <v>2283</v>
      </c>
      <c r="R506" s="861">
        <v>0.82</v>
      </c>
      <c r="S506" s="862" t="s">
        <v>2283</v>
      </c>
      <c r="T506" s="861">
        <v>3.5000000000000001E-3</v>
      </c>
      <c r="U506" s="862" t="s">
        <v>2283</v>
      </c>
      <c r="V506" s="861">
        <v>1.4999999999999999E-2</v>
      </c>
      <c r="W506" s="862" t="s">
        <v>2283</v>
      </c>
      <c r="X506" s="861">
        <v>2.8000000000000001E-2</v>
      </c>
      <c r="Y506" s="865" t="s">
        <v>2283</v>
      </c>
      <c r="Z506" s="866" t="s">
        <v>43</v>
      </c>
      <c r="AA506" s="867">
        <v>5.5999999999999997E-6</v>
      </c>
      <c r="AB506" s="868" t="s">
        <v>2283</v>
      </c>
      <c r="AC506" s="869" t="s">
        <v>1750</v>
      </c>
    </row>
    <row r="507" spans="1:29" ht="30.75">
      <c r="A507" s="856" t="s">
        <v>1215</v>
      </c>
      <c r="B507" s="792" t="s">
        <v>1216</v>
      </c>
      <c r="C507" s="889">
        <v>150</v>
      </c>
      <c r="D507" s="859" t="s">
        <v>280</v>
      </c>
      <c r="E507" s="804">
        <v>4.2999999999999997E-2</v>
      </c>
      <c r="F507" s="859" t="s">
        <v>280</v>
      </c>
      <c r="G507" s="843" t="s">
        <v>1750</v>
      </c>
      <c r="H507" s="858" t="s">
        <v>43</v>
      </c>
      <c r="I507" s="843" t="s">
        <v>1750</v>
      </c>
      <c r="J507" s="858" t="s">
        <v>43</v>
      </c>
      <c r="K507" s="858" t="s">
        <v>43</v>
      </c>
      <c r="L507" s="859" t="s">
        <v>247</v>
      </c>
      <c r="M507" s="859">
        <v>1</v>
      </c>
      <c r="N507" s="859">
        <v>0.1</v>
      </c>
      <c r="O507" s="860" t="s">
        <v>1750</v>
      </c>
      <c r="P507" s="861">
        <v>8.0999999999999996E-4</v>
      </c>
      <c r="Q507" s="862" t="s">
        <v>2283</v>
      </c>
      <c r="R507" s="861">
        <v>1.4999999999999999E-2</v>
      </c>
      <c r="S507" s="862" t="s">
        <v>2283</v>
      </c>
      <c r="T507" s="861">
        <v>2.4000000000000001E-5</v>
      </c>
      <c r="U507" s="862" t="s">
        <v>2283</v>
      </c>
      <c r="V507" s="861">
        <v>2.9E-4</v>
      </c>
      <c r="W507" s="862" t="s">
        <v>2283</v>
      </c>
      <c r="X507" s="861">
        <v>1.7000000000000001E-4</v>
      </c>
      <c r="Y507" s="865" t="s">
        <v>2283</v>
      </c>
      <c r="Z507" s="866" t="s">
        <v>43</v>
      </c>
      <c r="AA507" s="867">
        <v>6.1000000000000004E-8</v>
      </c>
      <c r="AB507" s="868" t="s">
        <v>2283</v>
      </c>
      <c r="AC507" s="869" t="s">
        <v>1750</v>
      </c>
    </row>
    <row r="508" spans="1:29" ht="31.5" thickBot="1">
      <c r="A508" s="871" t="s">
        <v>1217</v>
      </c>
      <c r="B508" s="807" t="s">
        <v>1218</v>
      </c>
      <c r="C508" s="890">
        <v>51</v>
      </c>
      <c r="D508" s="874" t="s">
        <v>280</v>
      </c>
      <c r="E508" s="819">
        <v>1.4E-2</v>
      </c>
      <c r="F508" s="874" t="s">
        <v>280</v>
      </c>
      <c r="G508" s="819">
        <v>7.9999999999999996E-6</v>
      </c>
      <c r="H508" s="874" t="s">
        <v>281</v>
      </c>
      <c r="I508" s="819">
        <v>4.0000000000000003E-5</v>
      </c>
      <c r="J508" s="874" t="s">
        <v>0</v>
      </c>
      <c r="K508" s="874" t="s">
        <v>1634</v>
      </c>
      <c r="L508" s="874" t="s">
        <v>247</v>
      </c>
      <c r="M508" s="874">
        <v>1</v>
      </c>
      <c r="N508" s="888" t="s">
        <v>1750</v>
      </c>
      <c r="O508" s="820">
        <v>237000</v>
      </c>
      <c r="P508" s="876">
        <v>2E-3</v>
      </c>
      <c r="Q508" s="877" t="s">
        <v>2283</v>
      </c>
      <c r="R508" s="876">
        <v>3.4000000000000002E-2</v>
      </c>
      <c r="S508" s="877" t="s">
        <v>2283</v>
      </c>
      <c r="T508" s="876">
        <v>7.2000000000000002E-5</v>
      </c>
      <c r="U508" s="877" t="s">
        <v>2283</v>
      </c>
      <c r="V508" s="876">
        <v>8.8000000000000003E-4</v>
      </c>
      <c r="W508" s="877" t="s">
        <v>2283</v>
      </c>
      <c r="X508" s="876">
        <v>1.1E-4</v>
      </c>
      <c r="Y508" s="880" t="s">
        <v>2283</v>
      </c>
      <c r="Z508" s="881" t="s">
        <v>43</v>
      </c>
      <c r="AA508" s="882">
        <v>2.7E-8</v>
      </c>
      <c r="AB508" s="883" t="s">
        <v>2283</v>
      </c>
      <c r="AC508" s="884" t="s">
        <v>1750</v>
      </c>
    </row>
    <row r="509" spans="1:29" ht="30.75">
      <c r="A509" s="856" t="s">
        <v>1219</v>
      </c>
      <c r="B509" s="792" t="s">
        <v>1220</v>
      </c>
      <c r="C509" s="889">
        <v>4.8999999999999998E-3</v>
      </c>
      <c r="D509" s="859" t="s">
        <v>280</v>
      </c>
      <c r="E509" s="804">
        <v>2.6000000000000001E-6</v>
      </c>
      <c r="F509" s="859" t="s">
        <v>3</v>
      </c>
      <c r="G509" s="843" t="s">
        <v>1750</v>
      </c>
      <c r="H509" s="858" t="s">
        <v>43</v>
      </c>
      <c r="I509" s="843" t="s">
        <v>1750</v>
      </c>
      <c r="J509" s="858" t="s">
        <v>43</v>
      </c>
      <c r="K509" s="858" t="s">
        <v>43</v>
      </c>
      <c r="L509" s="858" t="s">
        <v>43</v>
      </c>
      <c r="M509" s="859">
        <v>1</v>
      </c>
      <c r="N509" s="859">
        <v>0.1</v>
      </c>
      <c r="O509" s="860" t="s">
        <v>1750</v>
      </c>
      <c r="P509" s="861">
        <v>110</v>
      </c>
      <c r="Q509" s="862" t="s">
        <v>2283</v>
      </c>
      <c r="R509" s="861">
        <v>470</v>
      </c>
      <c r="S509" s="862" t="s">
        <v>2283</v>
      </c>
      <c r="T509" s="861">
        <v>1.1000000000000001</v>
      </c>
      <c r="U509" s="862" t="s">
        <v>2283</v>
      </c>
      <c r="V509" s="861">
        <v>4.7</v>
      </c>
      <c r="W509" s="862" t="s">
        <v>2283</v>
      </c>
      <c r="X509" s="861">
        <v>12</v>
      </c>
      <c r="Y509" s="865" t="s">
        <v>2283</v>
      </c>
      <c r="Z509" s="866" t="s">
        <v>43</v>
      </c>
      <c r="AA509" s="867">
        <v>6.7000000000000004E-2</v>
      </c>
      <c r="AB509" s="868" t="s">
        <v>2283</v>
      </c>
      <c r="AC509" s="869" t="s">
        <v>1750</v>
      </c>
    </row>
    <row r="510" spans="1:29" ht="30.75">
      <c r="A510" s="856" t="s">
        <v>1221</v>
      </c>
      <c r="B510" s="792" t="s">
        <v>1222</v>
      </c>
      <c r="C510" s="889">
        <v>22</v>
      </c>
      <c r="D510" s="859" t="s">
        <v>280</v>
      </c>
      <c r="E510" s="804">
        <v>6.3E-3</v>
      </c>
      <c r="F510" s="859" t="s">
        <v>3</v>
      </c>
      <c r="G510" s="843" t="s">
        <v>1750</v>
      </c>
      <c r="H510" s="858" t="s">
        <v>43</v>
      </c>
      <c r="I510" s="843" t="s">
        <v>1750</v>
      </c>
      <c r="J510" s="858" t="s">
        <v>43</v>
      </c>
      <c r="K510" s="859" t="s">
        <v>1634</v>
      </c>
      <c r="L510" s="858" t="s">
        <v>43</v>
      </c>
      <c r="M510" s="859">
        <v>1</v>
      </c>
      <c r="N510" s="870" t="s">
        <v>1750</v>
      </c>
      <c r="O510" s="805">
        <v>108000</v>
      </c>
      <c r="P510" s="861">
        <v>0.02</v>
      </c>
      <c r="Q510" s="862" t="s">
        <v>2283</v>
      </c>
      <c r="R510" s="861">
        <v>9.0999999999999998E-2</v>
      </c>
      <c r="S510" s="862" t="s">
        <v>2283</v>
      </c>
      <c r="T510" s="861">
        <v>4.4999999999999999E-4</v>
      </c>
      <c r="U510" s="862" t="s">
        <v>2283</v>
      </c>
      <c r="V510" s="861">
        <v>1.9E-3</v>
      </c>
      <c r="W510" s="862" t="s">
        <v>2283</v>
      </c>
      <c r="X510" s="861">
        <v>7.1000000000000002E-4</v>
      </c>
      <c r="Y510" s="865" t="s">
        <v>2283</v>
      </c>
      <c r="Z510" s="866" t="s">
        <v>43</v>
      </c>
      <c r="AA510" s="867">
        <v>1.9999999999999999E-7</v>
      </c>
      <c r="AB510" s="868" t="s">
        <v>2283</v>
      </c>
      <c r="AC510" s="869" t="s">
        <v>1750</v>
      </c>
    </row>
    <row r="511" spans="1:29" ht="31.5" thickBot="1">
      <c r="A511" s="871" t="s">
        <v>1223</v>
      </c>
      <c r="B511" s="807" t="s">
        <v>1224</v>
      </c>
      <c r="C511" s="890">
        <v>6.7</v>
      </c>
      <c r="D511" s="874" t="s">
        <v>3</v>
      </c>
      <c r="E511" s="819">
        <v>1.9E-3</v>
      </c>
      <c r="F511" s="874" t="s">
        <v>3</v>
      </c>
      <c r="G511" s="847" t="s">
        <v>1750</v>
      </c>
      <c r="H511" s="873" t="s">
        <v>43</v>
      </c>
      <c r="I511" s="847" t="s">
        <v>1750</v>
      </c>
      <c r="J511" s="873" t="s">
        <v>43</v>
      </c>
      <c r="K511" s="873" t="s">
        <v>43</v>
      </c>
      <c r="L511" s="873" t="s">
        <v>43</v>
      </c>
      <c r="M511" s="874">
        <v>1</v>
      </c>
      <c r="N511" s="874">
        <v>0.1</v>
      </c>
      <c r="O511" s="875" t="s">
        <v>1750</v>
      </c>
      <c r="P511" s="876">
        <v>8.1000000000000003E-2</v>
      </c>
      <c r="Q511" s="877" t="s">
        <v>2283</v>
      </c>
      <c r="R511" s="876">
        <v>0.34</v>
      </c>
      <c r="S511" s="877" t="s">
        <v>2283</v>
      </c>
      <c r="T511" s="876">
        <v>1.5E-3</v>
      </c>
      <c r="U511" s="877" t="s">
        <v>2283</v>
      </c>
      <c r="V511" s="876">
        <v>6.4999999999999997E-3</v>
      </c>
      <c r="W511" s="877" t="s">
        <v>2283</v>
      </c>
      <c r="X511" s="876">
        <v>1.2E-2</v>
      </c>
      <c r="Y511" s="880" t="s">
        <v>2283</v>
      </c>
      <c r="Z511" s="881" t="s">
        <v>43</v>
      </c>
      <c r="AA511" s="882">
        <v>2.7999999999999999E-6</v>
      </c>
      <c r="AB511" s="883" t="s">
        <v>2283</v>
      </c>
      <c r="AC511" s="884" t="s">
        <v>1750</v>
      </c>
    </row>
    <row r="512" spans="1:29" ht="30.75">
      <c r="A512" s="856" t="s">
        <v>1225</v>
      </c>
      <c r="B512" s="792" t="s">
        <v>1226</v>
      </c>
      <c r="C512" s="889">
        <v>9.4</v>
      </c>
      <c r="D512" s="859" t="s">
        <v>3</v>
      </c>
      <c r="E512" s="804">
        <v>2.7000000000000001E-3</v>
      </c>
      <c r="F512" s="859" t="s">
        <v>3</v>
      </c>
      <c r="G512" s="843" t="s">
        <v>1750</v>
      </c>
      <c r="H512" s="858" t="s">
        <v>43</v>
      </c>
      <c r="I512" s="843" t="s">
        <v>1750</v>
      </c>
      <c r="J512" s="858" t="s">
        <v>43</v>
      </c>
      <c r="K512" s="858" t="s">
        <v>43</v>
      </c>
      <c r="L512" s="858" t="s">
        <v>43</v>
      </c>
      <c r="M512" s="859">
        <v>1</v>
      </c>
      <c r="N512" s="859">
        <v>0.1</v>
      </c>
      <c r="O512" s="860" t="s">
        <v>1750</v>
      </c>
      <c r="P512" s="861">
        <v>5.8000000000000003E-2</v>
      </c>
      <c r="Q512" s="862" t="s">
        <v>2283</v>
      </c>
      <c r="R512" s="861">
        <v>0.24</v>
      </c>
      <c r="S512" s="862" t="s">
        <v>2283</v>
      </c>
      <c r="T512" s="861">
        <v>1E-3</v>
      </c>
      <c r="U512" s="862" t="s">
        <v>2283</v>
      </c>
      <c r="V512" s="861">
        <v>4.4999999999999997E-3</v>
      </c>
      <c r="W512" s="862" t="s">
        <v>2283</v>
      </c>
      <c r="X512" s="861">
        <v>8.2000000000000007E-3</v>
      </c>
      <c r="Y512" s="865" t="s">
        <v>2283</v>
      </c>
      <c r="Z512" s="866" t="s">
        <v>43</v>
      </c>
      <c r="AA512" s="867">
        <v>4.4000000000000002E-6</v>
      </c>
      <c r="AB512" s="868" t="s">
        <v>2283</v>
      </c>
      <c r="AC512" s="869" t="s">
        <v>1750</v>
      </c>
    </row>
    <row r="513" spans="1:29" ht="30.75">
      <c r="A513" s="856" t="s">
        <v>1227</v>
      </c>
      <c r="B513" s="792" t="s">
        <v>1228</v>
      </c>
      <c r="C513" s="889">
        <v>2.1</v>
      </c>
      <c r="D513" s="859" t="s">
        <v>280</v>
      </c>
      <c r="E513" s="804">
        <v>6.0999999999999997E-4</v>
      </c>
      <c r="F513" s="859" t="s">
        <v>280</v>
      </c>
      <c r="G513" s="843" t="s">
        <v>1750</v>
      </c>
      <c r="H513" s="858" t="s">
        <v>43</v>
      </c>
      <c r="I513" s="843" t="s">
        <v>1750</v>
      </c>
      <c r="J513" s="858" t="s">
        <v>43</v>
      </c>
      <c r="K513" s="858" t="s">
        <v>43</v>
      </c>
      <c r="L513" s="858" t="s">
        <v>43</v>
      </c>
      <c r="M513" s="859">
        <v>1</v>
      </c>
      <c r="N513" s="859">
        <v>0.1</v>
      </c>
      <c r="O513" s="860" t="s">
        <v>1750</v>
      </c>
      <c r="P513" s="861">
        <v>0.26</v>
      </c>
      <c r="Q513" s="862" t="s">
        <v>2283</v>
      </c>
      <c r="R513" s="861">
        <v>1.1000000000000001</v>
      </c>
      <c r="S513" s="862" t="s">
        <v>2283</v>
      </c>
      <c r="T513" s="861">
        <v>4.5999999999999999E-3</v>
      </c>
      <c r="U513" s="862" t="s">
        <v>2283</v>
      </c>
      <c r="V513" s="861">
        <v>0.02</v>
      </c>
      <c r="W513" s="862" t="s">
        <v>2283</v>
      </c>
      <c r="X513" s="861">
        <v>3.6999999999999998E-2</v>
      </c>
      <c r="Y513" s="865" t="s">
        <v>2283</v>
      </c>
      <c r="Z513" s="866" t="s">
        <v>43</v>
      </c>
      <c r="AA513" s="867">
        <v>1.4E-5</v>
      </c>
      <c r="AB513" s="868" t="s">
        <v>2283</v>
      </c>
      <c r="AC513" s="869" t="s">
        <v>1750</v>
      </c>
    </row>
    <row r="514" spans="1:29" ht="16.5" thickBot="1">
      <c r="A514" s="871" t="s">
        <v>1229</v>
      </c>
      <c r="B514" s="807" t="s">
        <v>1230</v>
      </c>
      <c r="C514" s="872" t="s">
        <v>1750</v>
      </c>
      <c r="D514" s="873" t="s">
        <v>43</v>
      </c>
      <c r="E514" s="847" t="s">
        <v>1750</v>
      </c>
      <c r="F514" s="873" t="s">
        <v>43</v>
      </c>
      <c r="G514" s="819">
        <v>1E-4</v>
      </c>
      <c r="H514" s="874" t="s">
        <v>0</v>
      </c>
      <c r="I514" s="847" t="s">
        <v>1750</v>
      </c>
      <c r="J514" s="873" t="s">
        <v>43</v>
      </c>
      <c r="K514" s="873" t="s">
        <v>43</v>
      </c>
      <c r="L514" s="873" t="s">
        <v>43</v>
      </c>
      <c r="M514" s="874">
        <v>1</v>
      </c>
      <c r="N514" s="874">
        <v>0.1</v>
      </c>
      <c r="O514" s="875" t="s">
        <v>1750</v>
      </c>
      <c r="P514" s="876">
        <v>6.3</v>
      </c>
      <c r="Q514" s="877" t="s">
        <v>179</v>
      </c>
      <c r="R514" s="876">
        <v>82</v>
      </c>
      <c r="S514" s="877" t="s">
        <v>179</v>
      </c>
      <c r="T514" s="878" t="s">
        <v>1750</v>
      </c>
      <c r="U514" s="879" t="s">
        <v>43</v>
      </c>
      <c r="V514" s="878" t="s">
        <v>1750</v>
      </c>
      <c r="W514" s="879" t="s">
        <v>43</v>
      </c>
      <c r="X514" s="876">
        <v>1.7</v>
      </c>
      <c r="Y514" s="880" t="s">
        <v>179</v>
      </c>
      <c r="Z514" s="881" t="s">
        <v>43</v>
      </c>
      <c r="AA514" s="882">
        <v>1.6000000000000001E-3</v>
      </c>
      <c r="AB514" s="883" t="s">
        <v>179</v>
      </c>
      <c r="AC514" s="884" t="s">
        <v>1750</v>
      </c>
    </row>
    <row r="515" spans="1:29" ht="15.75">
      <c r="A515" s="856" t="s">
        <v>174</v>
      </c>
      <c r="B515" s="792" t="s">
        <v>1231</v>
      </c>
      <c r="C515" s="889">
        <v>0.22</v>
      </c>
      <c r="D515" s="859" t="s">
        <v>281</v>
      </c>
      <c r="E515" s="843" t="s">
        <v>1750</v>
      </c>
      <c r="F515" s="858" t="s">
        <v>43</v>
      </c>
      <c r="G515" s="804">
        <v>8.9999999999999998E-4</v>
      </c>
      <c r="H515" s="859" t="s">
        <v>281</v>
      </c>
      <c r="I515" s="843" t="s">
        <v>1750</v>
      </c>
      <c r="J515" s="858" t="s">
        <v>43</v>
      </c>
      <c r="K515" s="859" t="s">
        <v>1634</v>
      </c>
      <c r="L515" s="858" t="s">
        <v>43</v>
      </c>
      <c r="M515" s="859">
        <v>1</v>
      </c>
      <c r="N515" s="870" t="s">
        <v>1750</v>
      </c>
      <c r="O515" s="805">
        <v>1510</v>
      </c>
      <c r="P515" s="861">
        <v>3.2</v>
      </c>
      <c r="Q515" s="862" t="s">
        <v>2279</v>
      </c>
      <c r="R515" s="861">
        <v>15</v>
      </c>
      <c r="S515" s="862" t="s">
        <v>2279</v>
      </c>
      <c r="T515" s="863" t="s">
        <v>1750</v>
      </c>
      <c r="U515" s="864" t="s">
        <v>43</v>
      </c>
      <c r="V515" s="863" t="s">
        <v>1750</v>
      </c>
      <c r="W515" s="864" t="s">
        <v>43</v>
      </c>
      <c r="X515" s="861">
        <v>0.31</v>
      </c>
      <c r="Y515" s="865" t="s">
        <v>2279</v>
      </c>
      <c r="Z515" s="866" t="s">
        <v>43</v>
      </c>
      <c r="AA515" s="867">
        <v>2.9999999999999997E-4</v>
      </c>
      <c r="AB515" s="868" t="s">
        <v>2279</v>
      </c>
      <c r="AC515" s="869" t="s">
        <v>1750</v>
      </c>
    </row>
    <row r="516" spans="1:29" ht="15.75">
      <c r="A516" s="856" t="s">
        <v>1232</v>
      </c>
      <c r="B516" s="792" t="s">
        <v>1233</v>
      </c>
      <c r="C516" s="889">
        <v>1.6E-2</v>
      </c>
      <c r="D516" s="859" t="s">
        <v>281</v>
      </c>
      <c r="E516" s="843" t="s">
        <v>1750</v>
      </c>
      <c r="F516" s="858" t="s">
        <v>43</v>
      </c>
      <c r="G516" s="804">
        <v>4.0000000000000001E-3</v>
      </c>
      <c r="H516" s="859" t="s">
        <v>281</v>
      </c>
      <c r="I516" s="843" t="s">
        <v>1750</v>
      </c>
      <c r="J516" s="858" t="s">
        <v>43</v>
      </c>
      <c r="K516" s="858" t="s">
        <v>43</v>
      </c>
      <c r="L516" s="858" t="s">
        <v>43</v>
      </c>
      <c r="M516" s="859">
        <v>1</v>
      </c>
      <c r="N516" s="859">
        <v>0.1</v>
      </c>
      <c r="O516" s="860" t="s">
        <v>1750</v>
      </c>
      <c r="P516" s="861">
        <v>34</v>
      </c>
      <c r="Q516" s="862" t="s">
        <v>2278</v>
      </c>
      <c r="R516" s="861">
        <v>140</v>
      </c>
      <c r="S516" s="862" t="s">
        <v>2279</v>
      </c>
      <c r="T516" s="863" t="s">
        <v>1750</v>
      </c>
      <c r="U516" s="864" t="s">
        <v>43</v>
      </c>
      <c r="V516" s="863" t="s">
        <v>1750</v>
      </c>
      <c r="W516" s="864" t="s">
        <v>43</v>
      </c>
      <c r="X516" s="861">
        <v>4.3</v>
      </c>
      <c r="Y516" s="865" t="s">
        <v>2279</v>
      </c>
      <c r="Z516" s="866" t="s">
        <v>43</v>
      </c>
      <c r="AA516" s="867">
        <v>4.0000000000000001E-3</v>
      </c>
      <c r="AB516" s="868" t="s">
        <v>2279</v>
      </c>
      <c r="AC516" s="869" t="s">
        <v>1750</v>
      </c>
    </row>
    <row r="517" spans="1:29" ht="16.5" thickBot="1">
      <c r="A517" s="871" t="s">
        <v>1234</v>
      </c>
      <c r="B517" s="807" t="s">
        <v>1235</v>
      </c>
      <c r="C517" s="872" t="s">
        <v>1750</v>
      </c>
      <c r="D517" s="873" t="s">
        <v>43</v>
      </c>
      <c r="E517" s="847" t="s">
        <v>1750</v>
      </c>
      <c r="F517" s="873" t="s">
        <v>43</v>
      </c>
      <c r="G517" s="819">
        <v>2.9999999999999997E-4</v>
      </c>
      <c r="H517" s="874" t="s">
        <v>0</v>
      </c>
      <c r="I517" s="819">
        <v>0.02</v>
      </c>
      <c r="J517" s="874" t="s">
        <v>281</v>
      </c>
      <c r="K517" s="874" t="s">
        <v>1634</v>
      </c>
      <c r="L517" s="873" t="s">
        <v>43</v>
      </c>
      <c r="M517" s="874">
        <v>1</v>
      </c>
      <c r="N517" s="888" t="s">
        <v>1750</v>
      </c>
      <c r="O517" s="820">
        <v>6.86</v>
      </c>
      <c r="P517" s="876">
        <v>11</v>
      </c>
      <c r="Q517" s="877" t="s">
        <v>2282</v>
      </c>
      <c r="R517" s="876">
        <v>72</v>
      </c>
      <c r="S517" s="877" t="s">
        <v>2282</v>
      </c>
      <c r="T517" s="876">
        <v>21</v>
      </c>
      <c r="U517" s="877" t="s">
        <v>179</v>
      </c>
      <c r="V517" s="876">
        <v>88</v>
      </c>
      <c r="W517" s="877" t="s">
        <v>179</v>
      </c>
      <c r="X517" s="876">
        <v>5.3</v>
      </c>
      <c r="Y517" s="880" t="s">
        <v>179</v>
      </c>
      <c r="Z517" s="881" t="s">
        <v>43</v>
      </c>
      <c r="AA517" s="882">
        <v>7.4999999999999997E-2</v>
      </c>
      <c r="AB517" s="883" t="s">
        <v>179</v>
      </c>
      <c r="AC517" s="884" t="s">
        <v>1750</v>
      </c>
    </row>
    <row r="518" spans="1:29" ht="30.75">
      <c r="A518" s="856" t="s">
        <v>1236</v>
      </c>
      <c r="B518" s="792" t="s">
        <v>1237</v>
      </c>
      <c r="C518" s="857" t="s">
        <v>1750</v>
      </c>
      <c r="D518" s="858" t="s">
        <v>43</v>
      </c>
      <c r="E518" s="843" t="s">
        <v>1750</v>
      </c>
      <c r="F518" s="858" t="s">
        <v>43</v>
      </c>
      <c r="G518" s="804">
        <v>1.4999999999999999E-2</v>
      </c>
      <c r="H518" s="859" t="s">
        <v>2463</v>
      </c>
      <c r="I518" s="843" t="s">
        <v>1750</v>
      </c>
      <c r="J518" s="858" t="s">
        <v>43</v>
      </c>
      <c r="K518" s="858" t="s">
        <v>43</v>
      </c>
      <c r="L518" s="858" t="s">
        <v>43</v>
      </c>
      <c r="M518" s="859">
        <v>1</v>
      </c>
      <c r="N518" s="859">
        <v>0.1</v>
      </c>
      <c r="O518" s="860" t="s">
        <v>1750</v>
      </c>
      <c r="P518" s="861">
        <v>950</v>
      </c>
      <c r="Q518" s="862" t="s">
        <v>179</v>
      </c>
      <c r="R518" s="861">
        <v>12000</v>
      </c>
      <c r="S518" s="862" t="s">
        <v>179</v>
      </c>
      <c r="T518" s="863" t="s">
        <v>1750</v>
      </c>
      <c r="U518" s="864" t="s">
        <v>43</v>
      </c>
      <c r="V518" s="863" t="s">
        <v>1750</v>
      </c>
      <c r="W518" s="864" t="s">
        <v>43</v>
      </c>
      <c r="X518" s="861">
        <v>290</v>
      </c>
      <c r="Y518" s="865" t="s">
        <v>179</v>
      </c>
      <c r="Z518" s="866" t="s">
        <v>43</v>
      </c>
      <c r="AA518" s="867">
        <v>1.9</v>
      </c>
      <c r="AB518" s="868" t="s">
        <v>179</v>
      </c>
      <c r="AC518" s="869" t="s">
        <v>1750</v>
      </c>
    </row>
    <row r="519" spans="1:29" ht="30.75">
      <c r="A519" s="856" t="s">
        <v>1239</v>
      </c>
      <c r="B519" s="792" t="s">
        <v>1240</v>
      </c>
      <c r="C519" s="857" t="s">
        <v>1750</v>
      </c>
      <c r="D519" s="858" t="s">
        <v>43</v>
      </c>
      <c r="E519" s="843" t="s">
        <v>1750</v>
      </c>
      <c r="F519" s="858" t="s">
        <v>43</v>
      </c>
      <c r="G519" s="804">
        <v>3.0000000000000001E-3</v>
      </c>
      <c r="H519" s="859" t="s">
        <v>280</v>
      </c>
      <c r="I519" s="843" t="s">
        <v>1750</v>
      </c>
      <c r="J519" s="858" t="s">
        <v>43</v>
      </c>
      <c r="K519" s="858" t="s">
        <v>43</v>
      </c>
      <c r="L519" s="858" t="s">
        <v>43</v>
      </c>
      <c r="M519" s="859">
        <v>1</v>
      </c>
      <c r="N519" s="859">
        <v>0.1</v>
      </c>
      <c r="O519" s="860" t="s">
        <v>1750</v>
      </c>
      <c r="P519" s="861">
        <v>190</v>
      </c>
      <c r="Q519" s="862" t="s">
        <v>179</v>
      </c>
      <c r="R519" s="861">
        <v>2500</v>
      </c>
      <c r="S519" s="862" t="s">
        <v>179</v>
      </c>
      <c r="T519" s="863" t="s">
        <v>1750</v>
      </c>
      <c r="U519" s="864" t="s">
        <v>43</v>
      </c>
      <c r="V519" s="863" t="s">
        <v>1750</v>
      </c>
      <c r="W519" s="864" t="s">
        <v>43</v>
      </c>
      <c r="X519" s="861">
        <v>60</v>
      </c>
      <c r="Y519" s="865" t="s">
        <v>179</v>
      </c>
      <c r="Z519" s="866" t="s">
        <v>43</v>
      </c>
      <c r="AA519" s="867">
        <v>12</v>
      </c>
      <c r="AB519" s="868" t="s">
        <v>179</v>
      </c>
      <c r="AC519" s="869" t="s">
        <v>1750</v>
      </c>
    </row>
    <row r="520" spans="1:29" ht="46.5" thickBot="1">
      <c r="A520" s="871" t="s">
        <v>2111</v>
      </c>
      <c r="B520" s="807" t="s">
        <v>1241</v>
      </c>
      <c r="C520" s="872" t="s">
        <v>1750</v>
      </c>
      <c r="D520" s="873" t="s">
        <v>43</v>
      </c>
      <c r="E520" s="847" t="s">
        <v>1750</v>
      </c>
      <c r="F520" s="873" t="s">
        <v>43</v>
      </c>
      <c r="G520" s="819">
        <v>0.05</v>
      </c>
      <c r="H520" s="874" t="s">
        <v>280</v>
      </c>
      <c r="I520" s="847" t="s">
        <v>1750</v>
      </c>
      <c r="J520" s="873" t="s">
        <v>43</v>
      </c>
      <c r="K520" s="873" t="s">
        <v>43</v>
      </c>
      <c r="L520" s="873" t="s">
        <v>43</v>
      </c>
      <c r="M520" s="874">
        <v>1</v>
      </c>
      <c r="N520" s="874">
        <v>6.0000000000000001E-3</v>
      </c>
      <c r="O520" s="875" t="s">
        <v>1750</v>
      </c>
      <c r="P520" s="876">
        <v>3900</v>
      </c>
      <c r="Q520" s="877" t="s">
        <v>179</v>
      </c>
      <c r="R520" s="876">
        <v>57000</v>
      </c>
      <c r="S520" s="877" t="s">
        <v>179</v>
      </c>
      <c r="T520" s="878" t="s">
        <v>1750</v>
      </c>
      <c r="U520" s="879" t="s">
        <v>43</v>
      </c>
      <c r="V520" s="878" t="s">
        <v>1750</v>
      </c>
      <c r="W520" s="879" t="s">
        <v>43</v>
      </c>
      <c r="X520" s="876">
        <v>1000</v>
      </c>
      <c r="Y520" s="880" t="s">
        <v>179</v>
      </c>
      <c r="Z520" s="881" t="s">
        <v>43</v>
      </c>
      <c r="AA520" s="882">
        <v>1.3</v>
      </c>
      <c r="AB520" s="883" t="s">
        <v>179</v>
      </c>
      <c r="AC520" s="884" t="s">
        <v>1750</v>
      </c>
    </row>
    <row r="521" spans="1:29" ht="30.75">
      <c r="A521" s="856" t="s">
        <v>1242</v>
      </c>
      <c r="B521" s="792" t="s">
        <v>1243</v>
      </c>
      <c r="C521" s="857" t="s">
        <v>1750</v>
      </c>
      <c r="D521" s="858" t="s">
        <v>43</v>
      </c>
      <c r="E521" s="843" t="s">
        <v>1750</v>
      </c>
      <c r="F521" s="858" t="s">
        <v>43</v>
      </c>
      <c r="G521" s="804">
        <v>2E-3</v>
      </c>
      <c r="H521" s="859" t="s">
        <v>13</v>
      </c>
      <c r="I521" s="843" t="s">
        <v>1750</v>
      </c>
      <c r="J521" s="858" t="s">
        <v>43</v>
      </c>
      <c r="K521" s="858" t="s">
        <v>43</v>
      </c>
      <c r="L521" s="858" t="s">
        <v>43</v>
      </c>
      <c r="M521" s="859">
        <v>1</v>
      </c>
      <c r="N521" s="859">
        <v>0.1</v>
      </c>
      <c r="O521" s="860" t="s">
        <v>1750</v>
      </c>
      <c r="P521" s="861">
        <v>130</v>
      </c>
      <c r="Q521" s="862" t="s">
        <v>179</v>
      </c>
      <c r="R521" s="861">
        <v>1600</v>
      </c>
      <c r="S521" s="862" t="s">
        <v>179</v>
      </c>
      <c r="T521" s="863" t="s">
        <v>1750</v>
      </c>
      <c r="U521" s="864" t="s">
        <v>43</v>
      </c>
      <c r="V521" s="863" t="s">
        <v>1750</v>
      </c>
      <c r="W521" s="864" t="s">
        <v>43</v>
      </c>
      <c r="X521" s="861">
        <v>40</v>
      </c>
      <c r="Y521" s="865" t="s">
        <v>179</v>
      </c>
      <c r="Z521" s="866" t="s">
        <v>43</v>
      </c>
      <c r="AA521" s="867">
        <v>9.5999999999999992E-3</v>
      </c>
      <c r="AB521" s="868" t="s">
        <v>179</v>
      </c>
      <c r="AC521" s="869" t="s">
        <v>1750</v>
      </c>
    </row>
    <row r="522" spans="1:29" ht="30.75">
      <c r="A522" s="856" t="s">
        <v>1244</v>
      </c>
      <c r="B522" s="792" t="s">
        <v>1245</v>
      </c>
      <c r="C522" s="889">
        <v>7.7999999999999996E-3</v>
      </c>
      <c r="D522" s="859" t="s">
        <v>2463</v>
      </c>
      <c r="E522" s="843" t="s">
        <v>1750</v>
      </c>
      <c r="F522" s="858" t="s">
        <v>43</v>
      </c>
      <c r="G522" s="804">
        <v>0.14000000000000001</v>
      </c>
      <c r="H522" s="859" t="s">
        <v>2463</v>
      </c>
      <c r="I522" s="843" t="s">
        <v>1750</v>
      </c>
      <c r="J522" s="858" t="s">
        <v>43</v>
      </c>
      <c r="K522" s="858" t="s">
        <v>43</v>
      </c>
      <c r="L522" s="858" t="s">
        <v>43</v>
      </c>
      <c r="M522" s="859">
        <v>1</v>
      </c>
      <c r="N522" s="859">
        <v>0.1</v>
      </c>
      <c r="O522" s="860" t="s">
        <v>1750</v>
      </c>
      <c r="P522" s="861">
        <v>70</v>
      </c>
      <c r="Q522" s="862" t="s">
        <v>2283</v>
      </c>
      <c r="R522" s="861">
        <v>290</v>
      </c>
      <c r="S522" s="862" t="s">
        <v>2283</v>
      </c>
      <c r="T522" s="863" t="s">
        <v>1750</v>
      </c>
      <c r="U522" s="864" t="s">
        <v>43</v>
      </c>
      <c r="V522" s="863" t="s">
        <v>1750</v>
      </c>
      <c r="W522" s="864" t="s">
        <v>43</v>
      </c>
      <c r="X522" s="861">
        <v>7.9</v>
      </c>
      <c r="Y522" s="865" t="s">
        <v>2283</v>
      </c>
      <c r="Z522" s="866" t="s">
        <v>43</v>
      </c>
      <c r="AA522" s="867">
        <v>1.4999999999999999E-2</v>
      </c>
      <c r="AB522" s="868" t="s">
        <v>2283</v>
      </c>
      <c r="AC522" s="869" t="s">
        <v>1750</v>
      </c>
    </row>
    <row r="523" spans="1:29" ht="31.5" thickBot="1">
      <c r="A523" s="871" t="s">
        <v>1246</v>
      </c>
      <c r="B523" s="807" t="s">
        <v>1247</v>
      </c>
      <c r="C523" s="872" t="s">
        <v>1750</v>
      </c>
      <c r="D523" s="873" t="s">
        <v>43</v>
      </c>
      <c r="E523" s="847" t="s">
        <v>1750</v>
      </c>
      <c r="F523" s="873" t="s">
        <v>43</v>
      </c>
      <c r="G523" s="819">
        <v>5.0000000000000001E-3</v>
      </c>
      <c r="H523" s="874" t="s">
        <v>280</v>
      </c>
      <c r="I523" s="847" t="s">
        <v>1750</v>
      </c>
      <c r="J523" s="873" t="s">
        <v>43</v>
      </c>
      <c r="K523" s="873" t="s">
        <v>43</v>
      </c>
      <c r="L523" s="873" t="s">
        <v>43</v>
      </c>
      <c r="M523" s="874">
        <v>1</v>
      </c>
      <c r="N523" s="874">
        <v>0.1</v>
      </c>
      <c r="O523" s="875" t="s">
        <v>1750</v>
      </c>
      <c r="P523" s="876">
        <v>320</v>
      </c>
      <c r="Q523" s="877" t="s">
        <v>179</v>
      </c>
      <c r="R523" s="876">
        <v>4100</v>
      </c>
      <c r="S523" s="877" t="s">
        <v>179</v>
      </c>
      <c r="T523" s="878" t="s">
        <v>1750</v>
      </c>
      <c r="U523" s="879" t="s">
        <v>43</v>
      </c>
      <c r="V523" s="878" t="s">
        <v>1750</v>
      </c>
      <c r="W523" s="879" t="s">
        <v>43</v>
      </c>
      <c r="X523" s="876">
        <v>47</v>
      </c>
      <c r="Y523" s="880" t="s">
        <v>179</v>
      </c>
      <c r="Z523" s="881" t="s">
        <v>43</v>
      </c>
      <c r="AA523" s="882">
        <v>0.48</v>
      </c>
      <c r="AB523" s="883" t="s">
        <v>179</v>
      </c>
      <c r="AC523" s="884" t="s">
        <v>1750</v>
      </c>
    </row>
    <row r="524" spans="1:29" ht="30.75">
      <c r="A524" s="856" t="s">
        <v>1248</v>
      </c>
      <c r="B524" s="792" t="s">
        <v>1249</v>
      </c>
      <c r="C524" s="857" t="s">
        <v>1750</v>
      </c>
      <c r="D524" s="858" t="s">
        <v>43</v>
      </c>
      <c r="E524" s="843" t="s">
        <v>1750</v>
      </c>
      <c r="F524" s="858" t="s">
        <v>43</v>
      </c>
      <c r="G524" s="804">
        <v>2.5000000000000001E-2</v>
      </c>
      <c r="H524" s="859" t="s">
        <v>280</v>
      </c>
      <c r="I524" s="843" t="s">
        <v>1750</v>
      </c>
      <c r="J524" s="858" t="s">
        <v>43</v>
      </c>
      <c r="K524" s="858" t="s">
        <v>43</v>
      </c>
      <c r="L524" s="858" t="s">
        <v>43</v>
      </c>
      <c r="M524" s="859">
        <v>1</v>
      </c>
      <c r="N524" s="859">
        <v>0.1</v>
      </c>
      <c r="O524" s="860" t="s">
        <v>1750</v>
      </c>
      <c r="P524" s="861">
        <v>1600</v>
      </c>
      <c r="Q524" s="862" t="s">
        <v>179</v>
      </c>
      <c r="R524" s="861">
        <v>21000</v>
      </c>
      <c r="S524" s="862" t="s">
        <v>179</v>
      </c>
      <c r="T524" s="863" t="s">
        <v>1750</v>
      </c>
      <c r="U524" s="864" t="s">
        <v>43</v>
      </c>
      <c r="V524" s="863" t="s">
        <v>1750</v>
      </c>
      <c r="W524" s="864" t="s">
        <v>43</v>
      </c>
      <c r="X524" s="861">
        <v>500</v>
      </c>
      <c r="Y524" s="865" t="s">
        <v>179</v>
      </c>
      <c r="Z524" s="891">
        <v>200</v>
      </c>
      <c r="AA524" s="867">
        <v>0.11</v>
      </c>
      <c r="AB524" s="868" t="s">
        <v>179</v>
      </c>
      <c r="AC524" s="892">
        <v>4.3999999999999997E-2</v>
      </c>
    </row>
    <row r="525" spans="1:29" ht="30.75">
      <c r="A525" s="856" t="s">
        <v>2242</v>
      </c>
      <c r="B525" s="792" t="s">
        <v>958</v>
      </c>
      <c r="C525" s="889">
        <v>7.2999999999999995E-2</v>
      </c>
      <c r="D525" s="859" t="s">
        <v>2463</v>
      </c>
      <c r="E525" s="843" t="s">
        <v>1750</v>
      </c>
      <c r="F525" s="858" t="s">
        <v>43</v>
      </c>
      <c r="G525" s="804">
        <v>0.03</v>
      </c>
      <c r="H525" s="859" t="s">
        <v>2463</v>
      </c>
      <c r="I525" s="843" t="s">
        <v>1750</v>
      </c>
      <c r="J525" s="858" t="s">
        <v>43</v>
      </c>
      <c r="K525" s="858" t="s">
        <v>43</v>
      </c>
      <c r="L525" s="858" t="s">
        <v>43</v>
      </c>
      <c r="M525" s="859">
        <v>1</v>
      </c>
      <c r="N525" s="859">
        <v>0.1</v>
      </c>
      <c r="O525" s="860" t="s">
        <v>1750</v>
      </c>
      <c r="P525" s="861">
        <v>7.4</v>
      </c>
      <c r="Q525" s="862" t="s">
        <v>2283</v>
      </c>
      <c r="R525" s="861">
        <v>31</v>
      </c>
      <c r="S525" s="862" t="s">
        <v>2283</v>
      </c>
      <c r="T525" s="863" t="s">
        <v>1750</v>
      </c>
      <c r="U525" s="864" t="s">
        <v>43</v>
      </c>
      <c r="V525" s="863" t="s">
        <v>1750</v>
      </c>
      <c r="W525" s="864" t="s">
        <v>43</v>
      </c>
      <c r="X525" s="861">
        <v>0.54</v>
      </c>
      <c r="Y525" s="865" t="s">
        <v>2283</v>
      </c>
      <c r="Z525" s="866" t="s">
        <v>43</v>
      </c>
      <c r="AA525" s="867">
        <v>4.2999999999999997E-2</v>
      </c>
      <c r="AB525" s="868" t="s">
        <v>2283</v>
      </c>
      <c r="AC525" s="869" t="s">
        <v>1750</v>
      </c>
    </row>
    <row r="526" spans="1:29" ht="31.5" thickBot="1">
      <c r="A526" s="871" t="s">
        <v>1250</v>
      </c>
      <c r="B526" s="807" t="s">
        <v>1251</v>
      </c>
      <c r="C526" s="872" t="s">
        <v>1750</v>
      </c>
      <c r="D526" s="873" t="s">
        <v>43</v>
      </c>
      <c r="E526" s="847" t="s">
        <v>1750</v>
      </c>
      <c r="F526" s="873" t="s">
        <v>43</v>
      </c>
      <c r="G526" s="819">
        <v>1.2999999999999999E-2</v>
      </c>
      <c r="H526" s="874" t="s">
        <v>280</v>
      </c>
      <c r="I526" s="847" t="s">
        <v>1750</v>
      </c>
      <c r="J526" s="873" t="s">
        <v>43</v>
      </c>
      <c r="K526" s="873" t="s">
        <v>43</v>
      </c>
      <c r="L526" s="873" t="s">
        <v>43</v>
      </c>
      <c r="M526" s="874">
        <v>1</v>
      </c>
      <c r="N526" s="874">
        <v>0.1</v>
      </c>
      <c r="O526" s="875" t="s">
        <v>1750</v>
      </c>
      <c r="P526" s="876">
        <v>820</v>
      </c>
      <c r="Q526" s="877" t="s">
        <v>179</v>
      </c>
      <c r="R526" s="876">
        <v>11000</v>
      </c>
      <c r="S526" s="877" t="s">
        <v>179</v>
      </c>
      <c r="T526" s="878" t="s">
        <v>1750</v>
      </c>
      <c r="U526" s="879" t="s">
        <v>43</v>
      </c>
      <c r="V526" s="878" t="s">
        <v>1750</v>
      </c>
      <c r="W526" s="879" t="s">
        <v>43</v>
      </c>
      <c r="X526" s="876">
        <v>230</v>
      </c>
      <c r="Y526" s="880" t="s">
        <v>179</v>
      </c>
      <c r="Z526" s="881" t="s">
        <v>43</v>
      </c>
      <c r="AA526" s="882">
        <v>0.46</v>
      </c>
      <c r="AB526" s="883" t="s">
        <v>179</v>
      </c>
      <c r="AC526" s="884" t="s">
        <v>1750</v>
      </c>
    </row>
    <row r="527" spans="1:29" ht="30.75">
      <c r="A527" s="856" t="s">
        <v>1252</v>
      </c>
      <c r="B527" s="792" t="s">
        <v>1253</v>
      </c>
      <c r="C527" s="857" t="s">
        <v>1750</v>
      </c>
      <c r="D527" s="858" t="s">
        <v>43</v>
      </c>
      <c r="E527" s="843" t="s">
        <v>1750</v>
      </c>
      <c r="F527" s="858" t="s">
        <v>43</v>
      </c>
      <c r="G527" s="804">
        <v>4.4999999999999997E-3</v>
      </c>
      <c r="H527" s="859" t="s">
        <v>280</v>
      </c>
      <c r="I527" s="843" t="s">
        <v>1750</v>
      </c>
      <c r="J527" s="858" t="s">
        <v>43</v>
      </c>
      <c r="K527" s="858" t="s">
        <v>43</v>
      </c>
      <c r="L527" s="858" t="s">
        <v>43</v>
      </c>
      <c r="M527" s="859">
        <v>1</v>
      </c>
      <c r="N527" s="859">
        <v>0.1</v>
      </c>
      <c r="O527" s="860" t="s">
        <v>1750</v>
      </c>
      <c r="P527" s="861">
        <v>280</v>
      </c>
      <c r="Q527" s="862" t="s">
        <v>179</v>
      </c>
      <c r="R527" s="861">
        <v>3700</v>
      </c>
      <c r="S527" s="862" t="s">
        <v>179</v>
      </c>
      <c r="T527" s="863" t="s">
        <v>1750</v>
      </c>
      <c r="U527" s="864" t="s">
        <v>43</v>
      </c>
      <c r="V527" s="863" t="s">
        <v>1750</v>
      </c>
      <c r="W527" s="864" t="s">
        <v>43</v>
      </c>
      <c r="X527" s="861">
        <v>90</v>
      </c>
      <c r="Y527" s="865" t="s">
        <v>179</v>
      </c>
      <c r="Z527" s="866" t="s">
        <v>43</v>
      </c>
      <c r="AA527" s="867">
        <v>1.2</v>
      </c>
      <c r="AB527" s="868" t="s">
        <v>179</v>
      </c>
      <c r="AC527" s="869" t="s">
        <v>1750</v>
      </c>
    </row>
    <row r="528" spans="1:29" ht="15.75">
      <c r="A528" s="856" t="s">
        <v>1254</v>
      </c>
      <c r="B528" s="792" t="s">
        <v>1255</v>
      </c>
      <c r="C528" s="857" t="s">
        <v>1750</v>
      </c>
      <c r="D528" s="858" t="s">
        <v>43</v>
      </c>
      <c r="E528" s="843" t="s">
        <v>1750</v>
      </c>
      <c r="F528" s="858" t="s">
        <v>43</v>
      </c>
      <c r="G528" s="804">
        <v>6.0000000000000001E-3</v>
      </c>
      <c r="H528" s="859" t="s">
        <v>13</v>
      </c>
      <c r="I528" s="843" t="s">
        <v>1750</v>
      </c>
      <c r="J528" s="858" t="s">
        <v>43</v>
      </c>
      <c r="K528" s="858" t="s">
        <v>43</v>
      </c>
      <c r="L528" s="858" t="s">
        <v>43</v>
      </c>
      <c r="M528" s="859">
        <v>1</v>
      </c>
      <c r="N528" s="859">
        <v>0.1</v>
      </c>
      <c r="O528" s="860" t="s">
        <v>1750</v>
      </c>
      <c r="P528" s="861">
        <v>380</v>
      </c>
      <c r="Q528" s="862" t="s">
        <v>179</v>
      </c>
      <c r="R528" s="861">
        <v>4900</v>
      </c>
      <c r="S528" s="862" t="s">
        <v>179</v>
      </c>
      <c r="T528" s="863" t="s">
        <v>1750</v>
      </c>
      <c r="U528" s="864" t="s">
        <v>43</v>
      </c>
      <c r="V528" s="863" t="s">
        <v>1750</v>
      </c>
      <c r="W528" s="864" t="s">
        <v>43</v>
      </c>
      <c r="X528" s="861">
        <v>86</v>
      </c>
      <c r="Y528" s="865" t="s">
        <v>179</v>
      </c>
      <c r="Z528" s="866" t="s">
        <v>43</v>
      </c>
      <c r="AA528" s="867">
        <v>0.43</v>
      </c>
      <c r="AB528" s="868" t="s">
        <v>179</v>
      </c>
      <c r="AC528" s="869" t="s">
        <v>1750</v>
      </c>
    </row>
    <row r="529" spans="1:29" ht="16.5" thickBot="1">
      <c r="A529" s="871" t="s">
        <v>1256</v>
      </c>
      <c r="B529" s="807" t="s">
        <v>1257</v>
      </c>
      <c r="C529" s="872" t="s">
        <v>1750</v>
      </c>
      <c r="D529" s="873" t="s">
        <v>43</v>
      </c>
      <c r="E529" s="847" t="s">
        <v>1750</v>
      </c>
      <c r="F529" s="873" t="s">
        <v>43</v>
      </c>
      <c r="G529" s="819">
        <v>0.05</v>
      </c>
      <c r="H529" s="874" t="s">
        <v>13</v>
      </c>
      <c r="I529" s="847" t="s">
        <v>1750</v>
      </c>
      <c r="J529" s="873" t="s">
        <v>43</v>
      </c>
      <c r="K529" s="874" t="s">
        <v>1634</v>
      </c>
      <c r="L529" s="873" t="s">
        <v>43</v>
      </c>
      <c r="M529" s="874">
        <v>1</v>
      </c>
      <c r="N529" s="888" t="s">
        <v>1750</v>
      </c>
      <c r="O529" s="875" t="s">
        <v>1750</v>
      </c>
      <c r="P529" s="876">
        <v>3900</v>
      </c>
      <c r="Q529" s="877" t="s">
        <v>179</v>
      </c>
      <c r="R529" s="876">
        <v>58000</v>
      </c>
      <c r="S529" s="877" t="s">
        <v>179</v>
      </c>
      <c r="T529" s="878" t="s">
        <v>1750</v>
      </c>
      <c r="U529" s="879" t="s">
        <v>43</v>
      </c>
      <c r="V529" s="878" t="s">
        <v>1750</v>
      </c>
      <c r="W529" s="879" t="s">
        <v>43</v>
      </c>
      <c r="X529" s="876">
        <v>560</v>
      </c>
      <c r="Y529" s="880" t="s">
        <v>179</v>
      </c>
      <c r="Z529" s="881" t="s">
        <v>43</v>
      </c>
      <c r="AA529" s="882">
        <v>0.45</v>
      </c>
      <c r="AB529" s="883" t="s">
        <v>179</v>
      </c>
      <c r="AC529" s="884" t="s">
        <v>1750</v>
      </c>
    </row>
    <row r="530" spans="1:29" ht="30.75">
      <c r="A530" s="856" t="s">
        <v>1258</v>
      </c>
      <c r="B530" s="792" t="s">
        <v>1259</v>
      </c>
      <c r="C530" s="857" t="s">
        <v>1750</v>
      </c>
      <c r="D530" s="858" t="s">
        <v>43</v>
      </c>
      <c r="E530" s="843" t="s">
        <v>1750</v>
      </c>
      <c r="F530" s="858" t="s">
        <v>43</v>
      </c>
      <c r="G530" s="804">
        <v>0.03</v>
      </c>
      <c r="H530" s="859" t="s">
        <v>2463</v>
      </c>
      <c r="I530" s="843" t="s">
        <v>1750</v>
      </c>
      <c r="J530" s="858" t="s">
        <v>43</v>
      </c>
      <c r="K530" s="858" t="s">
        <v>43</v>
      </c>
      <c r="L530" s="858" t="s">
        <v>43</v>
      </c>
      <c r="M530" s="859">
        <v>1</v>
      </c>
      <c r="N530" s="859">
        <v>0.1</v>
      </c>
      <c r="O530" s="860" t="s">
        <v>1750</v>
      </c>
      <c r="P530" s="861">
        <v>1900</v>
      </c>
      <c r="Q530" s="862" t="s">
        <v>179</v>
      </c>
      <c r="R530" s="861">
        <v>25000</v>
      </c>
      <c r="S530" s="862" t="s">
        <v>179</v>
      </c>
      <c r="T530" s="863" t="s">
        <v>1750</v>
      </c>
      <c r="U530" s="864" t="s">
        <v>43</v>
      </c>
      <c r="V530" s="863" t="s">
        <v>1750</v>
      </c>
      <c r="W530" s="864" t="s">
        <v>43</v>
      </c>
      <c r="X530" s="861">
        <v>140</v>
      </c>
      <c r="Y530" s="865" t="s">
        <v>179</v>
      </c>
      <c r="Z530" s="866" t="s">
        <v>43</v>
      </c>
      <c r="AA530" s="867">
        <v>1.6</v>
      </c>
      <c r="AB530" s="868" t="s">
        <v>179</v>
      </c>
      <c r="AC530" s="869" t="s">
        <v>1750</v>
      </c>
    </row>
    <row r="531" spans="1:29" ht="30.75">
      <c r="A531" s="856" t="s">
        <v>1260</v>
      </c>
      <c r="B531" s="792" t="s">
        <v>1261</v>
      </c>
      <c r="C531" s="857" t="s">
        <v>1750</v>
      </c>
      <c r="D531" s="858" t="s">
        <v>43</v>
      </c>
      <c r="E531" s="843" t="s">
        <v>1750</v>
      </c>
      <c r="F531" s="858" t="s">
        <v>43</v>
      </c>
      <c r="G531" s="804">
        <v>2E-3</v>
      </c>
      <c r="H531" s="859" t="s">
        <v>280</v>
      </c>
      <c r="I531" s="843" t="s">
        <v>1750</v>
      </c>
      <c r="J531" s="858" t="s">
        <v>43</v>
      </c>
      <c r="K531" s="859" t="s">
        <v>1634</v>
      </c>
      <c r="L531" s="858" t="s">
        <v>43</v>
      </c>
      <c r="M531" s="859">
        <v>1</v>
      </c>
      <c r="N531" s="870" t="s">
        <v>1750</v>
      </c>
      <c r="O531" s="805">
        <v>0.312</v>
      </c>
      <c r="P531" s="861">
        <v>160</v>
      </c>
      <c r="Q531" s="862" t="s">
        <v>2282</v>
      </c>
      <c r="R531" s="861">
        <v>2300</v>
      </c>
      <c r="S531" s="862" t="s">
        <v>2282</v>
      </c>
      <c r="T531" s="863" t="s">
        <v>1750</v>
      </c>
      <c r="U531" s="864" t="s">
        <v>43</v>
      </c>
      <c r="V531" s="863" t="s">
        <v>1750</v>
      </c>
      <c r="W531" s="864" t="s">
        <v>43</v>
      </c>
      <c r="X531" s="861">
        <v>40</v>
      </c>
      <c r="Y531" s="865" t="s">
        <v>179</v>
      </c>
      <c r="Z531" s="866" t="s">
        <v>43</v>
      </c>
      <c r="AA531" s="867">
        <v>1.7</v>
      </c>
      <c r="AB531" s="868" t="s">
        <v>179</v>
      </c>
      <c r="AC531" s="869" t="s">
        <v>1750</v>
      </c>
    </row>
    <row r="532" spans="1:29" ht="61.5" thickBot="1">
      <c r="A532" s="871" t="s">
        <v>1262</v>
      </c>
      <c r="B532" s="807" t="s">
        <v>1263</v>
      </c>
      <c r="C532" s="872" t="s">
        <v>1750</v>
      </c>
      <c r="D532" s="873" t="s">
        <v>43</v>
      </c>
      <c r="E532" s="847" t="s">
        <v>1750</v>
      </c>
      <c r="F532" s="873" t="s">
        <v>43</v>
      </c>
      <c r="G532" s="819">
        <v>1E-4</v>
      </c>
      <c r="H532" s="874" t="s">
        <v>280</v>
      </c>
      <c r="I532" s="847" t="s">
        <v>1750</v>
      </c>
      <c r="J532" s="873" t="s">
        <v>43</v>
      </c>
      <c r="K532" s="873" t="s">
        <v>43</v>
      </c>
      <c r="L532" s="873" t="s">
        <v>43</v>
      </c>
      <c r="M532" s="874">
        <v>1</v>
      </c>
      <c r="N532" s="874">
        <v>0.1</v>
      </c>
      <c r="O532" s="875" t="s">
        <v>1750</v>
      </c>
      <c r="P532" s="876">
        <v>6.3</v>
      </c>
      <c r="Q532" s="877" t="s">
        <v>179</v>
      </c>
      <c r="R532" s="876">
        <v>82</v>
      </c>
      <c r="S532" s="877" t="s">
        <v>179</v>
      </c>
      <c r="T532" s="878" t="s">
        <v>1750</v>
      </c>
      <c r="U532" s="879" t="s">
        <v>43</v>
      </c>
      <c r="V532" s="878" t="s">
        <v>1750</v>
      </c>
      <c r="W532" s="879" t="s">
        <v>43</v>
      </c>
      <c r="X532" s="876">
        <v>2</v>
      </c>
      <c r="Y532" s="880" t="s">
        <v>179</v>
      </c>
      <c r="Z532" s="881" t="s">
        <v>43</v>
      </c>
      <c r="AA532" s="882">
        <v>8.6999999999999994E-2</v>
      </c>
      <c r="AB532" s="883" t="s">
        <v>179</v>
      </c>
      <c r="AC532" s="884" t="s">
        <v>1750</v>
      </c>
    </row>
    <row r="533" spans="1:29" ht="30.75">
      <c r="A533" s="856" t="s">
        <v>1264</v>
      </c>
      <c r="B533" s="792" t="s">
        <v>1265</v>
      </c>
      <c r="C533" s="857" t="s">
        <v>1750</v>
      </c>
      <c r="D533" s="858" t="s">
        <v>43</v>
      </c>
      <c r="E533" s="843" t="s">
        <v>1750</v>
      </c>
      <c r="F533" s="858" t="s">
        <v>43</v>
      </c>
      <c r="G533" s="804">
        <v>8.0000000000000004E-4</v>
      </c>
      <c r="H533" s="859" t="s">
        <v>280</v>
      </c>
      <c r="I533" s="843" t="s">
        <v>1750</v>
      </c>
      <c r="J533" s="858" t="s">
        <v>43</v>
      </c>
      <c r="K533" s="859" t="s">
        <v>1634</v>
      </c>
      <c r="L533" s="858" t="s">
        <v>43</v>
      </c>
      <c r="M533" s="859">
        <v>1</v>
      </c>
      <c r="N533" s="870" t="s">
        <v>1750</v>
      </c>
      <c r="O533" s="860" t="s">
        <v>1750</v>
      </c>
      <c r="P533" s="861">
        <v>63</v>
      </c>
      <c r="Q533" s="862" t="s">
        <v>179</v>
      </c>
      <c r="R533" s="861">
        <v>930</v>
      </c>
      <c r="S533" s="862" t="s">
        <v>179</v>
      </c>
      <c r="T533" s="863" t="s">
        <v>1750</v>
      </c>
      <c r="U533" s="864" t="s">
        <v>43</v>
      </c>
      <c r="V533" s="863" t="s">
        <v>1750</v>
      </c>
      <c r="W533" s="864" t="s">
        <v>43</v>
      </c>
      <c r="X533" s="861">
        <v>3.2</v>
      </c>
      <c r="Y533" s="865" t="s">
        <v>179</v>
      </c>
      <c r="Z533" s="866" t="s">
        <v>43</v>
      </c>
      <c r="AA533" s="867">
        <v>2.4E-2</v>
      </c>
      <c r="AB533" s="868" t="s">
        <v>179</v>
      </c>
      <c r="AC533" s="869" t="s">
        <v>1750</v>
      </c>
    </row>
    <row r="534" spans="1:29" ht="15.75">
      <c r="A534" s="856" t="s">
        <v>1266</v>
      </c>
      <c r="B534" s="792" t="s">
        <v>1267</v>
      </c>
      <c r="C534" s="889">
        <v>0.09</v>
      </c>
      <c r="D534" s="859" t="s">
        <v>281</v>
      </c>
      <c r="E534" s="843" t="s">
        <v>1750</v>
      </c>
      <c r="F534" s="858" t="s">
        <v>43</v>
      </c>
      <c r="G534" s="843" t="s">
        <v>1750</v>
      </c>
      <c r="H534" s="858" t="s">
        <v>43</v>
      </c>
      <c r="I534" s="843" t="s">
        <v>1750</v>
      </c>
      <c r="J534" s="858" t="s">
        <v>43</v>
      </c>
      <c r="K534" s="859" t="s">
        <v>1634</v>
      </c>
      <c r="L534" s="858" t="s">
        <v>43</v>
      </c>
      <c r="M534" s="859">
        <v>1</v>
      </c>
      <c r="N534" s="870" t="s">
        <v>1750</v>
      </c>
      <c r="O534" s="805">
        <v>457</v>
      </c>
      <c r="P534" s="861">
        <v>7.7</v>
      </c>
      <c r="Q534" s="862" t="s">
        <v>2283</v>
      </c>
      <c r="R534" s="861">
        <v>36</v>
      </c>
      <c r="S534" s="862" t="s">
        <v>2283</v>
      </c>
      <c r="T534" s="863" t="s">
        <v>1750</v>
      </c>
      <c r="U534" s="864" t="s">
        <v>43</v>
      </c>
      <c r="V534" s="863" t="s">
        <v>1750</v>
      </c>
      <c r="W534" s="864" t="s">
        <v>43</v>
      </c>
      <c r="X534" s="861">
        <v>0.65</v>
      </c>
      <c r="Y534" s="865" t="s">
        <v>2283</v>
      </c>
      <c r="Z534" s="866" t="s">
        <v>43</v>
      </c>
      <c r="AA534" s="867">
        <v>3.1E-4</v>
      </c>
      <c r="AB534" s="868" t="s">
        <v>2283</v>
      </c>
      <c r="AC534" s="869" t="s">
        <v>1750</v>
      </c>
    </row>
    <row r="535" spans="1:29" ht="31.5" thickBot="1">
      <c r="A535" s="871" t="s">
        <v>1268</v>
      </c>
      <c r="B535" s="807" t="s">
        <v>1269</v>
      </c>
      <c r="C535" s="890">
        <v>0.26</v>
      </c>
      <c r="D535" s="874" t="s">
        <v>13</v>
      </c>
      <c r="E535" s="847" t="s">
        <v>1750</v>
      </c>
      <c r="F535" s="873" t="s">
        <v>43</v>
      </c>
      <c r="G535" s="819">
        <v>3.0000000000000001E-3</v>
      </c>
      <c r="H535" s="874" t="s">
        <v>280</v>
      </c>
      <c r="I535" s="847" t="s">
        <v>1750</v>
      </c>
      <c r="J535" s="873" t="s">
        <v>43</v>
      </c>
      <c r="K535" s="874" t="s">
        <v>1634</v>
      </c>
      <c r="L535" s="873" t="s">
        <v>43</v>
      </c>
      <c r="M535" s="874">
        <v>1</v>
      </c>
      <c r="N535" s="888" t="s">
        <v>1750</v>
      </c>
      <c r="O535" s="875" t="s">
        <v>1750</v>
      </c>
      <c r="P535" s="876">
        <v>2.7</v>
      </c>
      <c r="Q535" s="877" t="s">
        <v>2279</v>
      </c>
      <c r="R535" s="876">
        <v>13</v>
      </c>
      <c r="S535" s="877" t="s">
        <v>2283</v>
      </c>
      <c r="T535" s="878" t="s">
        <v>1750</v>
      </c>
      <c r="U535" s="879" t="s">
        <v>43</v>
      </c>
      <c r="V535" s="878" t="s">
        <v>1750</v>
      </c>
      <c r="W535" s="879" t="s">
        <v>43</v>
      </c>
      <c r="X535" s="876">
        <v>0.12</v>
      </c>
      <c r="Y535" s="880" t="s">
        <v>2283</v>
      </c>
      <c r="Z535" s="881" t="s">
        <v>43</v>
      </c>
      <c r="AA535" s="882">
        <v>1.5E-3</v>
      </c>
      <c r="AB535" s="883" t="s">
        <v>2283</v>
      </c>
      <c r="AC535" s="884" t="s">
        <v>1750</v>
      </c>
    </row>
    <row r="536" spans="1:29" ht="15.75">
      <c r="A536" s="856" t="s">
        <v>1270</v>
      </c>
      <c r="B536" s="792" t="s">
        <v>1271</v>
      </c>
      <c r="C536" s="889">
        <v>0.4</v>
      </c>
      <c r="D536" s="859" t="s">
        <v>280</v>
      </c>
      <c r="E536" s="804">
        <v>5.1000000000000003E-6</v>
      </c>
      <c r="F536" s="859" t="s">
        <v>3</v>
      </c>
      <c r="G536" s="804">
        <v>5.0000000000000001E-3</v>
      </c>
      <c r="H536" s="859" t="s">
        <v>280</v>
      </c>
      <c r="I536" s="843" t="s">
        <v>1750</v>
      </c>
      <c r="J536" s="858" t="s">
        <v>43</v>
      </c>
      <c r="K536" s="858" t="s">
        <v>43</v>
      </c>
      <c r="L536" s="858" t="s">
        <v>43</v>
      </c>
      <c r="M536" s="859">
        <v>1</v>
      </c>
      <c r="N536" s="859">
        <v>0.25</v>
      </c>
      <c r="O536" s="860" t="s">
        <v>1750</v>
      </c>
      <c r="P536" s="861">
        <v>1</v>
      </c>
      <c r="Q536" s="862" t="s">
        <v>2283</v>
      </c>
      <c r="R536" s="861">
        <v>4</v>
      </c>
      <c r="S536" s="862" t="s">
        <v>2283</v>
      </c>
      <c r="T536" s="861">
        <v>0.55000000000000004</v>
      </c>
      <c r="U536" s="862" t="s">
        <v>2283</v>
      </c>
      <c r="V536" s="861">
        <v>2.4</v>
      </c>
      <c r="W536" s="862" t="s">
        <v>2283</v>
      </c>
      <c r="X536" s="861">
        <v>4.1000000000000002E-2</v>
      </c>
      <c r="Y536" s="865" t="s">
        <v>2283</v>
      </c>
      <c r="Z536" s="891">
        <v>1</v>
      </c>
      <c r="AA536" s="867">
        <v>5.7000000000000003E-5</v>
      </c>
      <c r="AB536" s="868" t="s">
        <v>2283</v>
      </c>
      <c r="AC536" s="892">
        <v>1.4E-3</v>
      </c>
    </row>
    <row r="537" spans="1:29" ht="30.75">
      <c r="A537" s="856" t="s">
        <v>1835</v>
      </c>
      <c r="B537" s="792" t="s">
        <v>1836</v>
      </c>
      <c r="C537" s="889">
        <v>4.0000000000000001E-3</v>
      </c>
      <c r="D537" s="859" t="s">
        <v>0</v>
      </c>
      <c r="E537" s="843" t="s">
        <v>1750</v>
      </c>
      <c r="F537" s="858" t="s">
        <v>43</v>
      </c>
      <c r="G537" s="804">
        <v>2E-3</v>
      </c>
      <c r="H537" s="859" t="s">
        <v>281</v>
      </c>
      <c r="I537" s="843" t="s">
        <v>1750</v>
      </c>
      <c r="J537" s="858" t="s">
        <v>43</v>
      </c>
      <c r="K537" s="858" t="s">
        <v>43</v>
      </c>
      <c r="L537" s="858" t="s">
        <v>43</v>
      </c>
      <c r="M537" s="859">
        <v>1</v>
      </c>
      <c r="N537" s="859">
        <v>0.1</v>
      </c>
      <c r="O537" s="860" t="s">
        <v>1750</v>
      </c>
      <c r="P537" s="861">
        <v>130</v>
      </c>
      <c r="Q537" s="862" t="s">
        <v>179</v>
      </c>
      <c r="R537" s="861">
        <v>570</v>
      </c>
      <c r="S537" s="862" t="s">
        <v>2278</v>
      </c>
      <c r="T537" s="863" t="s">
        <v>1750</v>
      </c>
      <c r="U537" s="864" t="s">
        <v>43</v>
      </c>
      <c r="V537" s="863" t="s">
        <v>1750</v>
      </c>
      <c r="W537" s="864" t="s">
        <v>43</v>
      </c>
      <c r="X537" s="861">
        <v>19</v>
      </c>
      <c r="Y537" s="865" t="s">
        <v>2278</v>
      </c>
      <c r="Z537" s="866" t="s">
        <v>43</v>
      </c>
      <c r="AA537" s="867">
        <v>2.8000000000000001E-2</v>
      </c>
      <c r="AB537" s="868" t="s">
        <v>2278</v>
      </c>
      <c r="AC537" s="869" t="s">
        <v>1750</v>
      </c>
    </row>
    <row r="538" spans="1:29" ht="16.5" thickBot="1">
      <c r="A538" s="871" t="s">
        <v>1272</v>
      </c>
      <c r="B538" s="807" t="s">
        <v>1273</v>
      </c>
      <c r="C538" s="872" t="s">
        <v>1750</v>
      </c>
      <c r="D538" s="873" t="s">
        <v>43</v>
      </c>
      <c r="E538" s="847" t="s">
        <v>1750</v>
      </c>
      <c r="F538" s="873" t="s">
        <v>43</v>
      </c>
      <c r="G538" s="847" t="s">
        <v>1750</v>
      </c>
      <c r="H538" s="873" t="s">
        <v>43</v>
      </c>
      <c r="I538" s="819">
        <v>1</v>
      </c>
      <c r="J538" s="874" t="s">
        <v>281</v>
      </c>
      <c r="K538" s="874" t="s">
        <v>1634</v>
      </c>
      <c r="L538" s="873" t="s">
        <v>43</v>
      </c>
      <c r="M538" s="874">
        <v>1</v>
      </c>
      <c r="N538" s="888" t="s">
        <v>1750</v>
      </c>
      <c r="O538" s="820">
        <v>388</v>
      </c>
      <c r="P538" s="876">
        <v>810</v>
      </c>
      <c r="Q538" s="877" t="s">
        <v>2282</v>
      </c>
      <c r="R538" s="876">
        <v>3400</v>
      </c>
      <c r="S538" s="877" t="s">
        <v>2282</v>
      </c>
      <c r="T538" s="876">
        <v>1000</v>
      </c>
      <c r="U538" s="877" t="s">
        <v>179</v>
      </c>
      <c r="V538" s="876">
        <v>4400</v>
      </c>
      <c r="W538" s="877" t="s">
        <v>179</v>
      </c>
      <c r="X538" s="876">
        <v>2100</v>
      </c>
      <c r="Y538" s="880" t="s">
        <v>179</v>
      </c>
      <c r="Z538" s="881" t="s">
        <v>43</v>
      </c>
      <c r="AA538" s="882">
        <v>10</v>
      </c>
      <c r="AB538" s="883" t="s">
        <v>179</v>
      </c>
      <c r="AC538" s="884" t="s">
        <v>1750</v>
      </c>
    </row>
    <row r="539" spans="1:29" ht="15.75">
      <c r="A539" s="856" t="s">
        <v>1837</v>
      </c>
      <c r="B539" s="792" t="s">
        <v>43</v>
      </c>
      <c r="C539" s="857" t="s">
        <v>1750</v>
      </c>
      <c r="D539" s="858" t="s">
        <v>43</v>
      </c>
      <c r="E539" s="843" t="s">
        <v>1750</v>
      </c>
      <c r="F539" s="858" t="s">
        <v>43</v>
      </c>
      <c r="G539" s="843" t="s">
        <v>1750</v>
      </c>
      <c r="H539" s="858" t="s">
        <v>43</v>
      </c>
      <c r="I539" s="843" t="s">
        <v>1750</v>
      </c>
      <c r="J539" s="858" t="s">
        <v>43</v>
      </c>
      <c r="K539" s="858" t="s">
        <v>43</v>
      </c>
      <c r="L539" s="858" t="s">
        <v>43</v>
      </c>
      <c r="M539" s="870" t="s">
        <v>1750</v>
      </c>
      <c r="N539" s="870" t="s">
        <v>1750</v>
      </c>
      <c r="O539" s="860" t="s">
        <v>1750</v>
      </c>
      <c r="P539" s="863" t="s">
        <v>1750</v>
      </c>
      <c r="Q539" s="864" t="s">
        <v>43</v>
      </c>
      <c r="R539" s="863" t="s">
        <v>1750</v>
      </c>
      <c r="S539" s="864" t="s">
        <v>43</v>
      </c>
      <c r="T539" s="863" t="s">
        <v>1750</v>
      </c>
      <c r="U539" s="864" t="s">
        <v>43</v>
      </c>
      <c r="V539" s="863" t="s">
        <v>1750</v>
      </c>
      <c r="W539" s="864" t="s">
        <v>43</v>
      </c>
      <c r="X539" s="863" t="s">
        <v>1750</v>
      </c>
      <c r="Y539" s="885" t="s">
        <v>43</v>
      </c>
      <c r="Z539" s="866" t="s">
        <v>43</v>
      </c>
      <c r="AA539" s="886" t="s">
        <v>1750</v>
      </c>
      <c r="AB539" s="887" t="s">
        <v>43</v>
      </c>
      <c r="AC539" s="869" t="s">
        <v>1750</v>
      </c>
    </row>
    <row r="540" spans="1:29" ht="30.75">
      <c r="A540" s="856" t="s">
        <v>1838</v>
      </c>
      <c r="B540" s="792" t="s">
        <v>405</v>
      </c>
      <c r="C540" s="857" t="s">
        <v>1750</v>
      </c>
      <c r="D540" s="858" t="s">
        <v>43</v>
      </c>
      <c r="E540" s="843" t="s">
        <v>1750</v>
      </c>
      <c r="F540" s="858" t="s">
        <v>43</v>
      </c>
      <c r="G540" s="804">
        <v>6.9999999999999999E-4</v>
      </c>
      <c r="H540" s="859" t="s">
        <v>280</v>
      </c>
      <c r="I540" s="843" t="s">
        <v>1750</v>
      </c>
      <c r="J540" s="858" t="s">
        <v>43</v>
      </c>
      <c r="K540" s="858" t="s">
        <v>43</v>
      </c>
      <c r="L540" s="858" t="s">
        <v>43</v>
      </c>
      <c r="M540" s="859">
        <v>1</v>
      </c>
      <c r="N540" s="870" t="s">
        <v>1750</v>
      </c>
      <c r="O540" s="860" t="s">
        <v>1750</v>
      </c>
      <c r="P540" s="861">
        <v>55</v>
      </c>
      <c r="Q540" s="862" t="s">
        <v>179</v>
      </c>
      <c r="R540" s="861">
        <v>820</v>
      </c>
      <c r="S540" s="862" t="s">
        <v>179</v>
      </c>
      <c r="T540" s="863" t="s">
        <v>1750</v>
      </c>
      <c r="U540" s="864" t="s">
        <v>43</v>
      </c>
      <c r="V540" s="863" t="s">
        <v>1750</v>
      </c>
      <c r="W540" s="864" t="s">
        <v>43</v>
      </c>
      <c r="X540" s="861">
        <v>14</v>
      </c>
      <c r="Y540" s="865" t="s">
        <v>179</v>
      </c>
      <c r="Z540" s="866" t="s">
        <v>43</v>
      </c>
      <c r="AA540" s="886" t="s">
        <v>1750</v>
      </c>
      <c r="AB540" s="868" t="s">
        <v>179</v>
      </c>
      <c r="AC540" s="869" t="s">
        <v>1750</v>
      </c>
    </row>
    <row r="541" spans="1:29" ht="31.5" thickBot="1">
      <c r="A541" s="871" t="s">
        <v>1839</v>
      </c>
      <c r="B541" s="807" t="s">
        <v>1048</v>
      </c>
      <c r="C541" s="872" t="s">
        <v>1750</v>
      </c>
      <c r="D541" s="873" t="s">
        <v>43</v>
      </c>
      <c r="E541" s="847" t="s">
        <v>1750</v>
      </c>
      <c r="F541" s="873" t="s">
        <v>43</v>
      </c>
      <c r="G541" s="819">
        <v>6.9999999999999999E-4</v>
      </c>
      <c r="H541" s="874" t="s">
        <v>280</v>
      </c>
      <c r="I541" s="847" t="s">
        <v>1750</v>
      </c>
      <c r="J541" s="873" t="s">
        <v>43</v>
      </c>
      <c r="K541" s="873" t="s">
        <v>43</v>
      </c>
      <c r="L541" s="873" t="s">
        <v>43</v>
      </c>
      <c r="M541" s="874">
        <v>1</v>
      </c>
      <c r="N541" s="888" t="s">
        <v>1750</v>
      </c>
      <c r="O541" s="875" t="s">
        <v>1750</v>
      </c>
      <c r="P541" s="876">
        <v>55</v>
      </c>
      <c r="Q541" s="877" t="s">
        <v>179</v>
      </c>
      <c r="R541" s="876">
        <v>820</v>
      </c>
      <c r="S541" s="877" t="s">
        <v>179</v>
      </c>
      <c r="T541" s="878" t="s">
        <v>1750</v>
      </c>
      <c r="U541" s="879" t="s">
        <v>43</v>
      </c>
      <c r="V541" s="878" t="s">
        <v>1750</v>
      </c>
      <c r="W541" s="879" t="s">
        <v>43</v>
      </c>
      <c r="X541" s="876">
        <v>14</v>
      </c>
      <c r="Y541" s="880" t="s">
        <v>179</v>
      </c>
      <c r="Z541" s="881" t="s">
        <v>43</v>
      </c>
      <c r="AA541" s="895" t="s">
        <v>1750</v>
      </c>
      <c r="AB541" s="883" t="s">
        <v>179</v>
      </c>
      <c r="AC541" s="884" t="s">
        <v>1750</v>
      </c>
    </row>
    <row r="542" spans="1:29" ht="30.75">
      <c r="A542" s="856" t="s">
        <v>1840</v>
      </c>
      <c r="B542" s="792" t="s">
        <v>1274</v>
      </c>
      <c r="C542" s="857" t="s">
        <v>1750</v>
      </c>
      <c r="D542" s="858" t="s">
        <v>43</v>
      </c>
      <c r="E542" s="843" t="s">
        <v>1750</v>
      </c>
      <c r="F542" s="858" t="s">
        <v>43</v>
      </c>
      <c r="G542" s="804">
        <v>6.9999999999999999E-4</v>
      </c>
      <c r="H542" s="859" t="s">
        <v>280</v>
      </c>
      <c r="I542" s="843" t="s">
        <v>1750</v>
      </c>
      <c r="J542" s="858" t="s">
        <v>43</v>
      </c>
      <c r="K542" s="858" t="s">
        <v>43</v>
      </c>
      <c r="L542" s="858" t="s">
        <v>43</v>
      </c>
      <c r="M542" s="859">
        <v>1</v>
      </c>
      <c r="N542" s="870" t="s">
        <v>1750</v>
      </c>
      <c r="O542" s="860" t="s">
        <v>1750</v>
      </c>
      <c r="P542" s="861">
        <v>55</v>
      </c>
      <c r="Q542" s="862" t="s">
        <v>179</v>
      </c>
      <c r="R542" s="861">
        <v>820</v>
      </c>
      <c r="S542" s="862" t="s">
        <v>179</v>
      </c>
      <c r="T542" s="863" t="s">
        <v>1750</v>
      </c>
      <c r="U542" s="864" t="s">
        <v>43</v>
      </c>
      <c r="V542" s="863" t="s">
        <v>1750</v>
      </c>
      <c r="W542" s="864" t="s">
        <v>43</v>
      </c>
      <c r="X542" s="861">
        <v>14</v>
      </c>
      <c r="Y542" s="865" t="s">
        <v>179</v>
      </c>
      <c r="Z542" s="891" t="s">
        <v>2287</v>
      </c>
      <c r="AA542" s="886" t="s">
        <v>1750</v>
      </c>
      <c r="AB542" s="868" t="s">
        <v>179</v>
      </c>
      <c r="AC542" s="869" t="s">
        <v>1750</v>
      </c>
    </row>
    <row r="543" spans="1:29" ht="30.75">
      <c r="A543" s="856" t="s">
        <v>1841</v>
      </c>
      <c r="B543" s="792" t="s">
        <v>1397</v>
      </c>
      <c r="C543" s="857" t="s">
        <v>1750</v>
      </c>
      <c r="D543" s="858" t="s">
        <v>43</v>
      </c>
      <c r="E543" s="843" t="s">
        <v>1750</v>
      </c>
      <c r="F543" s="858" t="s">
        <v>43</v>
      </c>
      <c r="G543" s="804">
        <v>6.9999999999999999E-4</v>
      </c>
      <c r="H543" s="859" t="s">
        <v>280</v>
      </c>
      <c r="I543" s="843" t="s">
        <v>1750</v>
      </c>
      <c r="J543" s="858" t="s">
        <v>43</v>
      </c>
      <c r="K543" s="858" t="s">
        <v>43</v>
      </c>
      <c r="L543" s="858" t="s">
        <v>43</v>
      </c>
      <c r="M543" s="859">
        <v>1</v>
      </c>
      <c r="N543" s="870" t="s">
        <v>1750</v>
      </c>
      <c r="O543" s="860" t="s">
        <v>1750</v>
      </c>
      <c r="P543" s="861">
        <v>55</v>
      </c>
      <c r="Q543" s="862" t="s">
        <v>179</v>
      </c>
      <c r="R543" s="861">
        <v>820</v>
      </c>
      <c r="S543" s="862" t="s">
        <v>179</v>
      </c>
      <c r="T543" s="863" t="s">
        <v>1750</v>
      </c>
      <c r="U543" s="864" t="s">
        <v>43</v>
      </c>
      <c r="V543" s="863" t="s">
        <v>1750</v>
      </c>
      <c r="W543" s="864" t="s">
        <v>43</v>
      </c>
      <c r="X543" s="861">
        <v>14</v>
      </c>
      <c r="Y543" s="865" t="s">
        <v>179</v>
      </c>
      <c r="Z543" s="866" t="s">
        <v>43</v>
      </c>
      <c r="AA543" s="886" t="s">
        <v>1750</v>
      </c>
      <c r="AB543" s="868" t="s">
        <v>179</v>
      </c>
      <c r="AC543" s="869" t="s">
        <v>1750</v>
      </c>
    </row>
    <row r="544" spans="1:29" ht="31.5" thickBot="1">
      <c r="A544" s="871" t="s">
        <v>1842</v>
      </c>
      <c r="B544" s="807" t="s">
        <v>1478</v>
      </c>
      <c r="C544" s="872" t="s">
        <v>1750</v>
      </c>
      <c r="D544" s="873" t="s">
        <v>43</v>
      </c>
      <c r="E544" s="847" t="s">
        <v>1750</v>
      </c>
      <c r="F544" s="873" t="s">
        <v>43</v>
      </c>
      <c r="G544" s="819">
        <v>6.9999999999999999E-4</v>
      </c>
      <c r="H544" s="874" t="s">
        <v>280</v>
      </c>
      <c r="I544" s="847" t="s">
        <v>1750</v>
      </c>
      <c r="J544" s="873" t="s">
        <v>43</v>
      </c>
      <c r="K544" s="873" t="s">
        <v>43</v>
      </c>
      <c r="L544" s="873" t="s">
        <v>43</v>
      </c>
      <c r="M544" s="874">
        <v>1</v>
      </c>
      <c r="N544" s="888" t="s">
        <v>1750</v>
      </c>
      <c r="O544" s="875" t="s">
        <v>1750</v>
      </c>
      <c r="P544" s="876">
        <v>55</v>
      </c>
      <c r="Q544" s="877" t="s">
        <v>179</v>
      </c>
      <c r="R544" s="876">
        <v>820</v>
      </c>
      <c r="S544" s="877" t="s">
        <v>179</v>
      </c>
      <c r="T544" s="878" t="s">
        <v>1750</v>
      </c>
      <c r="U544" s="879" t="s">
        <v>43</v>
      </c>
      <c r="V544" s="878" t="s">
        <v>1750</v>
      </c>
      <c r="W544" s="879" t="s">
        <v>43</v>
      </c>
      <c r="X544" s="876">
        <v>14</v>
      </c>
      <c r="Y544" s="880" t="s">
        <v>179</v>
      </c>
      <c r="Z544" s="881" t="s">
        <v>43</v>
      </c>
      <c r="AA544" s="895" t="s">
        <v>1750</v>
      </c>
      <c r="AB544" s="883" t="s">
        <v>179</v>
      </c>
      <c r="AC544" s="884" t="s">
        <v>1750</v>
      </c>
    </row>
    <row r="545" spans="1:29" ht="45.75">
      <c r="A545" s="856" t="s">
        <v>2423</v>
      </c>
      <c r="B545" s="792" t="s">
        <v>2164</v>
      </c>
      <c r="C545" s="857" t="s">
        <v>1750</v>
      </c>
      <c r="D545" s="858" t="s">
        <v>43</v>
      </c>
      <c r="E545" s="843" t="s">
        <v>1750</v>
      </c>
      <c r="F545" s="858" t="s">
        <v>43</v>
      </c>
      <c r="G545" s="804">
        <v>0.02</v>
      </c>
      <c r="H545" s="859" t="s">
        <v>281</v>
      </c>
      <c r="I545" s="843" t="s">
        <v>1750</v>
      </c>
      <c r="J545" s="858" t="s">
        <v>43</v>
      </c>
      <c r="K545" s="858" t="s">
        <v>43</v>
      </c>
      <c r="L545" s="858" t="s">
        <v>43</v>
      </c>
      <c r="M545" s="859">
        <v>1</v>
      </c>
      <c r="N545" s="859">
        <v>0.1</v>
      </c>
      <c r="O545" s="860" t="s">
        <v>1750</v>
      </c>
      <c r="P545" s="861">
        <v>1300</v>
      </c>
      <c r="Q545" s="862" t="s">
        <v>179</v>
      </c>
      <c r="R545" s="861">
        <v>16000</v>
      </c>
      <c r="S545" s="862" t="s">
        <v>179</v>
      </c>
      <c r="T545" s="863" t="s">
        <v>1750</v>
      </c>
      <c r="U545" s="864" t="s">
        <v>43</v>
      </c>
      <c r="V545" s="863" t="s">
        <v>1750</v>
      </c>
      <c r="W545" s="864" t="s">
        <v>43</v>
      </c>
      <c r="X545" s="861">
        <v>400</v>
      </c>
      <c r="Y545" s="865" t="s">
        <v>179</v>
      </c>
      <c r="Z545" s="866" t="s">
        <v>43</v>
      </c>
      <c r="AA545" s="867">
        <v>0.13</v>
      </c>
      <c r="AB545" s="868" t="s">
        <v>179</v>
      </c>
      <c r="AC545" s="869" t="s">
        <v>1750</v>
      </c>
    </row>
    <row r="546" spans="1:29" ht="30.75">
      <c r="A546" s="856" t="s">
        <v>2424</v>
      </c>
      <c r="B546" s="792" t="s">
        <v>2425</v>
      </c>
      <c r="C546" s="857" t="s">
        <v>1750</v>
      </c>
      <c r="D546" s="858" t="s">
        <v>43</v>
      </c>
      <c r="E546" s="843" t="s">
        <v>1750</v>
      </c>
      <c r="F546" s="858" t="s">
        <v>43</v>
      </c>
      <c r="G546" s="804">
        <v>0.02</v>
      </c>
      <c r="H546" s="859" t="s">
        <v>281</v>
      </c>
      <c r="I546" s="843" t="s">
        <v>1750</v>
      </c>
      <c r="J546" s="858" t="s">
        <v>43</v>
      </c>
      <c r="K546" s="858" t="s">
        <v>43</v>
      </c>
      <c r="L546" s="858" t="s">
        <v>43</v>
      </c>
      <c r="M546" s="859">
        <v>1</v>
      </c>
      <c r="N546" s="859">
        <v>0.1</v>
      </c>
      <c r="O546" s="860" t="s">
        <v>1750</v>
      </c>
      <c r="P546" s="861">
        <v>1300</v>
      </c>
      <c r="Q546" s="862" t="s">
        <v>179</v>
      </c>
      <c r="R546" s="861">
        <v>16000</v>
      </c>
      <c r="S546" s="862" t="s">
        <v>179</v>
      </c>
      <c r="T546" s="863" t="s">
        <v>1750</v>
      </c>
      <c r="U546" s="864" t="s">
        <v>43</v>
      </c>
      <c r="V546" s="863" t="s">
        <v>1750</v>
      </c>
      <c r="W546" s="864" t="s">
        <v>43</v>
      </c>
      <c r="X546" s="861">
        <v>400</v>
      </c>
      <c r="Y546" s="865" t="s">
        <v>179</v>
      </c>
      <c r="Z546" s="866" t="s">
        <v>43</v>
      </c>
      <c r="AA546" s="867">
        <v>0.13</v>
      </c>
      <c r="AB546" s="868" t="s">
        <v>179</v>
      </c>
      <c r="AC546" s="869" t="s">
        <v>1750</v>
      </c>
    </row>
    <row r="547" spans="1:29" ht="31.5" thickBot="1">
      <c r="A547" s="871" t="s">
        <v>1275</v>
      </c>
      <c r="B547" s="807" t="s">
        <v>1276</v>
      </c>
      <c r="C547" s="872" t="s">
        <v>1750</v>
      </c>
      <c r="D547" s="873" t="s">
        <v>43</v>
      </c>
      <c r="E547" s="847" t="s">
        <v>1750</v>
      </c>
      <c r="F547" s="873" t="s">
        <v>43</v>
      </c>
      <c r="G547" s="819">
        <v>0.05</v>
      </c>
      <c r="H547" s="874" t="s">
        <v>280</v>
      </c>
      <c r="I547" s="847" t="s">
        <v>1750</v>
      </c>
      <c r="J547" s="873" t="s">
        <v>43</v>
      </c>
      <c r="K547" s="873" t="s">
        <v>43</v>
      </c>
      <c r="L547" s="873" t="s">
        <v>43</v>
      </c>
      <c r="M547" s="874">
        <v>1</v>
      </c>
      <c r="N547" s="874">
        <v>0.1</v>
      </c>
      <c r="O547" s="875" t="s">
        <v>1750</v>
      </c>
      <c r="P547" s="876">
        <v>3200</v>
      </c>
      <c r="Q547" s="877" t="s">
        <v>179</v>
      </c>
      <c r="R547" s="876">
        <v>41000</v>
      </c>
      <c r="S547" s="877" t="s">
        <v>179</v>
      </c>
      <c r="T547" s="878" t="s">
        <v>1750</v>
      </c>
      <c r="U547" s="879" t="s">
        <v>43</v>
      </c>
      <c r="V547" s="878" t="s">
        <v>1750</v>
      </c>
      <c r="W547" s="879" t="s">
        <v>43</v>
      </c>
      <c r="X547" s="876">
        <v>1000</v>
      </c>
      <c r="Y547" s="880" t="s">
        <v>179</v>
      </c>
      <c r="Z547" s="881" t="s">
        <v>43</v>
      </c>
      <c r="AA547" s="882">
        <v>240</v>
      </c>
      <c r="AB547" s="883" t="s">
        <v>179</v>
      </c>
      <c r="AC547" s="884" t="s">
        <v>1750</v>
      </c>
    </row>
    <row r="548" spans="1:29" ht="15.75">
      <c r="A548" s="856" t="s">
        <v>1277</v>
      </c>
      <c r="B548" s="792" t="s">
        <v>1278</v>
      </c>
      <c r="C548" s="889">
        <v>2.2000000000000001E-3</v>
      </c>
      <c r="D548" s="859" t="s">
        <v>3</v>
      </c>
      <c r="E548" s="804">
        <v>6.3E-7</v>
      </c>
      <c r="F548" s="859" t="s">
        <v>3</v>
      </c>
      <c r="G548" s="843" t="s">
        <v>1750</v>
      </c>
      <c r="H548" s="858" t="s">
        <v>43</v>
      </c>
      <c r="I548" s="843" t="s">
        <v>1750</v>
      </c>
      <c r="J548" s="858" t="s">
        <v>43</v>
      </c>
      <c r="K548" s="858" t="s">
        <v>43</v>
      </c>
      <c r="L548" s="858" t="s">
        <v>43</v>
      </c>
      <c r="M548" s="859">
        <v>1</v>
      </c>
      <c r="N548" s="859">
        <v>0.1</v>
      </c>
      <c r="O548" s="860" t="s">
        <v>1750</v>
      </c>
      <c r="P548" s="861">
        <v>250</v>
      </c>
      <c r="Q548" s="862" t="s">
        <v>2283</v>
      </c>
      <c r="R548" s="861">
        <v>1000</v>
      </c>
      <c r="S548" s="862" t="s">
        <v>2283</v>
      </c>
      <c r="T548" s="861">
        <v>4.5</v>
      </c>
      <c r="U548" s="862" t="s">
        <v>2283</v>
      </c>
      <c r="V548" s="861">
        <v>19</v>
      </c>
      <c r="W548" s="862" t="s">
        <v>2283</v>
      </c>
      <c r="X548" s="861">
        <v>34</v>
      </c>
      <c r="Y548" s="865" t="s">
        <v>2283</v>
      </c>
      <c r="Z548" s="866" t="s">
        <v>43</v>
      </c>
      <c r="AA548" s="867">
        <v>9.7000000000000003E-3</v>
      </c>
      <c r="AB548" s="868" t="s">
        <v>2283</v>
      </c>
      <c r="AC548" s="869" t="s">
        <v>1750</v>
      </c>
    </row>
    <row r="549" spans="1:29" ht="30.75">
      <c r="A549" s="856" t="s">
        <v>1279</v>
      </c>
      <c r="B549" s="792" t="s">
        <v>1280</v>
      </c>
      <c r="C549" s="857" t="s">
        <v>1750</v>
      </c>
      <c r="D549" s="858" t="s">
        <v>43</v>
      </c>
      <c r="E549" s="843" t="s">
        <v>1750</v>
      </c>
      <c r="F549" s="858" t="s">
        <v>43</v>
      </c>
      <c r="G549" s="804">
        <v>0.24</v>
      </c>
      <c r="H549" s="859" t="s">
        <v>2463</v>
      </c>
      <c r="I549" s="843" t="s">
        <v>1750</v>
      </c>
      <c r="J549" s="858" t="s">
        <v>43</v>
      </c>
      <c r="K549" s="858" t="s">
        <v>43</v>
      </c>
      <c r="L549" s="858" t="s">
        <v>43</v>
      </c>
      <c r="M549" s="859">
        <v>1</v>
      </c>
      <c r="N549" s="859">
        <v>0.1</v>
      </c>
      <c r="O549" s="860" t="s">
        <v>1750</v>
      </c>
      <c r="P549" s="861">
        <v>15000</v>
      </c>
      <c r="Q549" s="862" t="s">
        <v>179</v>
      </c>
      <c r="R549" s="861">
        <v>200000</v>
      </c>
      <c r="S549" s="862" t="s">
        <v>2281</v>
      </c>
      <c r="T549" s="863" t="s">
        <v>1750</v>
      </c>
      <c r="U549" s="864" t="s">
        <v>43</v>
      </c>
      <c r="V549" s="863" t="s">
        <v>1750</v>
      </c>
      <c r="W549" s="864" t="s">
        <v>43</v>
      </c>
      <c r="X549" s="861">
        <v>3800</v>
      </c>
      <c r="Y549" s="865" t="s">
        <v>179</v>
      </c>
      <c r="Z549" s="866" t="s">
        <v>43</v>
      </c>
      <c r="AA549" s="867">
        <v>21</v>
      </c>
      <c r="AB549" s="868" t="s">
        <v>179</v>
      </c>
      <c r="AC549" s="869" t="s">
        <v>1750</v>
      </c>
    </row>
    <row r="550" spans="1:29" ht="16.5" thickBot="1">
      <c r="A550" s="871" t="s">
        <v>1281</v>
      </c>
      <c r="B550" s="807" t="s">
        <v>1282</v>
      </c>
      <c r="C550" s="872" t="s">
        <v>1750</v>
      </c>
      <c r="D550" s="873" t="s">
        <v>43</v>
      </c>
      <c r="E550" s="847" t="s">
        <v>1750</v>
      </c>
      <c r="F550" s="873" t="s">
        <v>43</v>
      </c>
      <c r="G550" s="819">
        <v>0.3</v>
      </c>
      <c r="H550" s="874" t="s">
        <v>280</v>
      </c>
      <c r="I550" s="819">
        <v>0.2</v>
      </c>
      <c r="J550" s="874" t="s">
        <v>3</v>
      </c>
      <c r="K550" s="873" t="s">
        <v>43</v>
      </c>
      <c r="L550" s="873" t="s">
        <v>43</v>
      </c>
      <c r="M550" s="874">
        <v>1</v>
      </c>
      <c r="N550" s="874">
        <v>0.1</v>
      </c>
      <c r="O550" s="875" t="s">
        <v>1750</v>
      </c>
      <c r="P550" s="876">
        <v>19000</v>
      </c>
      <c r="Q550" s="877" t="s">
        <v>179</v>
      </c>
      <c r="R550" s="876">
        <v>250000</v>
      </c>
      <c r="S550" s="877" t="s">
        <v>2281</v>
      </c>
      <c r="T550" s="876">
        <v>210</v>
      </c>
      <c r="U550" s="877" t="s">
        <v>179</v>
      </c>
      <c r="V550" s="876">
        <v>880</v>
      </c>
      <c r="W550" s="877" t="s">
        <v>179</v>
      </c>
      <c r="X550" s="876">
        <v>5800</v>
      </c>
      <c r="Y550" s="880" t="s">
        <v>179</v>
      </c>
      <c r="Z550" s="881" t="s">
        <v>43</v>
      </c>
      <c r="AA550" s="882">
        <v>3.3</v>
      </c>
      <c r="AB550" s="883" t="s">
        <v>179</v>
      </c>
      <c r="AC550" s="884" t="s">
        <v>1750</v>
      </c>
    </row>
    <row r="551" spans="1:29" ht="45.75">
      <c r="A551" s="856" t="s">
        <v>2427</v>
      </c>
      <c r="B551" s="792" t="s">
        <v>438</v>
      </c>
      <c r="C551" s="857" t="s">
        <v>1750</v>
      </c>
      <c r="D551" s="858" t="s">
        <v>43</v>
      </c>
      <c r="E551" s="843" t="s">
        <v>1750</v>
      </c>
      <c r="F551" s="858" t="s">
        <v>43</v>
      </c>
      <c r="G551" s="804">
        <v>4.0000000000000001E-3</v>
      </c>
      <c r="H551" s="859" t="s">
        <v>280</v>
      </c>
      <c r="I551" s="843" t="s">
        <v>1750</v>
      </c>
      <c r="J551" s="858" t="s">
        <v>43</v>
      </c>
      <c r="K551" s="858" t="s">
        <v>43</v>
      </c>
      <c r="L551" s="858" t="s">
        <v>43</v>
      </c>
      <c r="M551" s="859">
        <v>1</v>
      </c>
      <c r="N551" s="859">
        <v>0.1</v>
      </c>
      <c r="O551" s="860" t="s">
        <v>1750</v>
      </c>
      <c r="P551" s="861">
        <v>250</v>
      </c>
      <c r="Q551" s="862" t="s">
        <v>179</v>
      </c>
      <c r="R551" s="861">
        <v>3300</v>
      </c>
      <c r="S551" s="862" t="s">
        <v>179</v>
      </c>
      <c r="T551" s="863" t="s">
        <v>1750</v>
      </c>
      <c r="U551" s="864" t="s">
        <v>43</v>
      </c>
      <c r="V551" s="863" t="s">
        <v>1750</v>
      </c>
      <c r="W551" s="864" t="s">
        <v>43</v>
      </c>
      <c r="X551" s="861">
        <v>78</v>
      </c>
      <c r="Y551" s="865" t="s">
        <v>179</v>
      </c>
      <c r="Z551" s="866" t="s">
        <v>43</v>
      </c>
      <c r="AA551" s="867">
        <v>2.5000000000000001E-2</v>
      </c>
      <c r="AB551" s="868" t="s">
        <v>179</v>
      </c>
      <c r="AC551" s="869" t="s">
        <v>1750</v>
      </c>
    </row>
    <row r="552" spans="1:29" ht="15.75">
      <c r="A552" s="856" t="s">
        <v>1843</v>
      </c>
      <c r="B552" s="792" t="s">
        <v>1844</v>
      </c>
      <c r="C552" s="857" t="s">
        <v>1750</v>
      </c>
      <c r="D552" s="858" t="s">
        <v>43</v>
      </c>
      <c r="E552" s="843" t="s">
        <v>1750</v>
      </c>
      <c r="F552" s="858" t="s">
        <v>43</v>
      </c>
      <c r="G552" s="804">
        <v>5.0000000000000001E-4</v>
      </c>
      <c r="H552" s="859" t="s">
        <v>0</v>
      </c>
      <c r="I552" s="843" t="s">
        <v>1750</v>
      </c>
      <c r="J552" s="858" t="s">
        <v>43</v>
      </c>
      <c r="K552" s="858" t="s">
        <v>43</v>
      </c>
      <c r="L552" s="858" t="s">
        <v>43</v>
      </c>
      <c r="M552" s="859">
        <v>1</v>
      </c>
      <c r="N552" s="859">
        <v>0.1</v>
      </c>
      <c r="O552" s="860" t="s">
        <v>1750</v>
      </c>
      <c r="P552" s="861">
        <v>32</v>
      </c>
      <c r="Q552" s="862" t="s">
        <v>179</v>
      </c>
      <c r="R552" s="861">
        <v>410</v>
      </c>
      <c r="S552" s="862" t="s">
        <v>179</v>
      </c>
      <c r="T552" s="863" t="s">
        <v>1750</v>
      </c>
      <c r="U552" s="864" t="s">
        <v>43</v>
      </c>
      <c r="V552" s="863" t="s">
        <v>1750</v>
      </c>
      <c r="W552" s="864" t="s">
        <v>43</v>
      </c>
      <c r="X552" s="861">
        <v>4.3</v>
      </c>
      <c r="Y552" s="865" t="s">
        <v>179</v>
      </c>
      <c r="Z552" s="866" t="s">
        <v>43</v>
      </c>
      <c r="AA552" s="867">
        <v>1.4E-2</v>
      </c>
      <c r="AB552" s="868" t="s">
        <v>179</v>
      </c>
      <c r="AC552" s="869" t="s">
        <v>1750</v>
      </c>
    </row>
    <row r="553" spans="1:29" ht="31.5" thickBot="1">
      <c r="A553" s="871" t="s">
        <v>2428</v>
      </c>
      <c r="B553" s="807" t="s">
        <v>2429</v>
      </c>
      <c r="C553" s="872" t="s">
        <v>1750</v>
      </c>
      <c r="D553" s="873" t="s">
        <v>43</v>
      </c>
      <c r="E553" s="847" t="s">
        <v>1750</v>
      </c>
      <c r="F553" s="873" t="s">
        <v>43</v>
      </c>
      <c r="G553" s="819">
        <v>2.0000000000000001E-4</v>
      </c>
      <c r="H553" s="874" t="s">
        <v>0</v>
      </c>
      <c r="I553" s="847" t="s">
        <v>1750</v>
      </c>
      <c r="J553" s="873" t="s">
        <v>43</v>
      </c>
      <c r="K553" s="874" t="s">
        <v>1634</v>
      </c>
      <c r="L553" s="873" t="s">
        <v>43</v>
      </c>
      <c r="M553" s="874">
        <v>1</v>
      </c>
      <c r="N553" s="888" t="s">
        <v>1750</v>
      </c>
      <c r="O553" s="820">
        <v>129</v>
      </c>
      <c r="P553" s="876">
        <v>16</v>
      </c>
      <c r="Q553" s="877" t="s">
        <v>179</v>
      </c>
      <c r="R553" s="876">
        <v>230</v>
      </c>
      <c r="S553" s="877" t="s">
        <v>2282</v>
      </c>
      <c r="T553" s="878" t="s">
        <v>1750</v>
      </c>
      <c r="U553" s="879" t="s">
        <v>43</v>
      </c>
      <c r="V553" s="878" t="s">
        <v>1750</v>
      </c>
      <c r="W553" s="879" t="s">
        <v>43</v>
      </c>
      <c r="X553" s="876">
        <v>2.6</v>
      </c>
      <c r="Y553" s="880" t="s">
        <v>179</v>
      </c>
      <c r="Z553" s="881" t="s">
        <v>43</v>
      </c>
      <c r="AA553" s="882">
        <v>1.6999999999999999E-3</v>
      </c>
      <c r="AB553" s="883" t="s">
        <v>179</v>
      </c>
      <c r="AC553" s="884" t="s">
        <v>1750</v>
      </c>
    </row>
    <row r="554" spans="1:29" ht="30.75">
      <c r="A554" s="856" t="s">
        <v>1283</v>
      </c>
      <c r="B554" s="792" t="s">
        <v>1284</v>
      </c>
      <c r="C554" s="857" t="s">
        <v>1750</v>
      </c>
      <c r="D554" s="858" t="s">
        <v>43</v>
      </c>
      <c r="E554" s="843" t="s">
        <v>1750</v>
      </c>
      <c r="F554" s="858" t="s">
        <v>43</v>
      </c>
      <c r="G554" s="804">
        <v>6.0000000000000001E-3</v>
      </c>
      <c r="H554" s="859" t="s">
        <v>280</v>
      </c>
      <c r="I554" s="843" t="s">
        <v>1750</v>
      </c>
      <c r="J554" s="858" t="s">
        <v>43</v>
      </c>
      <c r="K554" s="858" t="s">
        <v>43</v>
      </c>
      <c r="L554" s="858" t="s">
        <v>43</v>
      </c>
      <c r="M554" s="859">
        <v>1</v>
      </c>
      <c r="N554" s="859">
        <v>0.1</v>
      </c>
      <c r="O554" s="860" t="s">
        <v>1750</v>
      </c>
      <c r="P554" s="861">
        <v>380</v>
      </c>
      <c r="Q554" s="862" t="s">
        <v>179</v>
      </c>
      <c r="R554" s="861">
        <v>4900</v>
      </c>
      <c r="S554" s="862" t="s">
        <v>179</v>
      </c>
      <c r="T554" s="863" t="s">
        <v>1750</v>
      </c>
      <c r="U554" s="864" t="s">
        <v>43</v>
      </c>
      <c r="V554" s="863" t="s">
        <v>1750</v>
      </c>
      <c r="W554" s="864" t="s">
        <v>43</v>
      </c>
      <c r="X554" s="861">
        <v>120</v>
      </c>
      <c r="Y554" s="865" t="s">
        <v>179</v>
      </c>
      <c r="Z554" s="866" t="s">
        <v>43</v>
      </c>
      <c r="AA554" s="867">
        <v>3.2000000000000001E-2</v>
      </c>
      <c r="AB554" s="868" t="s">
        <v>179</v>
      </c>
      <c r="AC554" s="869" t="s">
        <v>1750</v>
      </c>
    </row>
    <row r="555" spans="1:29" ht="30.75">
      <c r="A555" s="856" t="s">
        <v>1285</v>
      </c>
      <c r="B555" s="792" t="s">
        <v>1286</v>
      </c>
      <c r="C555" s="889">
        <v>0.12</v>
      </c>
      <c r="D555" s="859" t="s">
        <v>281</v>
      </c>
      <c r="E555" s="843" t="s">
        <v>1750</v>
      </c>
      <c r="F555" s="858" t="s">
        <v>43</v>
      </c>
      <c r="G555" s="804">
        <v>4.0000000000000001E-3</v>
      </c>
      <c r="H555" s="859" t="s">
        <v>281</v>
      </c>
      <c r="I555" s="843" t="s">
        <v>1750</v>
      </c>
      <c r="J555" s="858" t="s">
        <v>43</v>
      </c>
      <c r="K555" s="858" t="s">
        <v>43</v>
      </c>
      <c r="L555" s="858" t="s">
        <v>43</v>
      </c>
      <c r="M555" s="859">
        <v>1</v>
      </c>
      <c r="N555" s="859">
        <v>0.1</v>
      </c>
      <c r="O555" s="860" t="s">
        <v>1750</v>
      </c>
      <c r="P555" s="861">
        <v>4.5</v>
      </c>
      <c r="Q555" s="862" t="s">
        <v>2279</v>
      </c>
      <c r="R555" s="861">
        <v>19</v>
      </c>
      <c r="S555" s="862" t="s">
        <v>2283</v>
      </c>
      <c r="T555" s="863" t="s">
        <v>1750</v>
      </c>
      <c r="U555" s="864" t="s">
        <v>43</v>
      </c>
      <c r="V555" s="863" t="s">
        <v>1750</v>
      </c>
      <c r="W555" s="864" t="s">
        <v>43</v>
      </c>
      <c r="X555" s="861">
        <v>0.65</v>
      </c>
      <c r="Y555" s="865" t="s">
        <v>2283</v>
      </c>
      <c r="Z555" s="866" t="s">
        <v>43</v>
      </c>
      <c r="AA555" s="867">
        <v>1.7000000000000001E-4</v>
      </c>
      <c r="AB555" s="868" t="s">
        <v>2283</v>
      </c>
      <c r="AC555" s="869" t="s">
        <v>1750</v>
      </c>
    </row>
    <row r="556" spans="1:29" ht="31.5" thickBot="1">
      <c r="A556" s="871" t="s">
        <v>1287</v>
      </c>
      <c r="B556" s="807" t="s">
        <v>1288</v>
      </c>
      <c r="C556" s="872" t="s">
        <v>1750</v>
      </c>
      <c r="D556" s="873" t="s">
        <v>43</v>
      </c>
      <c r="E556" s="847" t="s">
        <v>1750</v>
      </c>
      <c r="F556" s="873" t="s">
        <v>43</v>
      </c>
      <c r="G556" s="819">
        <v>1E-3</v>
      </c>
      <c r="H556" s="874" t="s">
        <v>0</v>
      </c>
      <c r="I556" s="847" t="s">
        <v>1750</v>
      </c>
      <c r="J556" s="873" t="s">
        <v>43</v>
      </c>
      <c r="K556" s="873" t="s">
        <v>43</v>
      </c>
      <c r="L556" s="873" t="s">
        <v>43</v>
      </c>
      <c r="M556" s="874">
        <v>1</v>
      </c>
      <c r="N556" s="874">
        <v>0.1</v>
      </c>
      <c r="O556" s="875" t="s">
        <v>1750</v>
      </c>
      <c r="P556" s="876">
        <v>63</v>
      </c>
      <c r="Q556" s="877" t="s">
        <v>179</v>
      </c>
      <c r="R556" s="876">
        <v>820</v>
      </c>
      <c r="S556" s="877" t="s">
        <v>179</v>
      </c>
      <c r="T556" s="878" t="s">
        <v>1750</v>
      </c>
      <c r="U556" s="879" t="s">
        <v>43</v>
      </c>
      <c r="V556" s="878" t="s">
        <v>1750</v>
      </c>
      <c r="W556" s="879" t="s">
        <v>43</v>
      </c>
      <c r="X556" s="876">
        <v>20</v>
      </c>
      <c r="Y556" s="880" t="s">
        <v>179</v>
      </c>
      <c r="Z556" s="881" t="s">
        <v>43</v>
      </c>
      <c r="AA556" s="882">
        <v>5.4000000000000003E-3</v>
      </c>
      <c r="AB556" s="883" t="s">
        <v>179</v>
      </c>
      <c r="AC556" s="884" t="s">
        <v>1750</v>
      </c>
    </row>
    <row r="557" spans="1:29" ht="15.75">
      <c r="A557" s="856" t="s">
        <v>1289</v>
      </c>
      <c r="B557" s="792" t="s">
        <v>1290</v>
      </c>
      <c r="C557" s="889">
        <v>1.9E-3</v>
      </c>
      <c r="D557" s="859" t="s">
        <v>13</v>
      </c>
      <c r="E557" s="843" t="s">
        <v>1750</v>
      </c>
      <c r="F557" s="858" t="s">
        <v>43</v>
      </c>
      <c r="G557" s="843" t="s">
        <v>1750</v>
      </c>
      <c r="H557" s="858" t="s">
        <v>43</v>
      </c>
      <c r="I557" s="843" t="s">
        <v>1750</v>
      </c>
      <c r="J557" s="858" t="s">
        <v>43</v>
      </c>
      <c r="K557" s="858" t="s">
        <v>43</v>
      </c>
      <c r="L557" s="858" t="s">
        <v>43</v>
      </c>
      <c r="M557" s="859">
        <v>1</v>
      </c>
      <c r="N557" s="859">
        <v>0.1</v>
      </c>
      <c r="O557" s="860" t="s">
        <v>1750</v>
      </c>
      <c r="P557" s="861">
        <v>280</v>
      </c>
      <c r="Q557" s="862" t="s">
        <v>2283</v>
      </c>
      <c r="R557" s="861">
        <v>1200</v>
      </c>
      <c r="S557" s="862" t="s">
        <v>2283</v>
      </c>
      <c r="T557" s="863" t="s">
        <v>1750</v>
      </c>
      <c r="U557" s="864" t="s">
        <v>43</v>
      </c>
      <c r="V557" s="863" t="s">
        <v>1750</v>
      </c>
      <c r="W557" s="864" t="s">
        <v>43</v>
      </c>
      <c r="X557" s="861">
        <v>30</v>
      </c>
      <c r="Y557" s="865" t="s">
        <v>2283</v>
      </c>
      <c r="Z557" s="866" t="s">
        <v>43</v>
      </c>
      <c r="AA557" s="867">
        <v>0.41</v>
      </c>
      <c r="AB557" s="868" t="s">
        <v>2283</v>
      </c>
      <c r="AC557" s="869" t="s">
        <v>1750</v>
      </c>
    </row>
    <row r="558" spans="1:29" ht="15.75">
      <c r="A558" s="856" t="s">
        <v>1291</v>
      </c>
      <c r="B558" s="792" t="s">
        <v>1292</v>
      </c>
      <c r="C558" s="857" t="s">
        <v>1750</v>
      </c>
      <c r="D558" s="858" t="s">
        <v>43</v>
      </c>
      <c r="E558" s="843" t="s">
        <v>1750</v>
      </c>
      <c r="F558" s="858" t="s">
        <v>43</v>
      </c>
      <c r="G558" s="804">
        <v>2.0000000000000001E-4</v>
      </c>
      <c r="H558" s="859" t="s">
        <v>13</v>
      </c>
      <c r="I558" s="843" t="s">
        <v>1750</v>
      </c>
      <c r="J558" s="858" t="s">
        <v>43</v>
      </c>
      <c r="K558" s="858" t="s">
        <v>43</v>
      </c>
      <c r="L558" s="858" t="s">
        <v>43</v>
      </c>
      <c r="M558" s="859">
        <v>1</v>
      </c>
      <c r="N558" s="859">
        <v>0.1</v>
      </c>
      <c r="O558" s="860" t="s">
        <v>1750</v>
      </c>
      <c r="P558" s="861">
        <v>13</v>
      </c>
      <c r="Q558" s="862" t="s">
        <v>179</v>
      </c>
      <c r="R558" s="861">
        <v>160</v>
      </c>
      <c r="S558" s="862" t="s">
        <v>179</v>
      </c>
      <c r="T558" s="863" t="s">
        <v>1750</v>
      </c>
      <c r="U558" s="864" t="s">
        <v>43</v>
      </c>
      <c r="V558" s="863" t="s">
        <v>1750</v>
      </c>
      <c r="W558" s="864" t="s">
        <v>43</v>
      </c>
      <c r="X558" s="861">
        <v>3</v>
      </c>
      <c r="Y558" s="865" t="s">
        <v>179</v>
      </c>
      <c r="Z558" s="866" t="s">
        <v>43</v>
      </c>
      <c r="AA558" s="867">
        <v>3.3999999999999998E-3</v>
      </c>
      <c r="AB558" s="868" t="s">
        <v>179</v>
      </c>
      <c r="AC558" s="869" t="s">
        <v>1750</v>
      </c>
    </row>
    <row r="559" spans="1:29" ht="16.5" thickBot="1">
      <c r="A559" s="871" t="s">
        <v>1293</v>
      </c>
      <c r="B559" s="807" t="s">
        <v>1294</v>
      </c>
      <c r="C559" s="872" t="s">
        <v>1750</v>
      </c>
      <c r="D559" s="873" t="s">
        <v>43</v>
      </c>
      <c r="E559" s="847" t="s">
        <v>1750</v>
      </c>
      <c r="F559" s="873" t="s">
        <v>43</v>
      </c>
      <c r="G559" s="847" t="s">
        <v>1750</v>
      </c>
      <c r="H559" s="873" t="s">
        <v>43</v>
      </c>
      <c r="I559" s="819">
        <v>2.9999999999999997E-4</v>
      </c>
      <c r="J559" s="874" t="s">
        <v>280</v>
      </c>
      <c r="K559" s="874" t="s">
        <v>1634</v>
      </c>
      <c r="L559" s="873" t="s">
        <v>43</v>
      </c>
      <c r="M559" s="874">
        <v>1</v>
      </c>
      <c r="N559" s="888" t="s">
        <v>1750</v>
      </c>
      <c r="O559" s="820">
        <v>1610</v>
      </c>
      <c r="P559" s="876">
        <v>0.31</v>
      </c>
      <c r="Q559" s="877" t="s">
        <v>179</v>
      </c>
      <c r="R559" s="876">
        <v>1.3</v>
      </c>
      <c r="S559" s="877" t="s">
        <v>179</v>
      </c>
      <c r="T559" s="876">
        <v>0.31</v>
      </c>
      <c r="U559" s="877" t="s">
        <v>179</v>
      </c>
      <c r="V559" s="876">
        <v>1.3</v>
      </c>
      <c r="W559" s="877" t="s">
        <v>179</v>
      </c>
      <c r="X559" s="878" t="s">
        <v>1750</v>
      </c>
      <c r="Y559" s="896" t="s">
        <v>43</v>
      </c>
      <c r="Z559" s="881" t="s">
        <v>43</v>
      </c>
      <c r="AA559" s="895" t="s">
        <v>1750</v>
      </c>
      <c r="AB559" s="897" t="s">
        <v>43</v>
      </c>
      <c r="AC559" s="884" t="s">
        <v>1750</v>
      </c>
    </row>
    <row r="560" spans="1:29" ht="15.75">
      <c r="A560" s="856" t="s">
        <v>1295</v>
      </c>
      <c r="B560" s="792" t="s">
        <v>1296</v>
      </c>
      <c r="C560" s="857" t="s">
        <v>1750</v>
      </c>
      <c r="D560" s="858" t="s">
        <v>43</v>
      </c>
      <c r="E560" s="843" t="s">
        <v>1750</v>
      </c>
      <c r="F560" s="858" t="s">
        <v>43</v>
      </c>
      <c r="G560" s="804">
        <v>0.02</v>
      </c>
      <c r="H560" s="859" t="s">
        <v>280</v>
      </c>
      <c r="I560" s="843" t="s">
        <v>1750</v>
      </c>
      <c r="J560" s="858" t="s">
        <v>43</v>
      </c>
      <c r="K560" s="858" t="s">
        <v>43</v>
      </c>
      <c r="L560" s="858" t="s">
        <v>43</v>
      </c>
      <c r="M560" s="859">
        <v>1</v>
      </c>
      <c r="N560" s="859">
        <v>0.1</v>
      </c>
      <c r="O560" s="860" t="s">
        <v>1750</v>
      </c>
      <c r="P560" s="861">
        <v>1300</v>
      </c>
      <c r="Q560" s="862" t="s">
        <v>179</v>
      </c>
      <c r="R560" s="861">
        <v>16000</v>
      </c>
      <c r="S560" s="862" t="s">
        <v>179</v>
      </c>
      <c r="T560" s="863" t="s">
        <v>1750</v>
      </c>
      <c r="U560" s="864" t="s">
        <v>43</v>
      </c>
      <c r="V560" s="863" t="s">
        <v>1750</v>
      </c>
      <c r="W560" s="864" t="s">
        <v>43</v>
      </c>
      <c r="X560" s="861">
        <v>370</v>
      </c>
      <c r="Y560" s="865" t="s">
        <v>179</v>
      </c>
      <c r="Z560" s="866" t="s">
        <v>43</v>
      </c>
      <c r="AA560" s="867">
        <v>8.2000000000000003E-2</v>
      </c>
      <c r="AB560" s="868" t="s">
        <v>179</v>
      </c>
      <c r="AC560" s="869" t="s">
        <v>1750</v>
      </c>
    </row>
    <row r="561" spans="1:29" ht="30.75">
      <c r="A561" s="856" t="s">
        <v>1845</v>
      </c>
      <c r="B561" s="792" t="s">
        <v>43</v>
      </c>
      <c r="C561" s="857" t="s">
        <v>1750</v>
      </c>
      <c r="D561" s="858" t="s">
        <v>43</v>
      </c>
      <c r="E561" s="843" t="s">
        <v>1750</v>
      </c>
      <c r="F561" s="858" t="s">
        <v>43</v>
      </c>
      <c r="G561" s="843" t="s">
        <v>1750</v>
      </c>
      <c r="H561" s="858" t="s">
        <v>43</v>
      </c>
      <c r="I561" s="843" t="s">
        <v>1750</v>
      </c>
      <c r="J561" s="858" t="s">
        <v>43</v>
      </c>
      <c r="K561" s="858" t="s">
        <v>43</v>
      </c>
      <c r="L561" s="858" t="s">
        <v>43</v>
      </c>
      <c r="M561" s="870" t="s">
        <v>1750</v>
      </c>
      <c r="N561" s="870" t="s">
        <v>1750</v>
      </c>
      <c r="O561" s="860" t="s">
        <v>1750</v>
      </c>
      <c r="P561" s="863" t="s">
        <v>1750</v>
      </c>
      <c r="Q561" s="864" t="s">
        <v>43</v>
      </c>
      <c r="R561" s="863" t="s">
        <v>1750</v>
      </c>
      <c r="S561" s="864" t="s">
        <v>43</v>
      </c>
      <c r="T561" s="863" t="s">
        <v>1750</v>
      </c>
      <c r="U561" s="864" t="s">
        <v>43</v>
      </c>
      <c r="V561" s="863" t="s">
        <v>1750</v>
      </c>
      <c r="W561" s="864" t="s">
        <v>43</v>
      </c>
      <c r="X561" s="863" t="s">
        <v>1750</v>
      </c>
      <c r="Y561" s="885" t="s">
        <v>43</v>
      </c>
      <c r="Z561" s="866" t="s">
        <v>43</v>
      </c>
      <c r="AA561" s="886" t="s">
        <v>1750</v>
      </c>
      <c r="AB561" s="887" t="s">
        <v>43</v>
      </c>
      <c r="AC561" s="869" t="s">
        <v>1750</v>
      </c>
    </row>
    <row r="562" spans="1:29" ht="31.5" thickBot="1">
      <c r="A562" s="871" t="s">
        <v>1846</v>
      </c>
      <c r="B562" s="807" t="s">
        <v>1847</v>
      </c>
      <c r="C562" s="872" t="s">
        <v>1750</v>
      </c>
      <c r="D562" s="873" t="s">
        <v>43</v>
      </c>
      <c r="E562" s="847" t="s">
        <v>1750</v>
      </c>
      <c r="F562" s="873" t="s">
        <v>43</v>
      </c>
      <c r="G562" s="819">
        <v>49</v>
      </c>
      <c r="H562" s="874" t="s">
        <v>281</v>
      </c>
      <c r="I562" s="847" t="s">
        <v>1750</v>
      </c>
      <c r="J562" s="873" t="s">
        <v>43</v>
      </c>
      <c r="K562" s="873" t="s">
        <v>43</v>
      </c>
      <c r="L562" s="873" t="s">
        <v>43</v>
      </c>
      <c r="M562" s="874">
        <v>1</v>
      </c>
      <c r="N562" s="888" t="s">
        <v>1750</v>
      </c>
      <c r="O562" s="875" t="s">
        <v>1750</v>
      </c>
      <c r="P562" s="876">
        <v>3800000</v>
      </c>
      <c r="Q562" s="877" t="s">
        <v>2281</v>
      </c>
      <c r="R562" s="876">
        <v>57000000</v>
      </c>
      <c r="S562" s="877" t="s">
        <v>2281</v>
      </c>
      <c r="T562" s="878" t="s">
        <v>1750</v>
      </c>
      <c r="U562" s="879" t="s">
        <v>43</v>
      </c>
      <c r="V562" s="878" t="s">
        <v>1750</v>
      </c>
      <c r="W562" s="879" t="s">
        <v>43</v>
      </c>
      <c r="X562" s="876">
        <v>970000</v>
      </c>
      <c r="Y562" s="880" t="s">
        <v>179</v>
      </c>
      <c r="Z562" s="881" t="s">
        <v>43</v>
      </c>
      <c r="AA562" s="895" t="s">
        <v>1750</v>
      </c>
      <c r="AB562" s="883" t="s">
        <v>179</v>
      </c>
      <c r="AC562" s="884" t="s">
        <v>1750</v>
      </c>
    </row>
    <row r="563" spans="1:29" ht="30.75">
      <c r="A563" s="856" t="s">
        <v>1848</v>
      </c>
      <c r="B563" s="792" t="s">
        <v>1849</v>
      </c>
      <c r="C563" s="857" t="s">
        <v>1750</v>
      </c>
      <c r="D563" s="858" t="s">
        <v>43</v>
      </c>
      <c r="E563" s="843" t="s">
        <v>1750</v>
      </c>
      <c r="F563" s="858" t="s">
        <v>43</v>
      </c>
      <c r="G563" s="804">
        <v>49</v>
      </c>
      <c r="H563" s="859" t="s">
        <v>281</v>
      </c>
      <c r="I563" s="843" t="s">
        <v>1750</v>
      </c>
      <c r="J563" s="858" t="s">
        <v>43</v>
      </c>
      <c r="K563" s="858" t="s">
        <v>43</v>
      </c>
      <c r="L563" s="858" t="s">
        <v>43</v>
      </c>
      <c r="M563" s="859">
        <v>1</v>
      </c>
      <c r="N563" s="870" t="s">
        <v>1750</v>
      </c>
      <c r="O563" s="860" t="s">
        <v>1750</v>
      </c>
      <c r="P563" s="861">
        <v>3800000</v>
      </c>
      <c r="Q563" s="862" t="s">
        <v>2281</v>
      </c>
      <c r="R563" s="861">
        <v>57000000</v>
      </c>
      <c r="S563" s="862" t="s">
        <v>2281</v>
      </c>
      <c r="T563" s="863" t="s">
        <v>1750</v>
      </c>
      <c r="U563" s="864" t="s">
        <v>43</v>
      </c>
      <c r="V563" s="863" t="s">
        <v>1750</v>
      </c>
      <c r="W563" s="864" t="s">
        <v>43</v>
      </c>
      <c r="X563" s="861">
        <v>970000</v>
      </c>
      <c r="Y563" s="865" t="s">
        <v>179</v>
      </c>
      <c r="Z563" s="866" t="s">
        <v>43</v>
      </c>
      <c r="AA563" s="886" t="s">
        <v>1750</v>
      </c>
      <c r="AB563" s="868" t="s">
        <v>179</v>
      </c>
      <c r="AC563" s="869" t="s">
        <v>1750</v>
      </c>
    </row>
    <row r="564" spans="1:29" ht="30.75">
      <c r="A564" s="856" t="s">
        <v>1850</v>
      </c>
      <c r="B564" s="792" t="s">
        <v>1851</v>
      </c>
      <c r="C564" s="857" t="s">
        <v>1750</v>
      </c>
      <c r="D564" s="858" t="s">
        <v>43</v>
      </c>
      <c r="E564" s="843" t="s">
        <v>1750</v>
      </c>
      <c r="F564" s="858" t="s">
        <v>43</v>
      </c>
      <c r="G564" s="804">
        <v>49</v>
      </c>
      <c r="H564" s="859" t="s">
        <v>281</v>
      </c>
      <c r="I564" s="843" t="s">
        <v>1750</v>
      </c>
      <c r="J564" s="858" t="s">
        <v>43</v>
      </c>
      <c r="K564" s="858" t="s">
        <v>43</v>
      </c>
      <c r="L564" s="858" t="s">
        <v>43</v>
      </c>
      <c r="M564" s="859">
        <v>1</v>
      </c>
      <c r="N564" s="870" t="s">
        <v>1750</v>
      </c>
      <c r="O564" s="860" t="s">
        <v>1750</v>
      </c>
      <c r="P564" s="861">
        <v>3800000</v>
      </c>
      <c r="Q564" s="862" t="s">
        <v>2281</v>
      </c>
      <c r="R564" s="861">
        <v>57000000</v>
      </c>
      <c r="S564" s="862" t="s">
        <v>2281</v>
      </c>
      <c r="T564" s="863" t="s">
        <v>1750</v>
      </c>
      <c r="U564" s="864" t="s">
        <v>43</v>
      </c>
      <c r="V564" s="863" t="s">
        <v>1750</v>
      </c>
      <c r="W564" s="864" t="s">
        <v>43</v>
      </c>
      <c r="X564" s="861">
        <v>970000</v>
      </c>
      <c r="Y564" s="865" t="s">
        <v>179</v>
      </c>
      <c r="Z564" s="866" t="s">
        <v>43</v>
      </c>
      <c r="AA564" s="886" t="s">
        <v>1750</v>
      </c>
      <c r="AB564" s="868" t="s">
        <v>179</v>
      </c>
      <c r="AC564" s="869" t="s">
        <v>1750</v>
      </c>
    </row>
    <row r="565" spans="1:29" ht="31.5" thickBot="1">
      <c r="A565" s="871" t="s">
        <v>1852</v>
      </c>
      <c r="B565" s="807" t="s">
        <v>1853</v>
      </c>
      <c r="C565" s="872" t="s">
        <v>1750</v>
      </c>
      <c r="D565" s="873" t="s">
        <v>43</v>
      </c>
      <c r="E565" s="847" t="s">
        <v>1750</v>
      </c>
      <c r="F565" s="873" t="s">
        <v>43</v>
      </c>
      <c r="G565" s="819">
        <v>49</v>
      </c>
      <c r="H565" s="874" t="s">
        <v>281</v>
      </c>
      <c r="I565" s="847" t="s">
        <v>1750</v>
      </c>
      <c r="J565" s="873" t="s">
        <v>43</v>
      </c>
      <c r="K565" s="873" t="s">
        <v>43</v>
      </c>
      <c r="L565" s="873" t="s">
        <v>43</v>
      </c>
      <c r="M565" s="874">
        <v>1</v>
      </c>
      <c r="N565" s="888" t="s">
        <v>1750</v>
      </c>
      <c r="O565" s="875" t="s">
        <v>1750</v>
      </c>
      <c r="P565" s="876">
        <v>3800000</v>
      </c>
      <c r="Q565" s="877" t="s">
        <v>2281</v>
      </c>
      <c r="R565" s="876">
        <v>57000000</v>
      </c>
      <c r="S565" s="877" t="s">
        <v>2281</v>
      </c>
      <c r="T565" s="878" t="s">
        <v>1750</v>
      </c>
      <c r="U565" s="879" t="s">
        <v>43</v>
      </c>
      <c r="V565" s="878" t="s">
        <v>1750</v>
      </c>
      <c r="W565" s="879" t="s">
        <v>43</v>
      </c>
      <c r="X565" s="876">
        <v>970000</v>
      </c>
      <c r="Y565" s="880" t="s">
        <v>179</v>
      </c>
      <c r="Z565" s="881" t="s">
        <v>43</v>
      </c>
      <c r="AA565" s="895" t="s">
        <v>1750</v>
      </c>
      <c r="AB565" s="883" t="s">
        <v>179</v>
      </c>
      <c r="AC565" s="884" t="s">
        <v>1750</v>
      </c>
    </row>
    <row r="566" spans="1:29" ht="30.75">
      <c r="A566" s="856" t="s">
        <v>1854</v>
      </c>
      <c r="B566" s="792" t="s">
        <v>1855</v>
      </c>
      <c r="C566" s="857" t="s">
        <v>1750</v>
      </c>
      <c r="D566" s="858" t="s">
        <v>43</v>
      </c>
      <c r="E566" s="843" t="s">
        <v>1750</v>
      </c>
      <c r="F566" s="858" t="s">
        <v>43</v>
      </c>
      <c r="G566" s="804">
        <v>49</v>
      </c>
      <c r="H566" s="859" t="s">
        <v>281</v>
      </c>
      <c r="I566" s="843" t="s">
        <v>1750</v>
      </c>
      <c r="J566" s="858" t="s">
        <v>43</v>
      </c>
      <c r="K566" s="858" t="s">
        <v>43</v>
      </c>
      <c r="L566" s="858" t="s">
        <v>43</v>
      </c>
      <c r="M566" s="859">
        <v>1</v>
      </c>
      <c r="N566" s="870" t="s">
        <v>1750</v>
      </c>
      <c r="O566" s="860" t="s">
        <v>1750</v>
      </c>
      <c r="P566" s="861">
        <v>3800000</v>
      </c>
      <c r="Q566" s="862" t="s">
        <v>2281</v>
      </c>
      <c r="R566" s="861">
        <v>57000000</v>
      </c>
      <c r="S566" s="862" t="s">
        <v>2281</v>
      </c>
      <c r="T566" s="863" t="s">
        <v>1750</v>
      </c>
      <c r="U566" s="864" t="s">
        <v>43</v>
      </c>
      <c r="V566" s="863" t="s">
        <v>1750</v>
      </c>
      <c r="W566" s="864" t="s">
        <v>43</v>
      </c>
      <c r="X566" s="861">
        <v>970000</v>
      </c>
      <c r="Y566" s="865" t="s">
        <v>179</v>
      </c>
      <c r="Z566" s="866" t="s">
        <v>43</v>
      </c>
      <c r="AA566" s="886" t="s">
        <v>1750</v>
      </c>
      <c r="AB566" s="868" t="s">
        <v>179</v>
      </c>
      <c r="AC566" s="869" t="s">
        <v>1750</v>
      </c>
    </row>
    <row r="567" spans="1:29" ht="30.75">
      <c r="A567" s="856" t="s">
        <v>1856</v>
      </c>
      <c r="B567" s="792" t="s">
        <v>1857</v>
      </c>
      <c r="C567" s="857" t="s">
        <v>1750</v>
      </c>
      <c r="D567" s="858" t="s">
        <v>43</v>
      </c>
      <c r="E567" s="843" t="s">
        <v>1750</v>
      </c>
      <c r="F567" s="858" t="s">
        <v>43</v>
      </c>
      <c r="G567" s="804">
        <v>49</v>
      </c>
      <c r="H567" s="859" t="s">
        <v>281</v>
      </c>
      <c r="I567" s="843" t="s">
        <v>1750</v>
      </c>
      <c r="J567" s="858" t="s">
        <v>43</v>
      </c>
      <c r="K567" s="858" t="s">
        <v>43</v>
      </c>
      <c r="L567" s="858" t="s">
        <v>43</v>
      </c>
      <c r="M567" s="859">
        <v>1</v>
      </c>
      <c r="N567" s="870" t="s">
        <v>1750</v>
      </c>
      <c r="O567" s="860" t="s">
        <v>1750</v>
      </c>
      <c r="P567" s="861">
        <v>3800000</v>
      </c>
      <c r="Q567" s="862" t="s">
        <v>2281</v>
      </c>
      <c r="R567" s="861">
        <v>57000000</v>
      </c>
      <c r="S567" s="862" t="s">
        <v>2281</v>
      </c>
      <c r="T567" s="863" t="s">
        <v>1750</v>
      </c>
      <c r="U567" s="864" t="s">
        <v>43</v>
      </c>
      <c r="V567" s="863" t="s">
        <v>1750</v>
      </c>
      <c r="W567" s="864" t="s">
        <v>43</v>
      </c>
      <c r="X567" s="861">
        <v>970000</v>
      </c>
      <c r="Y567" s="865" t="s">
        <v>179</v>
      </c>
      <c r="Z567" s="866" t="s">
        <v>43</v>
      </c>
      <c r="AA567" s="886" t="s">
        <v>1750</v>
      </c>
      <c r="AB567" s="868" t="s">
        <v>179</v>
      </c>
      <c r="AC567" s="869" t="s">
        <v>1750</v>
      </c>
    </row>
    <row r="568" spans="1:29" ht="31.5" thickBot="1">
      <c r="A568" s="871" t="s">
        <v>1858</v>
      </c>
      <c r="B568" s="807" t="s">
        <v>1859</v>
      </c>
      <c r="C568" s="872" t="s">
        <v>1750</v>
      </c>
      <c r="D568" s="873" t="s">
        <v>43</v>
      </c>
      <c r="E568" s="847" t="s">
        <v>1750</v>
      </c>
      <c r="F568" s="873" t="s">
        <v>43</v>
      </c>
      <c r="G568" s="819">
        <v>49</v>
      </c>
      <c r="H568" s="874" t="s">
        <v>281</v>
      </c>
      <c r="I568" s="847" t="s">
        <v>1750</v>
      </c>
      <c r="J568" s="873" t="s">
        <v>43</v>
      </c>
      <c r="K568" s="873" t="s">
        <v>43</v>
      </c>
      <c r="L568" s="873" t="s">
        <v>43</v>
      </c>
      <c r="M568" s="874">
        <v>1</v>
      </c>
      <c r="N568" s="888" t="s">
        <v>1750</v>
      </c>
      <c r="O568" s="875" t="s">
        <v>1750</v>
      </c>
      <c r="P568" s="876">
        <v>3800000</v>
      </c>
      <c r="Q568" s="877" t="s">
        <v>2281</v>
      </c>
      <c r="R568" s="876">
        <v>57000000</v>
      </c>
      <c r="S568" s="877" t="s">
        <v>2281</v>
      </c>
      <c r="T568" s="878" t="s">
        <v>1750</v>
      </c>
      <c r="U568" s="879" t="s">
        <v>43</v>
      </c>
      <c r="V568" s="878" t="s">
        <v>1750</v>
      </c>
      <c r="W568" s="879" t="s">
        <v>43</v>
      </c>
      <c r="X568" s="876">
        <v>970000</v>
      </c>
      <c r="Y568" s="880" t="s">
        <v>179</v>
      </c>
      <c r="Z568" s="881" t="s">
        <v>43</v>
      </c>
      <c r="AA568" s="895" t="s">
        <v>1750</v>
      </c>
      <c r="AB568" s="883" t="s">
        <v>179</v>
      </c>
      <c r="AC568" s="884" t="s">
        <v>1750</v>
      </c>
    </row>
    <row r="569" spans="1:29" ht="30.75">
      <c r="A569" s="856" t="s">
        <v>1860</v>
      </c>
      <c r="B569" s="792" t="s">
        <v>1861</v>
      </c>
      <c r="C569" s="857" t="s">
        <v>1750</v>
      </c>
      <c r="D569" s="858" t="s">
        <v>43</v>
      </c>
      <c r="E569" s="843" t="s">
        <v>1750</v>
      </c>
      <c r="F569" s="858" t="s">
        <v>43</v>
      </c>
      <c r="G569" s="804">
        <v>49</v>
      </c>
      <c r="H569" s="859" t="s">
        <v>281</v>
      </c>
      <c r="I569" s="843" t="s">
        <v>1750</v>
      </c>
      <c r="J569" s="858" t="s">
        <v>43</v>
      </c>
      <c r="K569" s="858" t="s">
        <v>43</v>
      </c>
      <c r="L569" s="858" t="s">
        <v>43</v>
      </c>
      <c r="M569" s="859">
        <v>1</v>
      </c>
      <c r="N569" s="870" t="s">
        <v>1750</v>
      </c>
      <c r="O569" s="860" t="s">
        <v>1750</v>
      </c>
      <c r="P569" s="861">
        <v>3800000</v>
      </c>
      <c r="Q569" s="862" t="s">
        <v>2281</v>
      </c>
      <c r="R569" s="861">
        <v>57000000</v>
      </c>
      <c r="S569" s="862" t="s">
        <v>2281</v>
      </c>
      <c r="T569" s="863" t="s">
        <v>1750</v>
      </c>
      <c r="U569" s="864" t="s">
        <v>43</v>
      </c>
      <c r="V569" s="863" t="s">
        <v>1750</v>
      </c>
      <c r="W569" s="864" t="s">
        <v>43</v>
      </c>
      <c r="X569" s="861">
        <v>970000</v>
      </c>
      <c r="Y569" s="865" t="s">
        <v>179</v>
      </c>
      <c r="Z569" s="866" t="s">
        <v>43</v>
      </c>
      <c r="AA569" s="886" t="s">
        <v>1750</v>
      </c>
      <c r="AB569" s="868" t="s">
        <v>179</v>
      </c>
      <c r="AC569" s="869" t="s">
        <v>1750</v>
      </c>
    </row>
    <row r="570" spans="1:29" ht="30.75">
      <c r="A570" s="856" t="s">
        <v>1862</v>
      </c>
      <c r="B570" s="792" t="s">
        <v>1863</v>
      </c>
      <c r="C570" s="857" t="s">
        <v>1750</v>
      </c>
      <c r="D570" s="858" t="s">
        <v>43</v>
      </c>
      <c r="E570" s="843" t="s">
        <v>1750</v>
      </c>
      <c r="F570" s="858" t="s">
        <v>43</v>
      </c>
      <c r="G570" s="804">
        <v>49</v>
      </c>
      <c r="H570" s="859" t="s">
        <v>281</v>
      </c>
      <c r="I570" s="843" t="s">
        <v>1750</v>
      </c>
      <c r="J570" s="858" t="s">
        <v>43</v>
      </c>
      <c r="K570" s="858" t="s">
        <v>43</v>
      </c>
      <c r="L570" s="858" t="s">
        <v>43</v>
      </c>
      <c r="M570" s="859">
        <v>1</v>
      </c>
      <c r="N570" s="870" t="s">
        <v>1750</v>
      </c>
      <c r="O570" s="860" t="s">
        <v>1750</v>
      </c>
      <c r="P570" s="861">
        <v>3800000</v>
      </c>
      <c r="Q570" s="862" t="s">
        <v>2281</v>
      </c>
      <c r="R570" s="861">
        <v>57000000</v>
      </c>
      <c r="S570" s="862" t="s">
        <v>2281</v>
      </c>
      <c r="T570" s="863" t="s">
        <v>1750</v>
      </c>
      <c r="U570" s="864" t="s">
        <v>43</v>
      </c>
      <c r="V570" s="863" t="s">
        <v>1750</v>
      </c>
      <c r="W570" s="864" t="s">
        <v>43</v>
      </c>
      <c r="X570" s="861">
        <v>970000</v>
      </c>
      <c r="Y570" s="865" t="s">
        <v>179</v>
      </c>
      <c r="Z570" s="866" t="s">
        <v>43</v>
      </c>
      <c r="AA570" s="886" t="s">
        <v>1750</v>
      </c>
      <c r="AB570" s="868" t="s">
        <v>179</v>
      </c>
      <c r="AC570" s="869" t="s">
        <v>1750</v>
      </c>
    </row>
    <row r="571" spans="1:29" ht="31.5" thickBot="1">
      <c r="A571" s="871" t="s">
        <v>1864</v>
      </c>
      <c r="B571" s="807" t="s">
        <v>1865</v>
      </c>
      <c r="C571" s="872" t="s">
        <v>1750</v>
      </c>
      <c r="D571" s="873" t="s">
        <v>43</v>
      </c>
      <c r="E571" s="847" t="s">
        <v>1750</v>
      </c>
      <c r="F571" s="873" t="s">
        <v>43</v>
      </c>
      <c r="G571" s="819">
        <v>49</v>
      </c>
      <c r="H571" s="874" t="s">
        <v>281</v>
      </c>
      <c r="I571" s="847" t="s">
        <v>1750</v>
      </c>
      <c r="J571" s="873" t="s">
        <v>43</v>
      </c>
      <c r="K571" s="873" t="s">
        <v>43</v>
      </c>
      <c r="L571" s="873" t="s">
        <v>43</v>
      </c>
      <c r="M571" s="874">
        <v>1</v>
      </c>
      <c r="N571" s="888" t="s">
        <v>1750</v>
      </c>
      <c r="O571" s="875" t="s">
        <v>1750</v>
      </c>
      <c r="P571" s="876">
        <v>3800000</v>
      </c>
      <c r="Q571" s="877" t="s">
        <v>2281</v>
      </c>
      <c r="R571" s="876">
        <v>57000000</v>
      </c>
      <c r="S571" s="877" t="s">
        <v>2281</v>
      </c>
      <c r="T571" s="878" t="s">
        <v>1750</v>
      </c>
      <c r="U571" s="879" t="s">
        <v>43</v>
      </c>
      <c r="V571" s="878" t="s">
        <v>1750</v>
      </c>
      <c r="W571" s="879" t="s">
        <v>43</v>
      </c>
      <c r="X571" s="876">
        <v>970000</v>
      </c>
      <c r="Y571" s="880" t="s">
        <v>179</v>
      </c>
      <c r="Z571" s="881" t="s">
        <v>43</v>
      </c>
      <c r="AA571" s="895" t="s">
        <v>1750</v>
      </c>
      <c r="AB571" s="883" t="s">
        <v>179</v>
      </c>
      <c r="AC571" s="884" t="s">
        <v>1750</v>
      </c>
    </row>
    <row r="572" spans="1:29" ht="30.75">
      <c r="A572" s="856" t="s">
        <v>1866</v>
      </c>
      <c r="B572" s="792" t="s">
        <v>1867</v>
      </c>
      <c r="C572" s="857" t="s">
        <v>1750</v>
      </c>
      <c r="D572" s="858" t="s">
        <v>43</v>
      </c>
      <c r="E572" s="843" t="s">
        <v>1750</v>
      </c>
      <c r="F572" s="858" t="s">
        <v>43</v>
      </c>
      <c r="G572" s="804">
        <v>49</v>
      </c>
      <c r="H572" s="859" t="s">
        <v>281</v>
      </c>
      <c r="I572" s="843" t="s">
        <v>1750</v>
      </c>
      <c r="J572" s="858" t="s">
        <v>43</v>
      </c>
      <c r="K572" s="858" t="s">
        <v>43</v>
      </c>
      <c r="L572" s="858" t="s">
        <v>43</v>
      </c>
      <c r="M572" s="859">
        <v>1</v>
      </c>
      <c r="N572" s="870" t="s">
        <v>1750</v>
      </c>
      <c r="O572" s="860" t="s">
        <v>1750</v>
      </c>
      <c r="P572" s="861">
        <v>3800000</v>
      </c>
      <c r="Q572" s="862" t="s">
        <v>2281</v>
      </c>
      <c r="R572" s="861">
        <v>57000000</v>
      </c>
      <c r="S572" s="862" t="s">
        <v>2281</v>
      </c>
      <c r="T572" s="863" t="s">
        <v>1750</v>
      </c>
      <c r="U572" s="864" t="s">
        <v>43</v>
      </c>
      <c r="V572" s="863" t="s">
        <v>1750</v>
      </c>
      <c r="W572" s="864" t="s">
        <v>43</v>
      </c>
      <c r="X572" s="861">
        <v>970000</v>
      </c>
      <c r="Y572" s="865" t="s">
        <v>179</v>
      </c>
      <c r="Z572" s="866" t="s">
        <v>43</v>
      </c>
      <c r="AA572" s="886" t="s">
        <v>1750</v>
      </c>
      <c r="AB572" s="868" t="s">
        <v>179</v>
      </c>
      <c r="AC572" s="869" t="s">
        <v>1750</v>
      </c>
    </row>
    <row r="573" spans="1:29" ht="30.75">
      <c r="A573" s="856" t="s">
        <v>1868</v>
      </c>
      <c r="B573" s="792" t="s">
        <v>1869</v>
      </c>
      <c r="C573" s="857" t="s">
        <v>1750</v>
      </c>
      <c r="D573" s="858" t="s">
        <v>43</v>
      </c>
      <c r="E573" s="843" t="s">
        <v>1750</v>
      </c>
      <c r="F573" s="858" t="s">
        <v>43</v>
      </c>
      <c r="G573" s="804">
        <v>49</v>
      </c>
      <c r="H573" s="859" t="s">
        <v>281</v>
      </c>
      <c r="I573" s="843" t="s">
        <v>1750</v>
      </c>
      <c r="J573" s="858" t="s">
        <v>43</v>
      </c>
      <c r="K573" s="858" t="s">
        <v>43</v>
      </c>
      <c r="L573" s="858" t="s">
        <v>43</v>
      </c>
      <c r="M573" s="859">
        <v>1</v>
      </c>
      <c r="N573" s="870" t="s">
        <v>1750</v>
      </c>
      <c r="O573" s="860" t="s">
        <v>1750</v>
      </c>
      <c r="P573" s="861">
        <v>3800000</v>
      </c>
      <c r="Q573" s="862" t="s">
        <v>2281</v>
      </c>
      <c r="R573" s="861">
        <v>57000000</v>
      </c>
      <c r="S573" s="862" t="s">
        <v>2281</v>
      </c>
      <c r="T573" s="863" t="s">
        <v>1750</v>
      </c>
      <c r="U573" s="864" t="s">
        <v>43</v>
      </c>
      <c r="V573" s="863" t="s">
        <v>1750</v>
      </c>
      <c r="W573" s="864" t="s">
        <v>43</v>
      </c>
      <c r="X573" s="861">
        <v>970000</v>
      </c>
      <c r="Y573" s="865" t="s">
        <v>179</v>
      </c>
      <c r="Z573" s="866" t="s">
        <v>43</v>
      </c>
      <c r="AA573" s="886" t="s">
        <v>1750</v>
      </c>
      <c r="AB573" s="868" t="s">
        <v>179</v>
      </c>
      <c r="AC573" s="869" t="s">
        <v>1750</v>
      </c>
    </row>
    <row r="574" spans="1:29" ht="31.5" thickBot="1">
      <c r="A574" s="871" t="s">
        <v>1870</v>
      </c>
      <c r="B574" s="807" t="s">
        <v>1871</v>
      </c>
      <c r="C574" s="872" t="s">
        <v>1750</v>
      </c>
      <c r="D574" s="873" t="s">
        <v>43</v>
      </c>
      <c r="E574" s="847" t="s">
        <v>1750</v>
      </c>
      <c r="F574" s="873" t="s">
        <v>43</v>
      </c>
      <c r="G574" s="819">
        <v>49</v>
      </c>
      <c r="H574" s="874" t="s">
        <v>281</v>
      </c>
      <c r="I574" s="847" t="s">
        <v>1750</v>
      </c>
      <c r="J574" s="873" t="s">
        <v>43</v>
      </c>
      <c r="K574" s="873" t="s">
        <v>43</v>
      </c>
      <c r="L574" s="873" t="s">
        <v>43</v>
      </c>
      <c r="M574" s="874">
        <v>1</v>
      </c>
      <c r="N574" s="888" t="s">
        <v>1750</v>
      </c>
      <c r="O574" s="875" t="s">
        <v>1750</v>
      </c>
      <c r="P574" s="876">
        <v>3800000</v>
      </c>
      <c r="Q574" s="877" t="s">
        <v>2281</v>
      </c>
      <c r="R574" s="876">
        <v>57000000</v>
      </c>
      <c r="S574" s="877" t="s">
        <v>2281</v>
      </c>
      <c r="T574" s="878" t="s">
        <v>1750</v>
      </c>
      <c r="U574" s="879" t="s">
        <v>43</v>
      </c>
      <c r="V574" s="878" t="s">
        <v>1750</v>
      </c>
      <c r="W574" s="879" t="s">
        <v>43</v>
      </c>
      <c r="X574" s="876">
        <v>970000</v>
      </c>
      <c r="Y574" s="880" t="s">
        <v>179</v>
      </c>
      <c r="Z574" s="881" t="s">
        <v>43</v>
      </c>
      <c r="AA574" s="895" t="s">
        <v>1750</v>
      </c>
      <c r="AB574" s="883" t="s">
        <v>179</v>
      </c>
      <c r="AC574" s="884" t="s">
        <v>1750</v>
      </c>
    </row>
    <row r="575" spans="1:29" ht="30.75">
      <c r="A575" s="856" t="s">
        <v>1872</v>
      </c>
      <c r="B575" s="792" t="s">
        <v>1873</v>
      </c>
      <c r="C575" s="857" t="s">
        <v>1750</v>
      </c>
      <c r="D575" s="858" t="s">
        <v>43</v>
      </c>
      <c r="E575" s="843" t="s">
        <v>1750</v>
      </c>
      <c r="F575" s="858" t="s">
        <v>43</v>
      </c>
      <c r="G575" s="804">
        <v>49</v>
      </c>
      <c r="H575" s="859" t="s">
        <v>281</v>
      </c>
      <c r="I575" s="843" t="s">
        <v>1750</v>
      </c>
      <c r="J575" s="858" t="s">
        <v>43</v>
      </c>
      <c r="K575" s="858" t="s">
        <v>43</v>
      </c>
      <c r="L575" s="858" t="s">
        <v>43</v>
      </c>
      <c r="M575" s="859">
        <v>1</v>
      </c>
      <c r="N575" s="870" t="s">
        <v>1750</v>
      </c>
      <c r="O575" s="860" t="s">
        <v>1750</v>
      </c>
      <c r="P575" s="861">
        <v>3800000</v>
      </c>
      <c r="Q575" s="862" t="s">
        <v>2281</v>
      </c>
      <c r="R575" s="861">
        <v>57000000</v>
      </c>
      <c r="S575" s="862" t="s">
        <v>2281</v>
      </c>
      <c r="T575" s="863" t="s">
        <v>1750</v>
      </c>
      <c r="U575" s="864" t="s">
        <v>43</v>
      </c>
      <c r="V575" s="863" t="s">
        <v>1750</v>
      </c>
      <c r="W575" s="864" t="s">
        <v>43</v>
      </c>
      <c r="X575" s="861">
        <v>970000</v>
      </c>
      <c r="Y575" s="865" t="s">
        <v>179</v>
      </c>
      <c r="Z575" s="866" t="s">
        <v>43</v>
      </c>
      <c r="AA575" s="886" t="s">
        <v>1750</v>
      </c>
      <c r="AB575" s="868" t="s">
        <v>179</v>
      </c>
      <c r="AC575" s="869" t="s">
        <v>1750</v>
      </c>
    </row>
    <row r="576" spans="1:29" ht="30.75">
      <c r="A576" s="856" t="s">
        <v>1874</v>
      </c>
      <c r="B576" s="792" t="s">
        <v>1875</v>
      </c>
      <c r="C576" s="857" t="s">
        <v>1750</v>
      </c>
      <c r="D576" s="858" t="s">
        <v>43</v>
      </c>
      <c r="E576" s="843" t="s">
        <v>1750</v>
      </c>
      <c r="F576" s="858" t="s">
        <v>43</v>
      </c>
      <c r="G576" s="804">
        <v>49</v>
      </c>
      <c r="H576" s="859" t="s">
        <v>281</v>
      </c>
      <c r="I576" s="843" t="s">
        <v>1750</v>
      </c>
      <c r="J576" s="858" t="s">
        <v>43</v>
      </c>
      <c r="K576" s="858" t="s">
        <v>43</v>
      </c>
      <c r="L576" s="858" t="s">
        <v>43</v>
      </c>
      <c r="M576" s="859">
        <v>1</v>
      </c>
      <c r="N576" s="870" t="s">
        <v>1750</v>
      </c>
      <c r="O576" s="860" t="s">
        <v>1750</v>
      </c>
      <c r="P576" s="861">
        <v>3800000</v>
      </c>
      <c r="Q576" s="862" t="s">
        <v>2281</v>
      </c>
      <c r="R576" s="861">
        <v>57000000</v>
      </c>
      <c r="S576" s="862" t="s">
        <v>2281</v>
      </c>
      <c r="T576" s="863" t="s">
        <v>1750</v>
      </c>
      <c r="U576" s="864" t="s">
        <v>43</v>
      </c>
      <c r="V576" s="863" t="s">
        <v>1750</v>
      </c>
      <c r="W576" s="864" t="s">
        <v>43</v>
      </c>
      <c r="X576" s="861">
        <v>970000</v>
      </c>
      <c r="Y576" s="865" t="s">
        <v>179</v>
      </c>
      <c r="Z576" s="866" t="s">
        <v>43</v>
      </c>
      <c r="AA576" s="886" t="s">
        <v>1750</v>
      </c>
      <c r="AB576" s="868" t="s">
        <v>179</v>
      </c>
      <c r="AC576" s="869" t="s">
        <v>1750</v>
      </c>
    </row>
    <row r="577" spans="1:29" ht="31.5" thickBot="1">
      <c r="A577" s="871" t="s">
        <v>1876</v>
      </c>
      <c r="B577" s="807" t="s">
        <v>1877</v>
      </c>
      <c r="C577" s="872" t="s">
        <v>1750</v>
      </c>
      <c r="D577" s="873" t="s">
        <v>43</v>
      </c>
      <c r="E577" s="847" t="s">
        <v>1750</v>
      </c>
      <c r="F577" s="873" t="s">
        <v>43</v>
      </c>
      <c r="G577" s="819">
        <v>49</v>
      </c>
      <c r="H577" s="874" t="s">
        <v>281</v>
      </c>
      <c r="I577" s="847" t="s">
        <v>1750</v>
      </c>
      <c r="J577" s="873" t="s">
        <v>43</v>
      </c>
      <c r="K577" s="873" t="s">
        <v>43</v>
      </c>
      <c r="L577" s="873" t="s">
        <v>43</v>
      </c>
      <c r="M577" s="874">
        <v>1</v>
      </c>
      <c r="N577" s="888" t="s">
        <v>1750</v>
      </c>
      <c r="O577" s="875" t="s">
        <v>1750</v>
      </c>
      <c r="P577" s="876">
        <v>3800000</v>
      </c>
      <c r="Q577" s="877" t="s">
        <v>2281</v>
      </c>
      <c r="R577" s="876">
        <v>57000000</v>
      </c>
      <c r="S577" s="877" t="s">
        <v>2281</v>
      </c>
      <c r="T577" s="878" t="s">
        <v>1750</v>
      </c>
      <c r="U577" s="879" t="s">
        <v>43</v>
      </c>
      <c r="V577" s="878" t="s">
        <v>1750</v>
      </c>
      <c r="W577" s="879" t="s">
        <v>43</v>
      </c>
      <c r="X577" s="876">
        <v>970000</v>
      </c>
      <c r="Y577" s="880" t="s">
        <v>179</v>
      </c>
      <c r="Z577" s="881" t="s">
        <v>43</v>
      </c>
      <c r="AA577" s="895" t="s">
        <v>1750</v>
      </c>
      <c r="AB577" s="883" t="s">
        <v>179</v>
      </c>
      <c r="AC577" s="884" t="s">
        <v>1750</v>
      </c>
    </row>
    <row r="578" spans="1:29" ht="30.75">
      <c r="A578" s="856" t="s">
        <v>1878</v>
      </c>
      <c r="B578" s="792" t="s">
        <v>1879</v>
      </c>
      <c r="C578" s="857" t="s">
        <v>1750</v>
      </c>
      <c r="D578" s="858" t="s">
        <v>43</v>
      </c>
      <c r="E578" s="843" t="s">
        <v>1750</v>
      </c>
      <c r="F578" s="858" t="s">
        <v>43</v>
      </c>
      <c r="G578" s="804">
        <v>49</v>
      </c>
      <c r="H578" s="859" t="s">
        <v>281</v>
      </c>
      <c r="I578" s="843" t="s">
        <v>1750</v>
      </c>
      <c r="J578" s="858" t="s">
        <v>43</v>
      </c>
      <c r="K578" s="858" t="s">
        <v>43</v>
      </c>
      <c r="L578" s="858" t="s">
        <v>43</v>
      </c>
      <c r="M578" s="859">
        <v>1</v>
      </c>
      <c r="N578" s="870" t="s">
        <v>1750</v>
      </c>
      <c r="O578" s="860" t="s">
        <v>1750</v>
      </c>
      <c r="P578" s="861">
        <v>3800000</v>
      </c>
      <c r="Q578" s="862" t="s">
        <v>2281</v>
      </c>
      <c r="R578" s="861">
        <v>57000000</v>
      </c>
      <c r="S578" s="862" t="s">
        <v>2281</v>
      </c>
      <c r="T578" s="863" t="s">
        <v>1750</v>
      </c>
      <c r="U578" s="864" t="s">
        <v>43</v>
      </c>
      <c r="V578" s="863" t="s">
        <v>1750</v>
      </c>
      <c r="W578" s="864" t="s">
        <v>43</v>
      </c>
      <c r="X578" s="861">
        <v>970000</v>
      </c>
      <c r="Y578" s="865" t="s">
        <v>179</v>
      </c>
      <c r="Z578" s="866" t="s">
        <v>43</v>
      </c>
      <c r="AA578" s="886" t="s">
        <v>1750</v>
      </c>
      <c r="AB578" s="868" t="s">
        <v>179</v>
      </c>
      <c r="AC578" s="869" t="s">
        <v>1750</v>
      </c>
    </row>
    <row r="579" spans="1:29" ht="45.75">
      <c r="A579" s="856" t="s">
        <v>1880</v>
      </c>
      <c r="B579" s="792" t="s">
        <v>1881</v>
      </c>
      <c r="C579" s="857" t="s">
        <v>1750</v>
      </c>
      <c r="D579" s="858" t="s">
        <v>43</v>
      </c>
      <c r="E579" s="843" t="s">
        <v>1750</v>
      </c>
      <c r="F579" s="858" t="s">
        <v>43</v>
      </c>
      <c r="G579" s="804">
        <v>49</v>
      </c>
      <c r="H579" s="859" t="s">
        <v>281</v>
      </c>
      <c r="I579" s="843" t="s">
        <v>1750</v>
      </c>
      <c r="J579" s="858" t="s">
        <v>43</v>
      </c>
      <c r="K579" s="858" t="s">
        <v>43</v>
      </c>
      <c r="L579" s="858" t="s">
        <v>43</v>
      </c>
      <c r="M579" s="859">
        <v>1</v>
      </c>
      <c r="N579" s="870" t="s">
        <v>1750</v>
      </c>
      <c r="O579" s="860" t="s">
        <v>1750</v>
      </c>
      <c r="P579" s="861">
        <v>3800000</v>
      </c>
      <c r="Q579" s="862" t="s">
        <v>2281</v>
      </c>
      <c r="R579" s="861">
        <v>57000000</v>
      </c>
      <c r="S579" s="862" t="s">
        <v>2281</v>
      </c>
      <c r="T579" s="863" t="s">
        <v>1750</v>
      </c>
      <c r="U579" s="864" t="s">
        <v>43</v>
      </c>
      <c r="V579" s="863" t="s">
        <v>1750</v>
      </c>
      <c r="W579" s="864" t="s">
        <v>43</v>
      </c>
      <c r="X579" s="861">
        <v>970000</v>
      </c>
      <c r="Y579" s="865" t="s">
        <v>179</v>
      </c>
      <c r="Z579" s="866" t="s">
        <v>43</v>
      </c>
      <c r="AA579" s="886" t="s">
        <v>1750</v>
      </c>
      <c r="AB579" s="868" t="s">
        <v>179</v>
      </c>
      <c r="AC579" s="869" t="s">
        <v>1750</v>
      </c>
    </row>
    <row r="580" spans="1:29" ht="61.5" thickBot="1">
      <c r="A580" s="871" t="s">
        <v>1882</v>
      </c>
      <c r="B580" s="807" t="s">
        <v>1883</v>
      </c>
      <c r="C580" s="872" t="s">
        <v>1750</v>
      </c>
      <c r="D580" s="873" t="s">
        <v>43</v>
      </c>
      <c r="E580" s="847" t="s">
        <v>1750</v>
      </c>
      <c r="F580" s="873" t="s">
        <v>43</v>
      </c>
      <c r="G580" s="819">
        <v>49</v>
      </c>
      <c r="H580" s="874" t="s">
        <v>281</v>
      </c>
      <c r="I580" s="847" t="s">
        <v>1750</v>
      </c>
      <c r="J580" s="873" t="s">
        <v>43</v>
      </c>
      <c r="K580" s="873" t="s">
        <v>43</v>
      </c>
      <c r="L580" s="873" t="s">
        <v>43</v>
      </c>
      <c r="M580" s="874">
        <v>1</v>
      </c>
      <c r="N580" s="888" t="s">
        <v>1750</v>
      </c>
      <c r="O580" s="875" t="s">
        <v>1750</v>
      </c>
      <c r="P580" s="876">
        <v>3800000</v>
      </c>
      <c r="Q580" s="877" t="s">
        <v>2281</v>
      </c>
      <c r="R580" s="876">
        <v>57000000</v>
      </c>
      <c r="S580" s="877" t="s">
        <v>2281</v>
      </c>
      <c r="T580" s="878" t="s">
        <v>1750</v>
      </c>
      <c r="U580" s="879" t="s">
        <v>43</v>
      </c>
      <c r="V580" s="878" t="s">
        <v>1750</v>
      </c>
      <c r="W580" s="879" t="s">
        <v>43</v>
      </c>
      <c r="X580" s="876">
        <v>970000</v>
      </c>
      <c r="Y580" s="880" t="s">
        <v>179</v>
      </c>
      <c r="Z580" s="881" t="s">
        <v>43</v>
      </c>
      <c r="AA580" s="895" t="s">
        <v>1750</v>
      </c>
      <c r="AB580" s="883" t="s">
        <v>179</v>
      </c>
      <c r="AC580" s="884" t="s">
        <v>1750</v>
      </c>
    </row>
    <row r="581" spans="1:29" ht="60.75">
      <c r="A581" s="856" t="s">
        <v>1884</v>
      </c>
      <c r="B581" s="792" t="s">
        <v>1885</v>
      </c>
      <c r="C581" s="857" t="s">
        <v>1750</v>
      </c>
      <c r="D581" s="858" t="s">
        <v>43</v>
      </c>
      <c r="E581" s="843" t="s">
        <v>1750</v>
      </c>
      <c r="F581" s="858" t="s">
        <v>43</v>
      </c>
      <c r="G581" s="804">
        <v>49</v>
      </c>
      <c r="H581" s="859" t="s">
        <v>281</v>
      </c>
      <c r="I581" s="843" t="s">
        <v>1750</v>
      </c>
      <c r="J581" s="858" t="s">
        <v>43</v>
      </c>
      <c r="K581" s="858" t="s">
        <v>43</v>
      </c>
      <c r="L581" s="858" t="s">
        <v>43</v>
      </c>
      <c r="M581" s="859">
        <v>1</v>
      </c>
      <c r="N581" s="870" t="s">
        <v>1750</v>
      </c>
      <c r="O581" s="860" t="s">
        <v>1750</v>
      </c>
      <c r="P581" s="861">
        <v>3800000</v>
      </c>
      <c r="Q581" s="862" t="s">
        <v>2281</v>
      </c>
      <c r="R581" s="861">
        <v>57000000</v>
      </c>
      <c r="S581" s="862" t="s">
        <v>2281</v>
      </c>
      <c r="T581" s="863" t="s">
        <v>1750</v>
      </c>
      <c r="U581" s="864" t="s">
        <v>43</v>
      </c>
      <c r="V581" s="863" t="s">
        <v>1750</v>
      </c>
      <c r="W581" s="864" t="s">
        <v>43</v>
      </c>
      <c r="X581" s="861">
        <v>970000</v>
      </c>
      <c r="Y581" s="865" t="s">
        <v>179</v>
      </c>
      <c r="Z581" s="866" t="s">
        <v>43</v>
      </c>
      <c r="AA581" s="886" t="s">
        <v>1750</v>
      </c>
      <c r="AB581" s="868" t="s">
        <v>179</v>
      </c>
      <c r="AC581" s="869" t="s">
        <v>1750</v>
      </c>
    </row>
    <row r="582" spans="1:29" ht="45.75">
      <c r="A582" s="856" t="s">
        <v>1886</v>
      </c>
      <c r="B582" s="792" t="s">
        <v>1887</v>
      </c>
      <c r="C582" s="857" t="s">
        <v>1750</v>
      </c>
      <c r="D582" s="858" t="s">
        <v>43</v>
      </c>
      <c r="E582" s="843" t="s">
        <v>1750</v>
      </c>
      <c r="F582" s="858" t="s">
        <v>43</v>
      </c>
      <c r="G582" s="804">
        <v>49</v>
      </c>
      <c r="H582" s="859" t="s">
        <v>281</v>
      </c>
      <c r="I582" s="843" t="s">
        <v>1750</v>
      </c>
      <c r="J582" s="858" t="s">
        <v>43</v>
      </c>
      <c r="K582" s="858" t="s">
        <v>43</v>
      </c>
      <c r="L582" s="858" t="s">
        <v>43</v>
      </c>
      <c r="M582" s="859">
        <v>1</v>
      </c>
      <c r="N582" s="870" t="s">
        <v>1750</v>
      </c>
      <c r="O582" s="860" t="s">
        <v>1750</v>
      </c>
      <c r="P582" s="861">
        <v>3800000</v>
      </c>
      <c r="Q582" s="862" t="s">
        <v>2281</v>
      </c>
      <c r="R582" s="861">
        <v>57000000</v>
      </c>
      <c r="S582" s="862" t="s">
        <v>2281</v>
      </c>
      <c r="T582" s="863" t="s">
        <v>1750</v>
      </c>
      <c r="U582" s="864" t="s">
        <v>43</v>
      </c>
      <c r="V582" s="863" t="s">
        <v>1750</v>
      </c>
      <c r="W582" s="864" t="s">
        <v>43</v>
      </c>
      <c r="X582" s="861">
        <v>970000</v>
      </c>
      <c r="Y582" s="865" t="s">
        <v>179</v>
      </c>
      <c r="Z582" s="866" t="s">
        <v>43</v>
      </c>
      <c r="AA582" s="886" t="s">
        <v>1750</v>
      </c>
      <c r="AB582" s="868" t="s">
        <v>179</v>
      </c>
      <c r="AC582" s="869" t="s">
        <v>1750</v>
      </c>
    </row>
    <row r="583" spans="1:29" ht="31.5" thickBot="1">
      <c r="A583" s="871" t="s">
        <v>1888</v>
      </c>
      <c r="B583" s="807" t="s">
        <v>1889</v>
      </c>
      <c r="C583" s="872" t="s">
        <v>1750</v>
      </c>
      <c r="D583" s="873" t="s">
        <v>43</v>
      </c>
      <c r="E583" s="847" t="s">
        <v>1750</v>
      </c>
      <c r="F583" s="873" t="s">
        <v>43</v>
      </c>
      <c r="G583" s="819">
        <v>49</v>
      </c>
      <c r="H583" s="874" t="s">
        <v>281</v>
      </c>
      <c r="I583" s="847" t="s">
        <v>1750</v>
      </c>
      <c r="J583" s="873" t="s">
        <v>43</v>
      </c>
      <c r="K583" s="873" t="s">
        <v>43</v>
      </c>
      <c r="L583" s="873" t="s">
        <v>43</v>
      </c>
      <c r="M583" s="874">
        <v>1</v>
      </c>
      <c r="N583" s="888" t="s">
        <v>1750</v>
      </c>
      <c r="O583" s="875" t="s">
        <v>1750</v>
      </c>
      <c r="P583" s="876">
        <v>3800000</v>
      </c>
      <c r="Q583" s="877" t="s">
        <v>2281</v>
      </c>
      <c r="R583" s="876">
        <v>57000000</v>
      </c>
      <c r="S583" s="877" t="s">
        <v>2281</v>
      </c>
      <c r="T583" s="878" t="s">
        <v>1750</v>
      </c>
      <c r="U583" s="879" t="s">
        <v>43</v>
      </c>
      <c r="V583" s="878" t="s">
        <v>1750</v>
      </c>
      <c r="W583" s="879" t="s">
        <v>43</v>
      </c>
      <c r="X583" s="876">
        <v>970000</v>
      </c>
      <c r="Y583" s="880" t="s">
        <v>179</v>
      </c>
      <c r="Z583" s="881" t="s">
        <v>43</v>
      </c>
      <c r="AA583" s="895" t="s">
        <v>1750</v>
      </c>
      <c r="AB583" s="883" t="s">
        <v>179</v>
      </c>
      <c r="AC583" s="884" t="s">
        <v>1750</v>
      </c>
    </row>
    <row r="584" spans="1:29" ht="30.75">
      <c r="A584" s="856" t="s">
        <v>1890</v>
      </c>
      <c r="B584" s="792" t="s">
        <v>1891</v>
      </c>
      <c r="C584" s="857" t="s">
        <v>1750</v>
      </c>
      <c r="D584" s="858" t="s">
        <v>43</v>
      </c>
      <c r="E584" s="843" t="s">
        <v>1750</v>
      </c>
      <c r="F584" s="858" t="s">
        <v>43</v>
      </c>
      <c r="G584" s="804">
        <v>49</v>
      </c>
      <c r="H584" s="859" t="s">
        <v>281</v>
      </c>
      <c r="I584" s="843" t="s">
        <v>1750</v>
      </c>
      <c r="J584" s="858" t="s">
        <v>43</v>
      </c>
      <c r="K584" s="858" t="s">
        <v>43</v>
      </c>
      <c r="L584" s="858" t="s">
        <v>43</v>
      </c>
      <c r="M584" s="859">
        <v>1</v>
      </c>
      <c r="N584" s="870" t="s">
        <v>1750</v>
      </c>
      <c r="O584" s="860" t="s">
        <v>1750</v>
      </c>
      <c r="P584" s="861">
        <v>3800000</v>
      </c>
      <c r="Q584" s="862" t="s">
        <v>2281</v>
      </c>
      <c r="R584" s="861">
        <v>57000000</v>
      </c>
      <c r="S584" s="862" t="s">
        <v>2281</v>
      </c>
      <c r="T584" s="863" t="s">
        <v>1750</v>
      </c>
      <c r="U584" s="864" t="s">
        <v>43</v>
      </c>
      <c r="V584" s="863" t="s">
        <v>1750</v>
      </c>
      <c r="W584" s="864" t="s">
        <v>43</v>
      </c>
      <c r="X584" s="861">
        <v>970000</v>
      </c>
      <c r="Y584" s="865" t="s">
        <v>179</v>
      </c>
      <c r="Z584" s="866" t="s">
        <v>43</v>
      </c>
      <c r="AA584" s="886" t="s">
        <v>1750</v>
      </c>
      <c r="AB584" s="868" t="s">
        <v>179</v>
      </c>
      <c r="AC584" s="869" t="s">
        <v>1750</v>
      </c>
    </row>
    <row r="585" spans="1:29" ht="30.75">
      <c r="A585" s="856" t="s">
        <v>1892</v>
      </c>
      <c r="B585" s="792" t="s">
        <v>1893</v>
      </c>
      <c r="C585" s="857" t="s">
        <v>1750</v>
      </c>
      <c r="D585" s="858" t="s">
        <v>43</v>
      </c>
      <c r="E585" s="843" t="s">
        <v>1750</v>
      </c>
      <c r="F585" s="858" t="s">
        <v>43</v>
      </c>
      <c r="G585" s="804">
        <v>49</v>
      </c>
      <c r="H585" s="859" t="s">
        <v>281</v>
      </c>
      <c r="I585" s="843" t="s">
        <v>1750</v>
      </c>
      <c r="J585" s="858" t="s">
        <v>43</v>
      </c>
      <c r="K585" s="858" t="s">
        <v>43</v>
      </c>
      <c r="L585" s="858" t="s">
        <v>43</v>
      </c>
      <c r="M585" s="859">
        <v>1</v>
      </c>
      <c r="N585" s="870" t="s">
        <v>1750</v>
      </c>
      <c r="O585" s="860" t="s">
        <v>1750</v>
      </c>
      <c r="P585" s="861">
        <v>3800000</v>
      </c>
      <c r="Q585" s="862" t="s">
        <v>2281</v>
      </c>
      <c r="R585" s="861">
        <v>57000000</v>
      </c>
      <c r="S585" s="862" t="s">
        <v>2281</v>
      </c>
      <c r="T585" s="863" t="s">
        <v>1750</v>
      </c>
      <c r="U585" s="864" t="s">
        <v>43</v>
      </c>
      <c r="V585" s="863" t="s">
        <v>1750</v>
      </c>
      <c r="W585" s="864" t="s">
        <v>43</v>
      </c>
      <c r="X585" s="861">
        <v>970000</v>
      </c>
      <c r="Y585" s="865" t="s">
        <v>179</v>
      </c>
      <c r="Z585" s="866" t="s">
        <v>43</v>
      </c>
      <c r="AA585" s="886" t="s">
        <v>1750</v>
      </c>
      <c r="AB585" s="868" t="s">
        <v>179</v>
      </c>
      <c r="AC585" s="869" t="s">
        <v>1750</v>
      </c>
    </row>
    <row r="586" spans="1:29" ht="31.5" thickBot="1">
      <c r="A586" s="871" t="s">
        <v>1894</v>
      </c>
      <c r="B586" s="807" t="s">
        <v>1895</v>
      </c>
      <c r="C586" s="872" t="s">
        <v>1750</v>
      </c>
      <c r="D586" s="873" t="s">
        <v>43</v>
      </c>
      <c r="E586" s="847" t="s">
        <v>1750</v>
      </c>
      <c r="F586" s="873" t="s">
        <v>43</v>
      </c>
      <c r="G586" s="819">
        <v>49</v>
      </c>
      <c r="H586" s="874" t="s">
        <v>281</v>
      </c>
      <c r="I586" s="847" t="s">
        <v>1750</v>
      </c>
      <c r="J586" s="873" t="s">
        <v>43</v>
      </c>
      <c r="K586" s="873" t="s">
        <v>43</v>
      </c>
      <c r="L586" s="873" t="s">
        <v>43</v>
      </c>
      <c r="M586" s="874">
        <v>1</v>
      </c>
      <c r="N586" s="888" t="s">
        <v>1750</v>
      </c>
      <c r="O586" s="875" t="s">
        <v>1750</v>
      </c>
      <c r="P586" s="876">
        <v>3800000</v>
      </c>
      <c r="Q586" s="877" t="s">
        <v>2281</v>
      </c>
      <c r="R586" s="876">
        <v>57000000</v>
      </c>
      <c r="S586" s="877" t="s">
        <v>2281</v>
      </c>
      <c r="T586" s="878" t="s">
        <v>1750</v>
      </c>
      <c r="U586" s="879" t="s">
        <v>43</v>
      </c>
      <c r="V586" s="878" t="s">
        <v>1750</v>
      </c>
      <c r="W586" s="879" t="s">
        <v>43</v>
      </c>
      <c r="X586" s="876">
        <v>970000</v>
      </c>
      <c r="Y586" s="880" t="s">
        <v>179</v>
      </c>
      <c r="Z586" s="881" t="s">
        <v>43</v>
      </c>
      <c r="AA586" s="895" t="s">
        <v>1750</v>
      </c>
      <c r="AB586" s="883" t="s">
        <v>179</v>
      </c>
      <c r="AC586" s="884" t="s">
        <v>1750</v>
      </c>
    </row>
    <row r="587" spans="1:29" ht="30.75">
      <c r="A587" s="856" t="s">
        <v>1896</v>
      </c>
      <c r="B587" s="792" t="s">
        <v>1897</v>
      </c>
      <c r="C587" s="857" t="s">
        <v>1750</v>
      </c>
      <c r="D587" s="858" t="s">
        <v>43</v>
      </c>
      <c r="E587" s="843" t="s">
        <v>1750</v>
      </c>
      <c r="F587" s="858" t="s">
        <v>43</v>
      </c>
      <c r="G587" s="804">
        <v>49</v>
      </c>
      <c r="H587" s="859" t="s">
        <v>281</v>
      </c>
      <c r="I587" s="843" t="s">
        <v>1750</v>
      </c>
      <c r="J587" s="858" t="s">
        <v>43</v>
      </c>
      <c r="K587" s="858" t="s">
        <v>43</v>
      </c>
      <c r="L587" s="858" t="s">
        <v>43</v>
      </c>
      <c r="M587" s="859">
        <v>1</v>
      </c>
      <c r="N587" s="870" t="s">
        <v>1750</v>
      </c>
      <c r="O587" s="860" t="s">
        <v>1750</v>
      </c>
      <c r="P587" s="861">
        <v>3800000</v>
      </c>
      <c r="Q587" s="862" t="s">
        <v>2281</v>
      </c>
      <c r="R587" s="861">
        <v>57000000</v>
      </c>
      <c r="S587" s="862" t="s">
        <v>2281</v>
      </c>
      <c r="T587" s="863" t="s">
        <v>1750</v>
      </c>
      <c r="U587" s="864" t="s">
        <v>43</v>
      </c>
      <c r="V587" s="863" t="s">
        <v>1750</v>
      </c>
      <c r="W587" s="864" t="s">
        <v>43</v>
      </c>
      <c r="X587" s="861">
        <v>970000</v>
      </c>
      <c r="Y587" s="865" t="s">
        <v>179</v>
      </c>
      <c r="Z587" s="866" t="s">
        <v>43</v>
      </c>
      <c r="AA587" s="886" t="s">
        <v>1750</v>
      </c>
      <c r="AB587" s="868" t="s">
        <v>179</v>
      </c>
      <c r="AC587" s="869" t="s">
        <v>1750</v>
      </c>
    </row>
    <row r="588" spans="1:29" ht="75.75">
      <c r="A588" s="856" t="s">
        <v>1898</v>
      </c>
      <c r="B588" s="792" t="s">
        <v>1899</v>
      </c>
      <c r="C588" s="857" t="s">
        <v>1750</v>
      </c>
      <c r="D588" s="858" t="s">
        <v>43</v>
      </c>
      <c r="E588" s="843" t="s">
        <v>1750</v>
      </c>
      <c r="F588" s="858" t="s">
        <v>43</v>
      </c>
      <c r="G588" s="804">
        <v>49</v>
      </c>
      <c r="H588" s="859" t="s">
        <v>281</v>
      </c>
      <c r="I588" s="843" t="s">
        <v>1750</v>
      </c>
      <c r="J588" s="858" t="s">
        <v>43</v>
      </c>
      <c r="K588" s="858" t="s">
        <v>43</v>
      </c>
      <c r="L588" s="858" t="s">
        <v>43</v>
      </c>
      <c r="M588" s="859">
        <v>1</v>
      </c>
      <c r="N588" s="870" t="s">
        <v>1750</v>
      </c>
      <c r="O588" s="860" t="s">
        <v>1750</v>
      </c>
      <c r="P588" s="861">
        <v>3800000</v>
      </c>
      <c r="Q588" s="862" t="s">
        <v>2281</v>
      </c>
      <c r="R588" s="861">
        <v>57000000</v>
      </c>
      <c r="S588" s="862" t="s">
        <v>2281</v>
      </c>
      <c r="T588" s="863" t="s">
        <v>1750</v>
      </c>
      <c r="U588" s="864" t="s">
        <v>43</v>
      </c>
      <c r="V588" s="863" t="s">
        <v>1750</v>
      </c>
      <c r="W588" s="864" t="s">
        <v>43</v>
      </c>
      <c r="X588" s="861">
        <v>970000</v>
      </c>
      <c r="Y588" s="865" t="s">
        <v>179</v>
      </c>
      <c r="Z588" s="866" t="s">
        <v>43</v>
      </c>
      <c r="AA588" s="886" t="s">
        <v>1750</v>
      </c>
      <c r="AB588" s="868" t="s">
        <v>179</v>
      </c>
      <c r="AC588" s="869" t="s">
        <v>1750</v>
      </c>
    </row>
    <row r="589" spans="1:29" ht="31.5" thickBot="1">
      <c r="A589" s="871" t="s">
        <v>1900</v>
      </c>
      <c r="B589" s="807" t="s">
        <v>1901</v>
      </c>
      <c r="C589" s="872" t="s">
        <v>1750</v>
      </c>
      <c r="D589" s="873" t="s">
        <v>43</v>
      </c>
      <c r="E589" s="847" t="s">
        <v>1750</v>
      </c>
      <c r="F589" s="873" t="s">
        <v>43</v>
      </c>
      <c r="G589" s="819">
        <v>49</v>
      </c>
      <c r="H589" s="874" t="s">
        <v>281</v>
      </c>
      <c r="I589" s="847" t="s">
        <v>1750</v>
      </c>
      <c r="J589" s="873" t="s">
        <v>43</v>
      </c>
      <c r="K589" s="873" t="s">
        <v>43</v>
      </c>
      <c r="L589" s="873" t="s">
        <v>43</v>
      </c>
      <c r="M589" s="874">
        <v>1</v>
      </c>
      <c r="N589" s="888" t="s">
        <v>1750</v>
      </c>
      <c r="O589" s="875" t="s">
        <v>1750</v>
      </c>
      <c r="P589" s="876">
        <v>3800000</v>
      </c>
      <c r="Q589" s="877" t="s">
        <v>2281</v>
      </c>
      <c r="R589" s="876">
        <v>57000000</v>
      </c>
      <c r="S589" s="877" t="s">
        <v>2281</v>
      </c>
      <c r="T589" s="878" t="s">
        <v>1750</v>
      </c>
      <c r="U589" s="879" t="s">
        <v>43</v>
      </c>
      <c r="V589" s="878" t="s">
        <v>1750</v>
      </c>
      <c r="W589" s="879" t="s">
        <v>43</v>
      </c>
      <c r="X589" s="876">
        <v>970000</v>
      </c>
      <c r="Y589" s="880" t="s">
        <v>179</v>
      </c>
      <c r="Z589" s="881" t="s">
        <v>43</v>
      </c>
      <c r="AA589" s="895" t="s">
        <v>1750</v>
      </c>
      <c r="AB589" s="883" t="s">
        <v>179</v>
      </c>
      <c r="AC589" s="884" t="s">
        <v>1750</v>
      </c>
    </row>
    <row r="590" spans="1:29" ht="30.75">
      <c r="A590" s="856" t="s">
        <v>1902</v>
      </c>
      <c r="B590" s="792" t="s">
        <v>1903</v>
      </c>
      <c r="C590" s="857" t="s">
        <v>1750</v>
      </c>
      <c r="D590" s="858" t="s">
        <v>43</v>
      </c>
      <c r="E590" s="843" t="s">
        <v>1750</v>
      </c>
      <c r="F590" s="858" t="s">
        <v>43</v>
      </c>
      <c r="G590" s="804">
        <v>49</v>
      </c>
      <c r="H590" s="859" t="s">
        <v>281</v>
      </c>
      <c r="I590" s="843" t="s">
        <v>1750</v>
      </c>
      <c r="J590" s="858" t="s">
        <v>43</v>
      </c>
      <c r="K590" s="858" t="s">
        <v>43</v>
      </c>
      <c r="L590" s="858" t="s">
        <v>43</v>
      </c>
      <c r="M590" s="859">
        <v>1</v>
      </c>
      <c r="N590" s="870" t="s">
        <v>1750</v>
      </c>
      <c r="O590" s="860" t="s">
        <v>1750</v>
      </c>
      <c r="P590" s="861">
        <v>3800000</v>
      </c>
      <c r="Q590" s="862" t="s">
        <v>2281</v>
      </c>
      <c r="R590" s="861">
        <v>57000000</v>
      </c>
      <c r="S590" s="862" t="s">
        <v>2281</v>
      </c>
      <c r="T590" s="863" t="s">
        <v>1750</v>
      </c>
      <c r="U590" s="864" t="s">
        <v>43</v>
      </c>
      <c r="V590" s="863" t="s">
        <v>1750</v>
      </c>
      <c r="W590" s="864" t="s">
        <v>43</v>
      </c>
      <c r="X590" s="861">
        <v>970000</v>
      </c>
      <c r="Y590" s="865" t="s">
        <v>179</v>
      </c>
      <c r="Z590" s="866" t="s">
        <v>43</v>
      </c>
      <c r="AA590" s="886" t="s">
        <v>1750</v>
      </c>
      <c r="AB590" s="868" t="s">
        <v>179</v>
      </c>
      <c r="AC590" s="869" t="s">
        <v>1750</v>
      </c>
    </row>
    <row r="591" spans="1:29" ht="30.75">
      <c r="A591" s="856" t="s">
        <v>1904</v>
      </c>
      <c r="B591" s="792" t="s">
        <v>1905</v>
      </c>
      <c r="C591" s="857" t="s">
        <v>1750</v>
      </c>
      <c r="D591" s="858" t="s">
        <v>43</v>
      </c>
      <c r="E591" s="843" t="s">
        <v>1750</v>
      </c>
      <c r="F591" s="858" t="s">
        <v>43</v>
      </c>
      <c r="G591" s="804">
        <v>49</v>
      </c>
      <c r="H591" s="859" t="s">
        <v>281</v>
      </c>
      <c r="I591" s="843" t="s">
        <v>1750</v>
      </c>
      <c r="J591" s="858" t="s">
        <v>43</v>
      </c>
      <c r="K591" s="858" t="s">
        <v>43</v>
      </c>
      <c r="L591" s="858" t="s">
        <v>43</v>
      </c>
      <c r="M591" s="859">
        <v>1</v>
      </c>
      <c r="N591" s="870" t="s">
        <v>1750</v>
      </c>
      <c r="O591" s="860" t="s">
        <v>1750</v>
      </c>
      <c r="P591" s="861">
        <v>3800000</v>
      </c>
      <c r="Q591" s="862" t="s">
        <v>2281</v>
      </c>
      <c r="R591" s="861">
        <v>57000000</v>
      </c>
      <c r="S591" s="862" t="s">
        <v>2281</v>
      </c>
      <c r="T591" s="863" t="s">
        <v>1750</v>
      </c>
      <c r="U591" s="864" t="s">
        <v>43</v>
      </c>
      <c r="V591" s="863" t="s">
        <v>1750</v>
      </c>
      <c r="W591" s="864" t="s">
        <v>43</v>
      </c>
      <c r="X591" s="861">
        <v>970000</v>
      </c>
      <c r="Y591" s="865" t="s">
        <v>179</v>
      </c>
      <c r="Z591" s="866" t="s">
        <v>43</v>
      </c>
      <c r="AA591" s="886" t="s">
        <v>1750</v>
      </c>
      <c r="AB591" s="868" t="s">
        <v>179</v>
      </c>
      <c r="AC591" s="869" t="s">
        <v>1750</v>
      </c>
    </row>
    <row r="592" spans="1:29" ht="31.5" thickBot="1">
      <c r="A592" s="871" t="s">
        <v>1906</v>
      </c>
      <c r="B592" s="807" t="s">
        <v>1907</v>
      </c>
      <c r="C592" s="872" t="s">
        <v>1750</v>
      </c>
      <c r="D592" s="873" t="s">
        <v>43</v>
      </c>
      <c r="E592" s="847" t="s">
        <v>1750</v>
      </c>
      <c r="F592" s="873" t="s">
        <v>43</v>
      </c>
      <c r="G592" s="819">
        <v>49</v>
      </c>
      <c r="H592" s="874" t="s">
        <v>281</v>
      </c>
      <c r="I592" s="847" t="s">
        <v>1750</v>
      </c>
      <c r="J592" s="873" t="s">
        <v>43</v>
      </c>
      <c r="K592" s="873" t="s">
        <v>43</v>
      </c>
      <c r="L592" s="873" t="s">
        <v>43</v>
      </c>
      <c r="M592" s="874">
        <v>1</v>
      </c>
      <c r="N592" s="888" t="s">
        <v>1750</v>
      </c>
      <c r="O592" s="875" t="s">
        <v>1750</v>
      </c>
      <c r="P592" s="876">
        <v>3800000</v>
      </c>
      <c r="Q592" s="877" t="s">
        <v>2281</v>
      </c>
      <c r="R592" s="876">
        <v>57000000</v>
      </c>
      <c r="S592" s="877" t="s">
        <v>2281</v>
      </c>
      <c r="T592" s="878" t="s">
        <v>1750</v>
      </c>
      <c r="U592" s="879" t="s">
        <v>43</v>
      </c>
      <c r="V592" s="878" t="s">
        <v>1750</v>
      </c>
      <c r="W592" s="879" t="s">
        <v>43</v>
      </c>
      <c r="X592" s="876">
        <v>970000</v>
      </c>
      <c r="Y592" s="880" t="s">
        <v>179</v>
      </c>
      <c r="Z592" s="881" t="s">
        <v>43</v>
      </c>
      <c r="AA592" s="895" t="s">
        <v>1750</v>
      </c>
      <c r="AB592" s="883" t="s">
        <v>179</v>
      </c>
      <c r="AC592" s="884" t="s">
        <v>1750</v>
      </c>
    </row>
    <row r="593" spans="1:29" ht="15.75">
      <c r="A593" s="856" t="s">
        <v>1297</v>
      </c>
      <c r="B593" s="792" t="s">
        <v>1298</v>
      </c>
      <c r="C593" s="857" t="s">
        <v>1750</v>
      </c>
      <c r="D593" s="858" t="s">
        <v>43</v>
      </c>
      <c r="E593" s="843" t="s">
        <v>1750</v>
      </c>
      <c r="F593" s="858" t="s">
        <v>43</v>
      </c>
      <c r="G593" s="804">
        <v>2.9999999999999997E-4</v>
      </c>
      <c r="H593" s="859" t="s">
        <v>280</v>
      </c>
      <c r="I593" s="804">
        <v>2.9999999999999997E-4</v>
      </c>
      <c r="J593" s="859" t="s">
        <v>280</v>
      </c>
      <c r="K593" s="859" t="s">
        <v>1634</v>
      </c>
      <c r="L593" s="858" t="s">
        <v>43</v>
      </c>
      <c r="M593" s="859">
        <v>1</v>
      </c>
      <c r="N593" s="870" t="s">
        <v>1750</v>
      </c>
      <c r="O593" s="860" t="s">
        <v>1750</v>
      </c>
      <c r="P593" s="861">
        <v>23</v>
      </c>
      <c r="Q593" s="862" t="s">
        <v>179</v>
      </c>
      <c r="R593" s="861">
        <v>350</v>
      </c>
      <c r="S593" s="862" t="s">
        <v>179</v>
      </c>
      <c r="T593" s="861">
        <v>0.31</v>
      </c>
      <c r="U593" s="862" t="s">
        <v>179</v>
      </c>
      <c r="V593" s="861">
        <v>1.3</v>
      </c>
      <c r="W593" s="862" t="s">
        <v>179</v>
      </c>
      <c r="X593" s="861">
        <v>0.56999999999999995</v>
      </c>
      <c r="Y593" s="865" t="s">
        <v>179</v>
      </c>
      <c r="Z593" s="866" t="s">
        <v>43</v>
      </c>
      <c r="AA593" s="886" t="s">
        <v>1750</v>
      </c>
      <c r="AB593" s="868" t="s">
        <v>179</v>
      </c>
      <c r="AC593" s="869" t="s">
        <v>1750</v>
      </c>
    </row>
    <row r="594" spans="1:29" ht="15.75">
      <c r="A594" s="856" t="s">
        <v>1299</v>
      </c>
      <c r="B594" s="792" t="s">
        <v>1300</v>
      </c>
      <c r="C594" s="857" t="s">
        <v>1750</v>
      </c>
      <c r="D594" s="858" t="s">
        <v>43</v>
      </c>
      <c r="E594" s="843" t="s">
        <v>1750</v>
      </c>
      <c r="F594" s="858" t="s">
        <v>43</v>
      </c>
      <c r="G594" s="804">
        <v>49</v>
      </c>
      <c r="H594" s="859" t="s">
        <v>281</v>
      </c>
      <c r="I594" s="804">
        <v>0.01</v>
      </c>
      <c r="J594" s="859" t="s">
        <v>280</v>
      </c>
      <c r="K594" s="858" t="s">
        <v>43</v>
      </c>
      <c r="L594" s="858" t="s">
        <v>43</v>
      </c>
      <c r="M594" s="859">
        <v>1</v>
      </c>
      <c r="N594" s="870" t="s">
        <v>1750</v>
      </c>
      <c r="O594" s="860" t="s">
        <v>1750</v>
      </c>
      <c r="P594" s="861">
        <v>3000000</v>
      </c>
      <c r="Q594" s="862" t="s">
        <v>2281</v>
      </c>
      <c r="R594" s="861">
        <v>29000000</v>
      </c>
      <c r="S594" s="862" t="s">
        <v>2281</v>
      </c>
      <c r="T594" s="861">
        <v>10</v>
      </c>
      <c r="U594" s="862" t="s">
        <v>179</v>
      </c>
      <c r="V594" s="861">
        <v>44</v>
      </c>
      <c r="W594" s="862" t="s">
        <v>179</v>
      </c>
      <c r="X594" s="861">
        <v>970000</v>
      </c>
      <c r="Y594" s="865" t="s">
        <v>179</v>
      </c>
      <c r="Z594" s="866" t="s">
        <v>43</v>
      </c>
      <c r="AA594" s="886" t="s">
        <v>1750</v>
      </c>
      <c r="AB594" s="868" t="s">
        <v>179</v>
      </c>
      <c r="AC594" s="869" t="s">
        <v>1750</v>
      </c>
    </row>
    <row r="595" spans="1:29" ht="16.5" thickBot="1">
      <c r="A595" s="871" t="s">
        <v>1301</v>
      </c>
      <c r="B595" s="807" t="s">
        <v>1302</v>
      </c>
      <c r="C595" s="872" t="s">
        <v>1750</v>
      </c>
      <c r="D595" s="873" t="s">
        <v>43</v>
      </c>
      <c r="E595" s="847" t="s">
        <v>1750</v>
      </c>
      <c r="F595" s="873" t="s">
        <v>43</v>
      </c>
      <c r="G595" s="819">
        <v>2.0000000000000002E-5</v>
      </c>
      <c r="H595" s="874" t="s">
        <v>280</v>
      </c>
      <c r="I595" s="847" t="s">
        <v>1750</v>
      </c>
      <c r="J595" s="873" t="s">
        <v>43</v>
      </c>
      <c r="K595" s="874" t="s">
        <v>1634</v>
      </c>
      <c r="L595" s="873" t="s">
        <v>43</v>
      </c>
      <c r="M595" s="874">
        <v>1</v>
      </c>
      <c r="N595" s="888" t="s">
        <v>1750</v>
      </c>
      <c r="O595" s="875" t="s">
        <v>1750</v>
      </c>
      <c r="P595" s="876">
        <v>1.6</v>
      </c>
      <c r="Q595" s="877" t="s">
        <v>179</v>
      </c>
      <c r="R595" s="876">
        <v>23</v>
      </c>
      <c r="S595" s="877" t="s">
        <v>179</v>
      </c>
      <c r="T595" s="878" t="s">
        <v>1750</v>
      </c>
      <c r="U595" s="879" t="s">
        <v>43</v>
      </c>
      <c r="V595" s="878" t="s">
        <v>1750</v>
      </c>
      <c r="W595" s="879" t="s">
        <v>43</v>
      </c>
      <c r="X595" s="876">
        <v>0.4</v>
      </c>
      <c r="Y595" s="880" t="s">
        <v>179</v>
      </c>
      <c r="Z595" s="881" t="s">
        <v>43</v>
      </c>
      <c r="AA595" s="882">
        <v>1.5E-3</v>
      </c>
      <c r="AB595" s="883" t="s">
        <v>179</v>
      </c>
      <c r="AC595" s="884" t="s">
        <v>1750</v>
      </c>
    </row>
    <row r="596" spans="1:29" ht="15.75">
      <c r="A596" s="856" t="s">
        <v>2112</v>
      </c>
      <c r="B596" s="792" t="s">
        <v>43</v>
      </c>
      <c r="C596" s="857" t="s">
        <v>1750</v>
      </c>
      <c r="D596" s="858" t="s">
        <v>43</v>
      </c>
      <c r="E596" s="843" t="s">
        <v>1750</v>
      </c>
      <c r="F596" s="858" t="s">
        <v>43</v>
      </c>
      <c r="G596" s="843" t="s">
        <v>1750</v>
      </c>
      <c r="H596" s="858" t="s">
        <v>43</v>
      </c>
      <c r="I596" s="843" t="s">
        <v>1750</v>
      </c>
      <c r="J596" s="858" t="s">
        <v>43</v>
      </c>
      <c r="K596" s="858" t="s">
        <v>43</v>
      </c>
      <c r="L596" s="858" t="s">
        <v>43</v>
      </c>
      <c r="M596" s="870" t="s">
        <v>1750</v>
      </c>
      <c r="N596" s="870" t="s">
        <v>1750</v>
      </c>
      <c r="O596" s="860" t="s">
        <v>1750</v>
      </c>
      <c r="P596" s="863" t="s">
        <v>1750</v>
      </c>
      <c r="Q596" s="864" t="s">
        <v>43</v>
      </c>
      <c r="R596" s="863" t="s">
        <v>1750</v>
      </c>
      <c r="S596" s="864" t="s">
        <v>43</v>
      </c>
      <c r="T596" s="863" t="s">
        <v>1750</v>
      </c>
      <c r="U596" s="864" t="s">
        <v>43</v>
      </c>
      <c r="V596" s="863" t="s">
        <v>1750</v>
      </c>
      <c r="W596" s="864" t="s">
        <v>43</v>
      </c>
      <c r="X596" s="863" t="s">
        <v>1750</v>
      </c>
      <c r="Y596" s="885" t="s">
        <v>43</v>
      </c>
      <c r="Z596" s="866" t="s">
        <v>43</v>
      </c>
      <c r="AA596" s="886" t="s">
        <v>1750</v>
      </c>
      <c r="AB596" s="887" t="s">
        <v>43</v>
      </c>
      <c r="AC596" s="869" t="s">
        <v>1750</v>
      </c>
    </row>
    <row r="597" spans="1:29" ht="45.75">
      <c r="A597" s="856" t="s">
        <v>2113</v>
      </c>
      <c r="B597" s="792" t="s">
        <v>474</v>
      </c>
      <c r="C597" s="889">
        <v>1.4E-2</v>
      </c>
      <c r="D597" s="859" t="s">
        <v>280</v>
      </c>
      <c r="E597" s="804">
        <v>2.3999999999999999E-6</v>
      </c>
      <c r="F597" s="859" t="s">
        <v>3</v>
      </c>
      <c r="G597" s="804">
        <v>0.02</v>
      </c>
      <c r="H597" s="859" t="s">
        <v>280</v>
      </c>
      <c r="I597" s="843" t="s">
        <v>1750</v>
      </c>
      <c r="J597" s="858" t="s">
        <v>43</v>
      </c>
      <c r="K597" s="858" t="s">
        <v>43</v>
      </c>
      <c r="L597" s="858" t="s">
        <v>43</v>
      </c>
      <c r="M597" s="859">
        <v>1</v>
      </c>
      <c r="N597" s="859">
        <v>0.1</v>
      </c>
      <c r="O597" s="860" t="s">
        <v>1750</v>
      </c>
      <c r="P597" s="861">
        <v>39</v>
      </c>
      <c r="Q597" s="862" t="s">
        <v>2279</v>
      </c>
      <c r="R597" s="861">
        <v>160</v>
      </c>
      <c r="S597" s="862" t="s">
        <v>2283</v>
      </c>
      <c r="T597" s="861">
        <v>1.2</v>
      </c>
      <c r="U597" s="862" t="s">
        <v>2283</v>
      </c>
      <c r="V597" s="861">
        <v>5.0999999999999996</v>
      </c>
      <c r="W597" s="862" t="s">
        <v>2283</v>
      </c>
      <c r="X597" s="861">
        <v>5.6</v>
      </c>
      <c r="Y597" s="865" t="s">
        <v>2279</v>
      </c>
      <c r="Z597" s="891">
        <v>6</v>
      </c>
      <c r="AA597" s="867">
        <v>1.3</v>
      </c>
      <c r="AB597" s="868" t="s">
        <v>2279</v>
      </c>
      <c r="AC597" s="892">
        <v>1.4</v>
      </c>
    </row>
    <row r="598" spans="1:29" ht="31.5" thickBot="1">
      <c r="A598" s="871" t="s">
        <v>2431</v>
      </c>
      <c r="B598" s="807" t="s">
        <v>502</v>
      </c>
      <c r="C598" s="890">
        <v>1.9E-3</v>
      </c>
      <c r="D598" s="874" t="s">
        <v>281</v>
      </c>
      <c r="E598" s="847" t="s">
        <v>1750</v>
      </c>
      <c r="F598" s="873" t="s">
        <v>43</v>
      </c>
      <c r="G598" s="819">
        <v>0.2</v>
      </c>
      <c r="H598" s="874" t="s">
        <v>280</v>
      </c>
      <c r="I598" s="847" t="s">
        <v>1750</v>
      </c>
      <c r="J598" s="873" t="s">
        <v>43</v>
      </c>
      <c r="K598" s="873" t="s">
        <v>43</v>
      </c>
      <c r="L598" s="873" t="s">
        <v>43</v>
      </c>
      <c r="M598" s="874">
        <v>1</v>
      </c>
      <c r="N598" s="874">
        <v>0.1</v>
      </c>
      <c r="O598" s="875" t="s">
        <v>1750</v>
      </c>
      <c r="P598" s="876">
        <v>290</v>
      </c>
      <c r="Q598" s="877" t="s">
        <v>2279</v>
      </c>
      <c r="R598" s="876">
        <v>1200</v>
      </c>
      <c r="S598" s="877" t="s">
        <v>2283</v>
      </c>
      <c r="T598" s="878" t="s">
        <v>1750</v>
      </c>
      <c r="U598" s="879" t="s">
        <v>43</v>
      </c>
      <c r="V598" s="878" t="s">
        <v>1750</v>
      </c>
      <c r="W598" s="879" t="s">
        <v>43</v>
      </c>
      <c r="X598" s="876">
        <v>16</v>
      </c>
      <c r="Y598" s="880" t="s">
        <v>2283</v>
      </c>
      <c r="Z598" s="881" t="s">
        <v>43</v>
      </c>
      <c r="AA598" s="882">
        <v>0.24</v>
      </c>
      <c r="AB598" s="883" t="s">
        <v>2283</v>
      </c>
      <c r="AC598" s="884" t="s">
        <v>1750</v>
      </c>
    </row>
    <row r="599" spans="1:29" ht="30.75">
      <c r="A599" s="856" t="s">
        <v>2114</v>
      </c>
      <c r="B599" s="792" t="s">
        <v>509</v>
      </c>
      <c r="C599" s="857" t="s">
        <v>1750</v>
      </c>
      <c r="D599" s="858" t="s">
        <v>43</v>
      </c>
      <c r="E599" s="843" t="s">
        <v>1750</v>
      </c>
      <c r="F599" s="858" t="s">
        <v>43</v>
      </c>
      <c r="G599" s="804">
        <v>1</v>
      </c>
      <c r="H599" s="859" t="s">
        <v>280</v>
      </c>
      <c r="I599" s="843" t="s">
        <v>1750</v>
      </c>
      <c r="J599" s="858" t="s">
        <v>43</v>
      </c>
      <c r="K599" s="858" t="s">
        <v>43</v>
      </c>
      <c r="L599" s="858" t="s">
        <v>43</v>
      </c>
      <c r="M599" s="859">
        <v>1</v>
      </c>
      <c r="N599" s="859">
        <v>0.1</v>
      </c>
      <c r="O599" s="860" t="s">
        <v>1750</v>
      </c>
      <c r="P599" s="861">
        <v>63000</v>
      </c>
      <c r="Q599" s="862" t="s">
        <v>179</v>
      </c>
      <c r="R599" s="861">
        <v>820000</v>
      </c>
      <c r="S599" s="862" t="s">
        <v>2281</v>
      </c>
      <c r="T599" s="863" t="s">
        <v>1750</v>
      </c>
      <c r="U599" s="864" t="s">
        <v>43</v>
      </c>
      <c r="V599" s="863" t="s">
        <v>1750</v>
      </c>
      <c r="W599" s="864" t="s">
        <v>43</v>
      </c>
      <c r="X599" s="861">
        <v>13000</v>
      </c>
      <c r="Y599" s="865" t="s">
        <v>179</v>
      </c>
      <c r="Z599" s="866" t="s">
        <v>43</v>
      </c>
      <c r="AA599" s="867">
        <v>310</v>
      </c>
      <c r="AB599" s="868" t="s">
        <v>179</v>
      </c>
      <c r="AC599" s="869" t="s">
        <v>1750</v>
      </c>
    </row>
    <row r="600" spans="1:29" ht="15.75">
      <c r="A600" s="856" t="s">
        <v>2115</v>
      </c>
      <c r="B600" s="792" t="s">
        <v>705</v>
      </c>
      <c r="C600" s="857" t="s">
        <v>1750</v>
      </c>
      <c r="D600" s="858" t="s">
        <v>43</v>
      </c>
      <c r="E600" s="843" t="s">
        <v>1750</v>
      </c>
      <c r="F600" s="858" t="s">
        <v>43</v>
      </c>
      <c r="G600" s="804">
        <v>0.1</v>
      </c>
      <c r="H600" s="859" t="s">
        <v>280</v>
      </c>
      <c r="I600" s="843" t="s">
        <v>1750</v>
      </c>
      <c r="J600" s="858" t="s">
        <v>43</v>
      </c>
      <c r="K600" s="858" t="s">
        <v>43</v>
      </c>
      <c r="L600" s="858" t="s">
        <v>43</v>
      </c>
      <c r="M600" s="859">
        <v>1</v>
      </c>
      <c r="N600" s="859">
        <v>0.1</v>
      </c>
      <c r="O600" s="860" t="s">
        <v>1750</v>
      </c>
      <c r="P600" s="861">
        <v>6300</v>
      </c>
      <c r="Q600" s="862" t="s">
        <v>179</v>
      </c>
      <c r="R600" s="861">
        <v>82000</v>
      </c>
      <c r="S600" s="862" t="s">
        <v>179</v>
      </c>
      <c r="T600" s="863" t="s">
        <v>1750</v>
      </c>
      <c r="U600" s="864" t="s">
        <v>43</v>
      </c>
      <c r="V600" s="863" t="s">
        <v>1750</v>
      </c>
      <c r="W600" s="864" t="s">
        <v>43</v>
      </c>
      <c r="X600" s="861">
        <v>900</v>
      </c>
      <c r="Y600" s="865" t="s">
        <v>179</v>
      </c>
      <c r="Z600" s="866" t="s">
        <v>43</v>
      </c>
      <c r="AA600" s="867">
        <v>2.2999999999999998</v>
      </c>
      <c r="AB600" s="868" t="s">
        <v>179</v>
      </c>
      <c r="AC600" s="869" t="s">
        <v>1750</v>
      </c>
    </row>
    <row r="601" spans="1:29" ht="16.5" thickBot="1">
      <c r="A601" s="871" t="s">
        <v>2116</v>
      </c>
      <c r="B601" s="807" t="s">
        <v>751</v>
      </c>
      <c r="C601" s="872" t="s">
        <v>1750</v>
      </c>
      <c r="D601" s="873" t="s">
        <v>43</v>
      </c>
      <c r="E601" s="847" t="s">
        <v>1750</v>
      </c>
      <c r="F601" s="873" t="s">
        <v>43</v>
      </c>
      <c r="G601" s="819">
        <v>0.8</v>
      </c>
      <c r="H601" s="874" t="s">
        <v>280</v>
      </c>
      <c r="I601" s="847" t="s">
        <v>1750</v>
      </c>
      <c r="J601" s="873" t="s">
        <v>43</v>
      </c>
      <c r="K601" s="873" t="s">
        <v>43</v>
      </c>
      <c r="L601" s="873" t="s">
        <v>43</v>
      </c>
      <c r="M601" s="874">
        <v>1</v>
      </c>
      <c r="N601" s="874">
        <v>0.1</v>
      </c>
      <c r="O601" s="875" t="s">
        <v>1750</v>
      </c>
      <c r="P601" s="876">
        <v>51000</v>
      </c>
      <c r="Q601" s="877" t="s">
        <v>179</v>
      </c>
      <c r="R601" s="876">
        <v>660000</v>
      </c>
      <c r="S601" s="877" t="s">
        <v>2281</v>
      </c>
      <c r="T601" s="878" t="s">
        <v>1750</v>
      </c>
      <c r="U601" s="879" t="s">
        <v>43</v>
      </c>
      <c r="V601" s="878" t="s">
        <v>1750</v>
      </c>
      <c r="W601" s="879" t="s">
        <v>43</v>
      </c>
      <c r="X601" s="876">
        <v>15000</v>
      </c>
      <c r="Y601" s="880" t="s">
        <v>179</v>
      </c>
      <c r="Z601" s="881" t="s">
        <v>43</v>
      </c>
      <c r="AA601" s="882">
        <v>6.1</v>
      </c>
      <c r="AB601" s="883" t="s">
        <v>179</v>
      </c>
      <c r="AC601" s="884" t="s">
        <v>1750</v>
      </c>
    </row>
    <row r="602" spans="1:29" ht="30.75">
      <c r="A602" s="856" t="s">
        <v>2117</v>
      </c>
      <c r="B602" s="792" t="s">
        <v>802</v>
      </c>
      <c r="C602" s="857" t="s">
        <v>1750</v>
      </c>
      <c r="D602" s="858" t="s">
        <v>43</v>
      </c>
      <c r="E602" s="843" t="s">
        <v>1750</v>
      </c>
      <c r="F602" s="858" t="s">
        <v>43</v>
      </c>
      <c r="G602" s="804">
        <v>0.1</v>
      </c>
      <c r="H602" s="859" t="s">
        <v>280</v>
      </c>
      <c r="I602" s="843" t="s">
        <v>1750</v>
      </c>
      <c r="J602" s="858" t="s">
        <v>43</v>
      </c>
      <c r="K602" s="859" t="s">
        <v>1634</v>
      </c>
      <c r="L602" s="858" t="s">
        <v>43</v>
      </c>
      <c r="M602" s="859">
        <v>1</v>
      </c>
      <c r="N602" s="870" t="s">
        <v>1750</v>
      </c>
      <c r="O602" s="860" t="s">
        <v>1750</v>
      </c>
      <c r="P602" s="861">
        <v>7800</v>
      </c>
      <c r="Q602" s="862" t="s">
        <v>179</v>
      </c>
      <c r="R602" s="861">
        <v>120000</v>
      </c>
      <c r="S602" s="862" t="s">
        <v>2281</v>
      </c>
      <c r="T602" s="863" t="s">
        <v>1750</v>
      </c>
      <c r="U602" s="864" t="s">
        <v>43</v>
      </c>
      <c r="V602" s="863" t="s">
        <v>1750</v>
      </c>
      <c r="W602" s="864" t="s">
        <v>43</v>
      </c>
      <c r="X602" s="861">
        <v>1900</v>
      </c>
      <c r="Y602" s="865" t="s">
        <v>179</v>
      </c>
      <c r="Z602" s="866" t="s">
        <v>43</v>
      </c>
      <c r="AA602" s="867">
        <v>0.49</v>
      </c>
      <c r="AB602" s="868" t="s">
        <v>179</v>
      </c>
      <c r="AC602" s="869" t="s">
        <v>1750</v>
      </c>
    </row>
    <row r="603" spans="1:29" ht="30.75">
      <c r="A603" s="856" t="s">
        <v>2118</v>
      </c>
      <c r="B603" s="792" t="s">
        <v>1834</v>
      </c>
      <c r="C603" s="857" t="s">
        <v>1750</v>
      </c>
      <c r="D603" s="858" t="s">
        <v>43</v>
      </c>
      <c r="E603" s="843" t="s">
        <v>1750</v>
      </c>
      <c r="F603" s="858" t="s">
        <v>43</v>
      </c>
      <c r="G603" s="804">
        <v>0.01</v>
      </c>
      <c r="H603" s="859" t="s">
        <v>281</v>
      </c>
      <c r="I603" s="843" t="s">
        <v>1750</v>
      </c>
      <c r="J603" s="858" t="s">
        <v>43</v>
      </c>
      <c r="K603" s="858" t="s">
        <v>43</v>
      </c>
      <c r="L603" s="858" t="s">
        <v>43</v>
      </c>
      <c r="M603" s="859">
        <v>1</v>
      </c>
      <c r="N603" s="859">
        <v>0.1</v>
      </c>
      <c r="O603" s="860" t="s">
        <v>1750</v>
      </c>
      <c r="P603" s="861">
        <v>630</v>
      </c>
      <c r="Q603" s="862" t="s">
        <v>179</v>
      </c>
      <c r="R603" s="861">
        <v>8200</v>
      </c>
      <c r="S603" s="862" t="s">
        <v>179</v>
      </c>
      <c r="T603" s="863" t="s">
        <v>1750</v>
      </c>
      <c r="U603" s="864" t="s">
        <v>43</v>
      </c>
      <c r="V603" s="863" t="s">
        <v>1750</v>
      </c>
      <c r="W603" s="864" t="s">
        <v>43</v>
      </c>
      <c r="X603" s="861">
        <v>200</v>
      </c>
      <c r="Y603" s="865" t="s">
        <v>179</v>
      </c>
      <c r="Z603" s="866" t="s">
        <v>43</v>
      </c>
      <c r="AA603" s="867">
        <v>57</v>
      </c>
      <c r="AB603" s="868" t="s">
        <v>179</v>
      </c>
      <c r="AC603" s="869" t="s">
        <v>1750</v>
      </c>
    </row>
    <row r="604" spans="1:29" ht="16.5" thickBot="1">
      <c r="A604" s="871" t="s">
        <v>2119</v>
      </c>
      <c r="B604" s="807" t="s">
        <v>1303</v>
      </c>
      <c r="C604" s="872" t="s">
        <v>1750</v>
      </c>
      <c r="D604" s="873" t="s">
        <v>43</v>
      </c>
      <c r="E604" s="847" t="s">
        <v>1750</v>
      </c>
      <c r="F604" s="873" t="s">
        <v>43</v>
      </c>
      <c r="G604" s="819">
        <v>1</v>
      </c>
      <c r="H604" s="874" t="s">
        <v>13</v>
      </c>
      <c r="I604" s="847" t="s">
        <v>1750</v>
      </c>
      <c r="J604" s="873" t="s">
        <v>43</v>
      </c>
      <c r="K604" s="873" t="s">
        <v>43</v>
      </c>
      <c r="L604" s="873" t="s">
        <v>43</v>
      </c>
      <c r="M604" s="874">
        <v>1</v>
      </c>
      <c r="N604" s="874">
        <v>0.1</v>
      </c>
      <c r="O604" s="875" t="s">
        <v>1750</v>
      </c>
      <c r="P604" s="876">
        <v>63000</v>
      </c>
      <c r="Q604" s="877" t="s">
        <v>179</v>
      </c>
      <c r="R604" s="876">
        <v>820000</v>
      </c>
      <c r="S604" s="877" t="s">
        <v>2281</v>
      </c>
      <c r="T604" s="878" t="s">
        <v>1750</v>
      </c>
      <c r="U604" s="879" t="s">
        <v>43</v>
      </c>
      <c r="V604" s="878" t="s">
        <v>1750</v>
      </c>
      <c r="W604" s="879" t="s">
        <v>43</v>
      </c>
      <c r="X604" s="876">
        <v>19000</v>
      </c>
      <c r="Y604" s="880" t="s">
        <v>179</v>
      </c>
      <c r="Z604" s="881" t="s">
        <v>43</v>
      </c>
      <c r="AA604" s="882">
        <v>6.8</v>
      </c>
      <c r="AB604" s="883" t="s">
        <v>179</v>
      </c>
      <c r="AC604" s="884" t="s">
        <v>1750</v>
      </c>
    </row>
    <row r="605" spans="1:29" ht="30.75">
      <c r="A605" s="856" t="s">
        <v>2120</v>
      </c>
      <c r="B605" s="792" t="s">
        <v>1304</v>
      </c>
      <c r="C605" s="857" t="s">
        <v>1750</v>
      </c>
      <c r="D605" s="858" t="s">
        <v>43</v>
      </c>
      <c r="E605" s="843" t="s">
        <v>1750</v>
      </c>
      <c r="F605" s="858" t="s">
        <v>43</v>
      </c>
      <c r="G605" s="804">
        <v>2</v>
      </c>
      <c r="H605" s="859" t="s">
        <v>280</v>
      </c>
      <c r="I605" s="804">
        <v>0.02</v>
      </c>
      <c r="J605" s="859" t="s">
        <v>3</v>
      </c>
      <c r="K605" s="858" t="s">
        <v>43</v>
      </c>
      <c r="L605" s="858" t="s">
        <v>43</v>
      </c>
      <c r="M605" s="859">
        <v>1</v>
      </c>
      <c r="N605" s="859">
        <v>0.1</v>
      </c>
      <c r="O605" s="860" t="s">
        <v>1750</v>
      </c>
      <c r="P605" s="861">
        <v>130000</v>
      </c>
      <c r="Q605" s="862" t="s">
        <v>2281</v>
      </c>
      <c r="R605" s="861">
        <v>1600000</v>
      </c>
      <c r="S605" s="862" t="s">
        <v>2281</v>
      </c>
      <c r="T605" s="861">
        <v>21</v>
      </c>
      <c r="U605" s="862" t="s">
        <v>179</v>
      </c>
      <c r="V605" s="861">
        <v>88</v>
      </c>
      <c r="W605" s="862" t="s">
        <v>179</v>
      </c>
      <c r="X605" s="861">
        <v>39000</v>
      </c>
      <c r="Y605" s="865" t="s">
        <v>179</v>
      </c>
      <c r="Z605" s="866" t="s">
        <v>43</v>
      </c>
      <c r="AA605" s="867">
        <v>8.5</v>
      </c>
      <c r="AB605" s="868" t="s">
        <v>179</v>
      </c>
      <c r="AC605" s="869" t="s">
        <v>1750</v>
      </c>
    </row>
    <row r="606" spans="1:29" ht="15.75">
      <c r="A606" s="856" t="s">
        <v>1305</v>
      </c>
      <c r="B606" s="792" t="s">
        <v>1306</v>
      </c>
      <c r="C606" s="857" t="s">
        <v>1750</v>
      </c>
      <c r="D606" s="858" t="s">
        <v>43</v>
      </c>
      <c r="E606" s="843" t="s">
        <v>1750</v>
      </c>
      <c r="F606" s="858" t="s">
        <v>43</v>
      </c>
      <c r="G606" s="804">
        <v>7.0000000000000007E-2</v>
      </c>
      <c r="H606" s="859" t="s">
        <v>280</v>
      </c>
      <c r="I606" s="843" t="s">
        <v>1750</v>
      </c>
      <c r="J606" s="858" t="s">
        <v>43</v>
      </c>
      <c r="K606" s="858" t="s">
        <v>43</v>
      </c>
      <c r="L606" s="858" t="s">
        <v>43</v>
      </c>
      <c r="M606" s="859">
        <v>1</v>
      </c>
      <c r="N606" s="859">
        <v>0.1</v>
      </c>
      <c r="O606" s="860" t="s">
        <v>1750</v>
      </c>
      <c r="P606" s="861">
        <v>4400</v>
      </c>
      <c r="Q606" s="862" t="s">
        <v>179</v>
      </c>
      <c r="R606" s="861">
        <v>57000</v>
      </c>
      <c r="S606" s="862" t="s">
        <v>179</v>
      </c>
      <c r="T606" s="863" t="s">
        <v>1750</v>
      </c>
      <c r="U606" s="864" t="s">
        <v>43</v>
      </c>
      <c r="V606" s="863" t="s">
        <v>1750</v>
      </c>
      <c r="W606" s="864" t="s">
        <v>43</v>
      </c>
      <c r="X606" s="861">
        <v>1400</v>
      </c>
      <c r="Y606" s="865" t="s">
        <v>179</v>
      </c>
      <c r="Z606" s="891">
        <v>500</v>
      </c>
      <c r="AA606" s="867">
        <v>0.38</v>
      </c>
      <c r="AB606" s="868" t="s">
        <v>179</v>
      </c>
      <c r="AC606" s="892">
        <v>0.14000000000000001</v>
      </c>
    </row>
    <row r="607" spans="1:29" ht="46.5" thickBot="1">
      <c r="A607" s="871" t="s">
        <v>1307</v>
      </c>
      <c r="B607" s="807" t="s">
        <v>1308</v>
      </c>
      <c r="C607" s="872" t="s">
        <v>1750</v>
      </c>
      <c r="D607" s="873" t="s">
        <v>43</v>
      </c>
      <c r="E607" s="847" t="s">
        <v>1750</v>
      </c>
      <c r="F607" s="873" t="s">
        <v>43</v>
      </c>
      <c r="G607" s="819">
        <v>1E-4</v>
      </c>
      <c r="H607" s="874" t="s">
        <v>0</v>
      </c>
      <c r="I607" s="847" t="s">
        <v>1750</v>
      </c>
      <c r="J607" s="873" t="s">
        <v>43</v>
      </c>
      <c r="K607" s="873" t="s">
        <v>43</v>
      </c>
      <c r="L607" s="873" t="s">
        <v>43</v>
      </c>
      <c r="M607" s="874">
        <v>1</v>
      </c>
      <c r="N607" s="874">
        <v>0.1</v>
      </c>
      <c r="O607" s="875" t="s">
        <v>1750</v>
      </c>
      <c r="P607" s="876">
        <v>6.3</v>
      </c>
      <c r="Q607" s="877" t="s">
        <v>179</v>
      </c>
      <c r="R607" s="876">
        <v>82</v>
      </c>
      <c r="S607" s="877" t="s">
        <v>179</v>
      </c>
      <c r="T607" s="878" t="s">
        <v>1750</v>
      </c>
      <c r="U607" s="879" t="s">
        <v>43</v>
      </c>
      <c r="V607" s="878" t="s">
        <v>1750</v>
      </c>
      <c r="W607" s="879" t="s">
        <v>43</v>
      </c>
      <c r="X607" s="876">
        <v>2</v>
      </c>
      <c r="Y607" s="880" t="s">
        <v>179</v>
      </c>
      <c r="Z607" s="881" t="s">
        <v>43</v>
      </c>
      <c r="AA607" s="882">
        <v>1.2999999999999999E-3</v>
      </c>
      <c r="AB607" s="883" t="s">
        <v>179</v>
      </c>
      <c r="AC607" s="884" t="s">
        <v>1750</v>
      </c>
    </row>
    <row r="608" spans="1:29" ht="30.75">
      <c r="A608" s="856" t="s">
        <v>2243</v>
      </c>
      <c r="B608" s="792" t="s">
        <v>2244</v>
      </c>
      <c r="C608" s="857" t="s">
        <v>1750</v>
      </c>
      <c r="D608" s="858" t="s">
        <v>43</v>
      </c>
      <c r="E608" s="843" t="s">
        <v>1750</v>
      </c>
      <c r="F608" s="858" t="s">
        <v>43</v>
      </c>
      <c r="G608" s="804">
        <v>8.9999999999999998E-4</v>
      </c>
      <c r="H608" s="859" t="s">
        <v>0</v>
      </c>
      <c r="I608" s="843" t="s">
        <v>1750</v>
      </c>
      <c r="J608" s="858" t="s">
        <v>43</v>
      </c>
      <c r="K608" s="858" t="s">
        <v>43</v>
      </c>
      <c r="L608" s="858" t="s">
        <v>43</v>
      </c>
      <c r="M608" s="859">
        <v>1</v>
      </c>
      <c r="N608" s="859">
        <v>0.1</v>
      </c>
      <c r="O608" s="860" t="s">
        <v>1750</v>
      </c>
      <c r="P608" s="861">
        <v>57</v>
      </c>
      <c r="Q608" s="862" t="s">
        <v>179</v>
      </c>
      <c r="R608" s="861">
        <v>740</v>
      </c>
      <c r="S608" s="862" t="s">
        <v>179</v>
      </c>
      <c r="T608" s="863" t="s">
        <v>1750</v>
      </c>
      <c r="U608" s="864" t="s">
        <v>43</v>
      </c>
      <c r="V608" s="863" t="s">
        <v>1750</v>
      </c>
      <c r="W608" s="864" t="s">
        <v>43</v>
      </c>
      <c r="X608" s="861">
        <v>18</v>
      </c>
      <c r="Y608" s="865" t="s">
        <v>179</v>
      </c>
      <c r="Z608" s="866" t="s">
        <v>43</v>
      </c>
      <c r="AA608" s="867">
        <v>8.4000000000000005E-2</v>
      </c>
      <c r="AB608" s="868" t="s">
        <v>179</v>
      </c>
      <c r="AC608" s="869" t="s">
        <v>1750</v>
      </c>
    </row>
    <row r="609" spans="1:29" ht="30.75">
      <c r="A609" s="856" t="s">
        <v>1309</v>
      </c>
      <c r="B609" s="792" t="s">
        <v>1310</v>
      </c>
      <c r="C609" s="857" t="s">
        <v>1750</v>
      </c>
      <c r="D609" s="858" t="s">
        <v>43</v>
      </c>
      <c r="E609" s="843" t="s">
        <v>1750</v>
      </c>
      <c r="F609" s="858" t="s">
        <v>43</v>
      </c>
      <c r="G609" s="804">
        <v>6.7000000000000002E-5</v>
      </c>
      <c r="H609" s="859" t="s">
        <v>2463</v>
      </c>
      <c r="I609" s="843" t="s">
        <v>1750</v>
      </c>
      <c r="J609" s="858" t="s">
        <v>43</v>
      </c>
      <c r="K609" s="858" t="s">
        <v>43</v>
      </c>
      <c r="L609" s="858" t="s">
        <v>43</v>
      </c>
      <c r="M609" s="859">
        <v>1</v>
      </c>
      <c r="N609" s="859">
        <v>0.1</v>
      </c>
      <c r="O609" s="860" t="s">
        <v>1750</v>
      </c>
      <c r="P609" s="861">
        <v>4.2</v>
      </c>
      <c r="Q609" s="862" t="s">
        <v>179</v>
      </c>
      <c r="R609" s="861">
        <v>55</v>
      </c>
      <c r="S609" s="862" t="s">
        <v>179</v>
      </c>
      <c r="T609" s="863" t="s">
        <v>1750</v>
      </c>
      <c r="U609" s="864" t="s">
        <v>43</v>
      </c>
      <c r="V609" s="863" t="s">
        <v>1750</v>
      </c>
      <c r="W609" s="864" t="s">
        <v>43</v>
      </c>
      <c r="X609" s="861">
        <v>0.81</v>
      </c>
      <c r="Y609" s="865" t="s">
        <v>179</v>
      </c>
      <c r="Z609" s="866" t="s">
        <v>43</v>
      </c>
      <c r="AA609" s="867">
        <v>7.6999999999999996E-4</v>
      </c>
      <c r="AB609" s="868" t="s">
        <v>179</v>
      </c>
      <c r="AC609" s="869" t="s">
        <v>1750</v>
      </c>
    </row>
    <row r="610" spans="1:29" ht="31.5" thickBot="1">
      <c r="A610" s="871" t="s">
        <v>1311</v>
      </c>
      <c r="B610" s="807" t="s">
        <v>1312</v>
      </c>
      <c r="C610" s="890">
        <v>30</v>
      </c>
      <c r="D610" s="874" t="s">
        <v>3</v>
      </c>
      <c r="E610" s="819">
        <v>8.6E-3</v>
      </c>
      <c r="F610" s="874" t="s">
        <v>3</v>
      </c>
      <c r="G610" s="819">
        <v>6.9999999999999999E-6</v>
      </c>
      <c r="H610" s="874" t="s">
        <v>13</v>
      </c>
      <c r="I610" s="847" t="s">
        <v>1750</v>
      </c>
      <c r="J610" s="873" t="s">
        <v>43</v>
      </c>
      <c r="K610" s="873" t="s">
        <v>43</v>
      </c>
      <c r="L610" s="873" t="s">
        <v>43</v>
      </c>
      <c r="M610" s="874">
        <v>1</v>
      </c>
      <c r="N610" s="874">
        <v>0.1</v>
      </c>
      <c r="O610" s="875" t="s">
        <v>1750</v>
      </c>
      <c r="P610" s="876">
        <v>1.7999999999999999E-2</v>
      </c>
      <c r="Q610" s="877" t="s">
        <v>2279</v>
      </c>
      <c r="R610" s="876">
        <v>7.6999999999999999E-2</v>
      </c>
      <c r="S610" s="877" t="s">
        <v>2279</v>
      </c>
      <c r="T610" s="876">
        <v>3.3E-4</v>
      </c>
      <c r="U610" s="877" t="s">
        <v>2283</v>
      </c>
      <c r="V610" s="876">
        <v>1.4E-3</v>
      </c>
      <c r="W610" s="877" t="s">
        <v>2283</v>
      </c>
      <c r="X610" s="876">
        <v>2.5999999999999999E-3</v>
      </c>
      <c r="Y610" s="880" t="s">
        <v>2279</v>
      </c>
      <c r="Z610" s="881" t="s">
        <v>43</v>
      </c>
      <c r="AA610" s="895" t="s">
        <v>1750</v>
      </c>
      <c r="AB610" s="883" t="s">
        <v>2279</v>
      </c>
      <c r="AC610" s="884" t="s">
        <v>1750</v>
      </c>
    </row>
    <row r="611" spans="1:29" ht="30.75">
      <c r="A611" s="856" t="s">
        <v>1313</v>
      </c>
      <c r="B611" s="792" t="s">
        <v>43</v>
      </c>
      <c r="C611" s="857" t="s">
        <v>1750</v>
      </c>
      <c r="D611" s="858" t="s">
        <v>43</v>
      </c>
      <c r="E611" s="843" t="s">
        <v>1750</v>
      </c>
      <c r="F611" s="858" t="s">
        <v>43</v>
      </c>
      <c r="G611" s="843" t="s">
        <v>1750</v>
      </c>
      <c r="H611" s="858" t="s">
        <v>43</v>
      </c>
      <c r="I611" s="843" t="s">
        <v>1750</v>
      </c>
      <c r="J611" s="858" t="s">
        <v>43</v>
      </c>
      <c r="K611" s="858" t="s">
        <v>43</v>
      </c>
      <c r="L611" s="858" t="s">
        <v>43</v>
      </c>
      <c r="M611" s="870" t="s">
        <v>1750</v>
      </c>
      <c r="N611" s="870" t="s">
        <v>1750</v>
      </c>
      <c r="O611" s="860" t="s">
        <v>1750</v>
      </c>
      <c r="P611" s="863" t="s">
        <v>1750</v>
      </c>
      <c r="Q611" s="864" t="s">
        <v>43</v>
      </c>
      <c r="R611" s="863" t="s">
        <v>1750</v>
      </c>
      <c r="S611" s="864" t="s">
        <v>43</v>
      </c>
      <c r="T611" s="863" t="s">
        <v>1750</v>
      </c>
      <c r="U611" s="864" t="s">
        <v>43</v>
      </c>
      <c r="V611" s="863" t="s">
        <v>1750</v>
      </c>
      <c r="W611" s="864" t="s">
        <v>43</v>
      </c>
      <c r="X611" s="863" t="s">
        <v>1750</v>
      </c>
      <c r="Y611" s="885" t="s">
        <v>43</v>
      </c>
      <c r="Z611" s="866" t="s">
        <v>43</v>
      </c>
      <c r="AA611" s="886" t="s">
        <v>1750</v>
      </c>
      <c r="AB611" s="887" t="s">
        <v>43</v>
      </c>
      <c r="AC611" s="869" t="s">
        <v>1750</v>
      </c>
    </row>
    <row r="612" spans="1:29" ht="30.75">
      <c r="A612" s="856" t="s">
        <v>1314</v>
      </c>
      <c r="B612" s="792" t="s">
        <v>1315</v>
      </c>
      <c r="C612" s="889">
        <v>7.0000000000000007E-2</v>
      </c>
      <c r="D612" s="859" t="s">
        <v>14</v>
      </c>
      <c r="E612" s="804">
        <v>2.0000000000000002E-5</v>
      </c>
      <c r="F612" s="859" t="s">
        <v>14</v>
      </c>
      <c r="G612" s="804">
        <v>6.9999999999999994E-5</v>
      </c>
      <c r="H612" s="859" t="s">
        <v>280</v>
      </c>
      <c r="I612" s="843" t="s">
        <v>1750</v>
      </c>
      <c r="J612" s="858" t="s">
        <v>43</v>
      </c>
      <c r="K612" s="859" t="s">
        <v>1634</v>
      </c>
      <c r="L612" s="858" t="s">
        <v>43</v>
      </c>
      <c r="M612" s="859">
        <v>1</v>
      </c>
      <c r="N612" s="859">
        <v>0.14000000000000001</v>
      </c>
      <c r="O612" s="860" t="s">
        <v>1750</v>
      </c>
      <c r="P612" s="861">
        <v>4.0999999999999996</v>
      </c>
      <c r="Q612" s="862" t="s">
        <v>179</v>
      </c>
      <c r="R612" s="861">
        <v>27</v>
      </c>
      <c r="S612" s="862" t="s">
        <v>2278</v>
      </c>
      <c r="T612" s="861">
        <v>0.14000000000000001</v>
      </c>
      <c r="U612" s="862" t="s">
        <v>2283</v>
      </c>
      <c r="V612" s="861">
        <v>0.61</v>
      </c>
      <c r="W612" s="862" t="s">
        <v>2283</v>
      </c>
      <c r="X612" s="861">
        <v>0.22</v>
      </c>
      <c r="Y612" s="865" t="s">
        <v>2278</v>
      </c>
      <c r="Z612" s="866" t="s">
        <v>43</v>
      </c>
      <c r="AA612" s="867">
        <v>2.1000000000000001E-2</v>
      </c>
      <c r="AB612" s="868" t="s">
        <v>2278</v>
      </c>
      <c r="AC612" s="869" t="s">
        <v>1750</v>
      </c>
    </row>
    <row r="613" spans="1:29" ht="31.5" thickBot="1">
      <c r="A613" s="871" t="s">
        <v>1316</v>
      </c>
      <c r="B613" s="807" t="s">
        <v>1317</v>
      </c>
      <c r="C613" s="890">
        <v>2</v>
      </c>
      <c r="D613" s="874" t="s">
        <v>14</v>
      </c>
      <c r="E613" s="819">
        <v>5.6999999999999998E-4</v>
      </c>
      <c r="F613" s="874" t="s">
        <v>14</v>
      </c>
      <c r="G613" s="847" t="s">
        <v>1750</v>
      </c>
      <c r="H613" s="873" t="s">
        <v>43</v>
      </c>
      <c r="I613" s="847" t="s">
        <v>1750</v>
      </c>
      <c r="J613" s="873" t="s">
        <v>43</v>
      </c>
      <c r="K613" s="874" t="s">
        <v>1634</v>
      </c>
      <c r="L613" s="873" t="s">
        <v>43</v>
      </c>
      <c r="M613" s="874">
        <v>1</v>
      </c>
      <c r="N613" s="874">
        <v>0.14000000000000001</v>
      </c>
      <c r="O613" s="875" t="s">
        <v>1750</v>
      </c>
      <c r="P613" s="876">
        <v>0.2</v>
      </c>
      <c r="Q613" s="877" t="s">
        <v>2283</v>
      </c>
      <c r="R613" s="876">
        <v>0.83</v>
      </c>
      <c r="S613" s="877" t="s">
        <v>2283</v>
      </c>
      <c r="T613" s="876">
        <v>4.8999999999999998E-3</v>
      </c>
      <c r="U613" s="877" t="s">
        <v>2283</v>
      </c>
      <c r="V613" s="876">
        <v>2.1000000000000001E-2</v>
      </c>
      <c r="W613" s="877" t="s">
        <v>2283</v>
      </c>
      <c r="X613" s="876">
        <v>4.7000000000000002E-3</v>
      </c>
      <c r="Y613" s="880" t="s">
        <v>2283</v>
      </c>
      <c r="Z613" s="881" t="s">
        <v>43</v>
      </c>
      <c r="AA613" s="882">
        <v>8.0000000000000007E-5</v>
      </c>
      <c r="AB613" s="883" t="s">
        <v>2283</v>
      </c>
      <c r="AC613" s="884" t="s">
        <v>1750</v>
      </c>
    </row>
    <row r="614" spans="1:29" ht="30.75">
      <c r="A614" s="856" t="s">
        <v>1318</v>
      </c>
      <c r="B614" s="792" t="s">
        <v>1319</v>
      </c>
      <c r="C614" s="889">
        <v>2</v>
      </c>
      <c r="D614" s="859" t="s">
        <v>14</v>
      </c>
      <c r="E614" s="804">
        <v>5.6999999999999998E-4</v>
      </c>
      <c r="F614" s="859" t="s">
        <v>14</v>
      </c>
      <c r="G614" s="843" t="s">
        <v>1750</v>
      </c>
      <c r="H614" s="858" t="s">
        <v>43</v>
      </c>
      <c r="I614" s="843" t="s">
        <v>1750</v>
      </c>
      <c r="J614" s="858" t="s">
        <v>43</v>
      </c>
      <c r="K614" s="859" t="s">
        <v>1634</v>
      </c>
      <c r="L614" s="858" t="s">
        <v>43</v>
      </c>
      <c r="M614" s="859">
        <v>1</v>
      </c>
      <c r="N614" s="859">
        <v>0.14000000000000001</v>
      </c>
      <c r="O614" s="860" t="s">
        <v>1750</v>
      </c>
      <c r="P614" s="861">
        <v>0.17</v>
      </c>
      <c r="Q614" s="862" t="s">
        <v>2283</v>
      </c>
      <c r="R614" s="861">
        <v>0.72</v>
      </c>
      <c r="S614" s="862" t="s">
        <v>2283</v>
      </c>
      <c r="T614" s="861">
        <v>4.8999999999999998E-3</v>
      </c>
      <c r="U614" s="862" t="s">
        <v>2283</v>
      </c>
      <c r="V614" s="861">
        <v>2.1000000000000001E-2</v>
      </c>
      <c r="W614" s="862" t="s">
        <v>2283</v>
      </c>
      <c r="X614" s="861">
        <v>4.7000000000000002E-3</v>
      </c>
      <c r="Y614" s="865" t="s">
        <v>2283</v>
      </c>
      <c r="Z614" s="866" t="s">
        <v>43</v>
      </c>
      <c r="AA614" s="867">
        <v>8.0000000000000007E-5</v>
      </c>
      <c r="AB614" s="868" t="s">
        <v>2283</v>
      </c>
      <c r="AC614" s="869" t="s">
        <v>1750</v>
      </c>
    </row>
    <row r="615" spans="1:29" ht="30.75">
      <c r="A615" s="856" t="s">
        <v>1320</v>
      </c>
      <c r="B615" s="792" t="s">
        <v>1321</v>
      </c>
      <c r="C615" s="889">
        <v>2</v>
      </c>
      <c r="D615" s="859" t="s">
        <v>14</v>
      </c>
      <c r="E615" s="804">
        <v>5.6999999999999998E-4</v>
      </c>
      <c r="F615" s="859" t="s">
        <v>14</v>
      </c>
      <c r="G615" s="843" t="s">
        <v>1750</v>
      </c>
      <c r="H615" s="858" t="s">
        <v>43</v>
      </c>
      <c r="I615" s="843" t="s">
        <v>1750</v>
      </c>
      <c r="J615" s="858" t="s">
        <v>43</v>
      </c>
      <c r="K615" s="859" t="s">
        <v>1634</v>
      </c>
      <c r="L615" s="858" t="s">
        <v>43</v>
      </c>
      <c r="M615" s="859">
        <v>1</v>
      </c>
      <c r="N615" s="859">
        <v>0.14000000000000001</v>
      </c>
      <c r="O615" s="860" t="s">
        <v>1750</v>
      </c>
      <c r="P615" s="861">
        <v>0.23</v>
      </c>
      <c r="Q615" s="862" t="s">
        <v>2283</v>
      </c>
      <c r="R615" s="861">
        <v>0.95</v>
      </c>
      <c r="S615" s="862" t="s">
        <v>2283</v>
      </c>
      <c r="T615" s="861">
        <v>4.8999999999999998E-3</v>
      </c>
      <c r="U615" s="862" t="s">
        <v>2283</v>
      </c>
      <c r="V615" s="861">
        <v>2.1000000000000001E-2</v>
      </c>
      <c r="W615" s="862" t="s">
        <v>2283</v>
      </c>
      <c r="X615" s="861">
        <v>7.7999999999999996E-3</v>
      </c>
      <c r="Y615" s="865" t="s">
        <v>2283</v>
      </c>
      <c r="Z615" s="866" t="s">
        <v>43</v>
      </c>
      <c r="AA615" s="867">
        <v>1.1999999999999999E-3</v>
      </c>
      <c r="AB615" s="868" t="s">
        <v>2283</v>
      </c>
      <c r="AC615" s="869" t="s">
        <v>1750</v>
      </c>
    </row>
    <row r="616" spans="1:29" ht="31.5" thickBot="1">
      <c r="A616" s="871" t="s">
        <v>1322</v>
      </c>
      <c r="B616" s="807" t="s">
        <v>1323</v>
      </c>
      <c r="C616" s="890">
        <v>2</v>
      </c>
      <c r="D616" s="874" t="s">
        <v>14</v>
      </c>
      <c r="E616" s="819">
        <v>5.6999999999999998E-4</v>
      </c>
      <c r="F616" s="874" t="s">
        <v>14</v>
      </c>
      <c r="G616" s="847" t="s">
        <v>1750</v>
      </c>
      <c r="H616" s="873" t="s">
        <v>43</v>
      </c>
      <c r="I616" s="847" t="s">
        <v>1750</v>
      </c>
      <c r="J616" s="873" t="s">
        <v>43</v>
      </c>
      <c r="K616" s="874" t="s">
        <v>1634</v>
      </c>
      <c r="L616" s="873" t="s">
        <v>43</v>
      </c>
      <c r="M616" s="874">
        <v>1</v>
      </c>
      <c r="N616" s="874">
        <v>0.14000000000000001</v>
      </c>
      <c r="O616" s="875" t="s">
        <v>1750</v>
      </c>
      <c r="P616" s="876">
        <v>0.23</v>
      </c>
      <c r="Q616" s="877" t="s">
        <v>2283</v>
      </c>
      <c r="R616" s="876">
        <v>0.95</v>
      </c>
      <c r="S616" s="877" t="s">
        <v>2283</v>
      </c>
      <c r="T616" s="876">
        <v>4.8999999999999998E-3</v>
      </c>
      <c r="U616" s="877" t="s">
        <v>2283</v>
      </c>
      <c r="V616" s="876">
        <v>2.1000000000000001E-2</v>
      </c>
      <c r="W616" s="877" t="s">
        <v>2283</v>
      </c>
      <c r="X616" s="876">
        <v>7.7999999999999996E-3</v>
      </c>
      <c r="Y616" s="880" t="s">
        <v>2283</v>
      </c>
      <c r="Z616" s="881" t="s">
        <v>43</v>
      </c>
      <c r="AA616" s="882">
        <v>1.1999999999999999E-3</v>
      </c>
      <c r="AB616" s="883" t="s">
        <v>2283</v>
      </c>
      <c r="AC616" s="884" t="s">
        <v>1750</v>
      </c>
    </row>
    <row r="617" spans="1:29" ht="30.75">
      <c r="A617" s="856" t="s">
        <v>1324</v>
      </c>
      <c r="B617" s="792" t="s">
        <v>1325</v>
      </c>
      <c r="C617" s="889">
        <v>2</v>
      </c>
      <c r="D617" s="859" t="s">
        <v>14</v>
      </c>
      <c r="E617" s="804">
        <v>5.6999999999999998E-4</v>
      </c>
      <c r="F617" s="859" t="s">
        <v>14</v>
      </c>
      <c r="G617" s="804">
        <v>2.0000000000000002E-5</v>
      </c>
      <c r="H617" s="859" t="s">
        <v>280</v>
      </c>
      <c r="I617" s="843" t="s">
        <v>1750</v>
      </c>
      <c r="J617" s="858" t="s">
        <v>43</v>
      </c>
      <c r="K617" s="859" t="s">
        <v>1634</v>
      </c>
      <c r="L617" s="858" t="s">
        <v>43</v>
      </c>
      <c r="M617" s="859">
        <v>1</v>
      </c>
      <c r="N617" s="859">
        <v>0.14000000000000001</v>
      </c>
      <c r="O617" s="860" t="s">
        <v>1750</v>
      </c>
      <c r="P617" s="861">
        <v>0.24</v>
      </c>
      <c r="Q617" s="862" t="s">
        <v>2278</v>
      </c>
      <c r="R617" s="861">
        <v>0.97</v>
      </c>
      <c r="S617" s="862" t="s">
        <v>2279</v>
      </c>
      <c r="T617" s="861">
        <v>4.8999999999999998E-3</v>
      </c>
      <c r="U617" s="862" t="s">
        <v>2283</v>
      </c>
      <c r="V617" s="861">
        <v>2.1000000000000001E-2</v>
      </c>
      <c r="W617" s="862" t="s">
        <v>2283</v>
      </c>
      <c r="X617" s="861">
        <v>7.7999999999999996E-3</v>
      </c>
      <c r="Y617" s="865" t="s">
        <v>2279</v>
      </c>
      <c r="Z617" s="866" t="s">
        <v>43</v>
      </c>
      <c r="AA617" s="867">
        <v>2E-3</v>
      </c>
      <c r="AB617" s="868" t="s">
        <v>2279</v>
      </c>
      <c r="AC617" s="869" t="s">
        <v>1750</v>
      </c>
    </row>
    <row r="618" spans="1:29" ht="30.75">
      <c r="A618" s="856" t="s">
        <v>1326</v>
      </c>
      <c r="B618" s="792" t="s">
        <v>1327</v>
      </c>
      <c r="C618" s="889">
        <v>2</v>
      </c>
      <c r="D618" s="859" t="s">
        <v>14</v>
      </c>
      <c r="E618" s="804">
        <v>5.6999999999999998E-4</v>
      </c>
      <c r="F618" s="859" t="s">
        <v>14</v>
      </c>
      <c r="G618" s="843" t="s">
        <v>1750</v>
      </c>
      <c r="H618" s="858" t="s">
        <v>43</v>
      </c>
      <c r="I618" s="843" t="s">
        <v>1750</v>
      </c>
      <c r="J618" s="858" t="s">
        <v>43</v>
      </c>
      <c r="K618" s="859" t="s">
        <v>1634</v>
      </c>
      <c r="L618" s="858" t="s">
        <v>43</v>
      </c>
      <c r="M618" s="859">
        <v>1</v>
      </c>
      <c r="N618" s="859">
        <v>0.14000000000000001</v>
      </c>
      <c r="O618" s="860" t="s">
        <v>1750</v>
      </c>
      <c r="P618" s="861">
        <v>0.24</v>
      </c>
      <c r="Q618" s="862" t="s">
        <v>2283</v>
      </c>
      <c r="R618" s="861">
        <v>0.99</v>
      </c>
      <c r="S618" s="862" t="s">
        <v>2283</v>
      </c>
      <c r="T618" s="861">
        <v>4.8999999999999998E-3</v>
      </c>
      <c r="U618" s="862" t="s">
        <v>2283</v>
      </c>
      <c r="V618" s="861">
        <v>2.1000000000000001E-2</v>
      </c>
      <c r="W618" s="862" t="s">
        <v>2283</v>
      </c>
      <c r="X618" s="861">
        <v>7.7999999999999996E-3</v>
      </c>
      <c r="Y618" s="865" t="s">
        <v>2283</v>
      </c>
      <c r="Z618" s="866" t="s">
        <v>43</v>
      </c>
      <c r="AA618" s="867">
        <v>5.4999999999999997E-3</v>
      </c>
      <c r="AB618" s="868" t="s">
        <v>2283</v>
      </c>
      <c r="AC618" s="869" t="s">
        <v>1750</v>
      </c>
    </row>
    <row r="619" spans="1:29" ht="31.5" thickBot="1">
      <c r="A619" s="871" t="s">
        <v>2142</v>
      </c>
      <c r="B619" s="807" t="s">
        <v>2143</v>
      </c>
      <c r="C619" s="872" t="s">
        <v>1750</v>
      </c>
      <c r="D619" s="873" t="s">
        <v>43</v>
      </c>
      <c r="E619" s="847" t="s">
        <v>1750</v>
      </c>
      <c r="F619" s="873" t="s">
        <v>43</v>
      </c>
      <c r="G619" s="819">
        <v>5.9999999999999995E-4</v>
      </c>
      <c r="H619" s="874" t="s">
        <v>0</v>
      </c>
      <c r="I619" s="847" t="s">
        <v>1750</v>
      </c>
      <c r="J619" s="873" t="s">
        <v>43</v>
      </c>
      <c r="K619" s="874" t="s">
        <v>1634</v>
      </c>
      <c r="L619" s="873" t="s">
        <v>43</v>
      </c>
      <c r="M619" s="874">
        <v>1</v>
      </c>
      <c r="N619" s="874">
        <v>0.14000000000000001</v>
      </c>
      <c r="O619" s="875" t="s">
        <v>1750</v>
      </c>
      <c r="P619" s="876">
        <v>35</v>
      </c>
      <c r="Q619" s="877" t="s">
        <v>179</v>
      </c>
      <c r="R619" s="876">
        <v>440</v>
      </c>
      <c r="S619" s="877" t="s">
        <v>179</v>
      </c>
      <c r="T619" s="878" t="s">
        <v>1750</v>
      </c>
      <c r="U619" s="879" t="s">
        <v>43</v>
      </c>
      <c r="V619" s="878" t="s">
        <v>1750</v>
      </c>
      <c r="W619" s="879" t="s">
        <v>43</v>
      </c>
      <c r="X619" s="876">
        <v>12</v>
      </c>
      <c r="Y619" s="880" t="s">
        <v>179</v>
      </c>
      <c r="Z619" s="881" t="s">
        <v>43</v>
      </c>
      <c r="AA619" s="882">
        <v>2</v>
      </c>
      <c r="AB619" s="883" t="s">
        <v>179</v>
      </c>
      <c r="AC619" s="884" t="s">
        <v>1750</v>
      </c>
    </row>
    <row r="620" spans="1:29" ht="45.75">
      <c r="A620" s="856" t="s">
        <v>1328</v>
      </c>
      <c r="B620" s="792" t="s">
        <v>1329</v>
      </c>
      <c r="C620" s="889">
        <v>3.9</v>
      </c>
      <c r="D620" s="859" t="s">
        <v>279</v>
      </c>
      <c r="E620" s="804">
        <v>1.1000000000000001E-3</v>
      </c>
      <c r="F620" s="859" t="s">
        <v>279</v>
      </c>
      <c r="G620" s="804">
        <v>2.3E-5</v>
      </c>
      <c r="H620" s="859" t="s">
        <v>279</v>
      </c>
      <c r="I620" s="804">
        <v>1.2999999999999999E-3</v>
      </c>
      <c r="J620" s="859" t="s">
        <v>279</v>
      </c>
      <c r="K620" s="859" t="s">
        <v>1634</v>
      </c>
      <c r="L620" s="858" t="s">
        <v>43</v>
      </c>
      <c r="M620" s="859">
        <v>1</v>
      </c>
      <c r="N620" s="859">
        <v>0.14000000000000001</v>
      </c>
      <c r="O620" s="860" t="s">
        <v>1750</v>
      </c>
      <c r="P620" s="861">
        <v>0.13</v>
      </c>
      <c r="Q620" s="862" t="s">
        <v>2279</v>
      </c>
      <c r="R620" s="861">
        <v>0.52</v>
      </c>
      <c r="S620" s="862" t="s">
        <v>2279</v>
      </c>
      <c r="T620" s="861">
        <v>2.5000000000000001E-3</v>
      </c>
      <c r="U620" s="862" t="s">
        <v>2283</v>
      </c>
      <c r="V620" s="861">
        <v>1.0999999999999999E-2</v>
      </c>
      <c r="W620" s="862" t="s">
        <v>2283</v>
      </c>
      <c r="X620" s="861">
        <v>4.0000000000000001E-3</v>
      </c>
      <c r="Y620" s="865" t="s">
        <v>2283</v>
      </c>
      <c r="Z620" s="866" t="s">
        <v>43</v>
      </c>
      <c r="AA620" s="867">
        <v>2.8E-3</v>
      </c>
      <c r="AB620" s="868" t="s">
        <v>2283</v>
      </c>
      <c r="AC620" s="869" t="s">
        <v>1750</v>
      </c>
    </row>
    <row r="621" spans="1:29" ht="45.75">
      <c r="A621" s="856" t="s">
        <v>1330</v>
      </c>
      <c r="B621" s="792" t="s">
        <v>1331</v>
      </c>
      <c r="C621" s="889">
        <v>3.9</v>
      </c>
      <c r="D621" s="859" t="s">
        <v>279</v>
      </c>
      <c r="E621" s="804">
        <v>1.1000000000000001E-3</v>
      </c>
      <c r="F621" s="859" t="s">
        <v>279</v>
      </c>
      <c r="G621" s="804">
        <v>2.3E-5</v>
      </c>
      <c r="H621" s="859" t="s">
        <v>279</v>
      </c>
      <c r="I621" s="804">
        <v>1.2999999999999999E-3</v>
      </c>
      <c r="J621" s="859" t="s">
        <v>279</v>
      </c>
      <c r="K621" s="859" t="s">
        <v>1634</v>
      </c>
      <c r="L621" s="858" t="s">
        <v>43</v>
      </c>
      <c r="M621" s="859">
        <v>1</v>
      </c>
      <c r="N621" s="859">
        <v>0.14000000000000001</v>
      </c>
      <c r="O621" s="860" t="s">
        <v>1750</v>
      </c>
      <c r="P621" s="861">
        <v>0.12</v>
      </c>
      <c r="Q621" s="862" t="s">
        <v>2279</v>
      </c>
      <c r="R621" s="861">
        <v>0.51</v>
      </c>
      <c r="S621" s="862" t="s">
        <v>2279</v>
      </c>
      <c r="T621" s="861">
        <v>2.5000000000000001E-3</v>
      </c>
      <c r="U621" s="862" t="s">
        <v>2283</v>
      </c>
      <c r="V621" s="861">
        <v>1.0999999999999999E-2</v>
      </c>
      <c r="W621" s="862" t="s">
        <v>2283</v>
      </c>
      <c r="X621" s="861">
        <v>4.0000000000000001E-3</v>
      </c>
      <c r="Y621" s="865" t="s">
        <v>2283</v>
      </c>
      <c r="Z621" s="866" t="s">
        <v>43</v>
      </c>
      <c r="AA621" s="867">
        <v>1.6999999999999999E-3</v>
      </c>
      <c r="AB621" s="868" t="s">
        <v>2283</v>
      </c>
      <c r="AC621" s="869" t="s">
        <v>1750</v>
      </c>
    </row>
    <row r="622" spans="1:29" ht="46.5" thickBot="1">
      <c r="A622" s="871" t="s">
        <v>1332</v>
      </c>
      <c r="B622" s="807" t="s">
        <v>1333</v>
      </c>
      <c r="C622" s="890">
        <v>3.9</v>
      </c>
      <c r="D622" s="874" t="s">
        <v>279</v>
      </c>
      <c r="E622" s="819">
        <v>1.1000000000000001E-3</v>
      </c>
      <c r="F622" s="874" t="s">
        <v>279</v>
      </c>
      <c r="G622" s="819">
        <v>2.3E-5</v>
      </c>
      <c r="H622" s="874" t="s">
        <v>279</v>
      </c>
      <c r="I622" s="819">
        <v>1.2999999999999999E-3</v>
      </c>
      <c r="J622" s="874" t="s">
        <v>279</v>
      </c>
      <c r="K622" s="874" t="s">
        <v>1634</v>
      </c>
      <c r="L622" s="873" t="s">
        <v>43</v>
      </c>
      <c r="M622" s="874">
        <v>1</v>
      </c>
      <c r="N622" s="874">
        <v>0.14000000000000001</v>
      </c>
      <c r="O622" s="875" t="s">
        <v>1750</v>
      </c>
      <c r="P622" s="876">
        <v>0.12</v>
      </c>
      <c r="Q622" s="877" t="s">
        <v>2279</v>
      </c>
      <c r="R622" s="876">
        <v>0.5</v>
      </c>
      <c r="S622" s="877" t="s">
        <v>2279</v>
      </c>
      <c r="T622" s="876">
        <v>2.5000000000000001E-3</v>
      </c>
      <c r="U622" s="877" t="s">
        <v>2283</v>
      </c>
      <c r="V622" s="876">
        <v>1.0999999999999999E-2</v>
      </c>
      <c r="W622" s="877" t="s">
        <v>2283</v>
      </c>
      <c r="X622" s="876">
        <v>4.0000000000000001E-3</v>
      </c>
      <c r="Y622" s="880" t="s">
        <v>2283</v>
      </c>
      <c r="Z622" s="881" t="s">
        <v>43</v>
      </c>
      <c r="AA622" s="882">
        <v>1.6999999999999999E-3</v>
      </c>
      <c r="AB622" s="883" t="s">
        <v>2283</v>
      </c>
      <c r="AC622" s="884" t="s">
        <v>1750</v>
      </c>
    </row>
    <row r="623" spans="1:29" ht="45.75">
      <c r="A623" s="856" t="s">
        <v>1334</v>
      </c>
      <c r="B623" s="792" t="s">
        <v>1335</v>
      </c>
      <c r="C623" s="889">
        <v>3.9</v>
      </c>
      <c r="D623" s="859" t="s">
        <v>279</v>
      </c>
      <c r="E623" s="804">
        <v>1.1000000000000001E-3</v>
      </c>
      <c r="F623" s="859" t="s">
        <v>279</v>
      </c>
      <c r="G623" s="804">
        <v>2.3E-5</v>
      </c>
      <c r="H623" s="859" t="s">
        <v>279</v>
      </c>
      <c r="I623" s="804">
        <v>1.2999999999999999E-3</v>
      </c>
      <c r="J623" s="859" t="s">
        <v>279</v>
      </c>
      <c r="K623" s="859" t="s">
        <v>1634</v>
      </c>
      <c r="L623" s="858" t="s">
        <v>43</v>
      </c>
      <c r="M623" s="859">
        <v>1</v>
      </c>
      <c r="N623" s="859">
        <v>0.14000000000000001</v>
      </c>
      <c r="O623" s="860" t="s">
        <v>1750</v>
      </c>
      <c r="P623" s="861">
        <v>0.12</v>
      </c>
      <c r="Q623" s="862" t="s">
        <v>2279</v>
      </c>
      <c r="R623" s="861">
        <v>0.5</v>
      </c>
      <c r="S623" s="862" t="s">
        <v>2279</v>
      </c>
      <c r="T623" s="861">
        <v>2.5000000000000001E-3</v>
      </c>
      <c r="U623" s="862" t="s">
        <v>2283</v>
      </c>
      <c r="V623" s="861">
        <v>1.0999999999999999E-2</v>
      </c>
      <c r="W623" s="862" t="s">
        <v>2283</v>
      </c>
      <c r="X623" s="861">
        <v>4.0000000000000001E-3</v>
      </c>
      <c r="Y623" s="865" t="s">
        <v>2283</v>
      </c>
      <c r="Z623" s="866" t="s">
        <v>43</v>
      </c>
      <c r="AA623" s="867">
        <v>1.6999999999999999E-3</v>
      </c>
      <c r="AB623" s="868" t="s">
        <v>2283</v>
      </c>
      <c r="AC623" s="869" t="s">
        <v>1750</v>
      </c>
    </row>
    <row r="624" spans="1:29" ht="45.75">
      <c r="A624" s="856" t="s">
        <v>1336</v>
      </c>
      <c r="B624" s="792" t="s">
        <v>1337</v>
      </c>
      <c r="C624" s="889">
        <v>3900</v>
      </c>
      <c r="D624" s="859" t="s">
        <v>279</v>
      </c>
      <c r="E624" s="804">
        <v>1.1000000000000001</v>
      </c>
      <c r="F624" s="859" t="s">
        <v>279</v>
      </c>
      <c r="G624" s="804">
        <v>2.3000000000000001E-8</v>
      </c>
      <c r="H624" s="859" t="s">
        <v>279</v>
      </c>
      <c r="I624" s="804">
        <v>1.3E-6</v>
      </c>
      <c r="J624" s="859" t="s">
        <v>279</v>
      </c>
      <c r="K624" s="859" t="s">
        <v>1634</v>
      </c>
      <c r="L624" s="858" t="s">
        <v>43</v>
      </c>
      <c r="M624" s="859">
        <v>1</v>
      </c>
      <c r="N624" s="859">
        <v>0.14000000000000001</v>
      </c>
      <c r="O624" s="860" t="s">
        <v>1750</v>
      </c>
      <c r="P624" s="861">
        <v>1.2E-4</v>
      </c>
      <c r="Q624" s="862" t="s">
        <v>2279</v>
      </c>
      <c r="R624" s="861">
        <v>5.1000000000000004E-4</v>
      </c>
      <c r="S624" s="862" t="s">
        <v>2279</v>
      </c>
      <c r="T624" s="861">
        <v>2.5000000000000002E-6</v>
      </c>
      <c r="U624" s="862" t="s">
        <v>2283</v>
      </c>
      <c r="V624" s="861">
        <v>1.1E-5</v>
      </c>
      <c r="W624" s="862" t="s">
        <v>2283</v>
      </c>
      <c r="X624" s="861">
        <v>3.9999999999999998E-6</v>
      </c>
      <c r="Y624" s="865" t="s">
        <v>2283</v>
      </c>
      <c r="Z624" s="866" t="s">
        <v>43</v>
      </c>
      <c r="AA624" s="867">
        <v>1.7E-6</v>
      </c>
      <c r="AB624" s="868" t="s">
        <v>2283</v>
      </c>
      <c r="AC624" s="869" t="s">
        <v>1750</v>
      </c>
    </row>
    <row r="625" spans="1:29" ht="46.5" thickBot="1">
      <c r="A625" s="871" t="s">
        <v>1338</v>
      </c>
      <c r="B625" s="807" t="s">
        <v>1339</v>
      </c>
      <c r="C625" s="890">
        <v>3.9</v>
      </c>
      <c r="D625" s="874" t="s">
        <v>279</v>
      </c>
      <c r="E625" s="819">
        <v>1.1000000000000001E-3</v>
      </c>
      <c r="F625" s="874" t="s">
        <v>279</v>
      </c>
      <c r="G625" s="819">
        <v>2.3E-5</v>
      </c>
      <c r="H625" s="874" t="s">
        <v>279</v>
      </c>
      <c r="I625" s="819">
        <v>1.2999999999999999E-3</v>
      </c>
      <c r="J625" s="874" t="s">
        <v>279</v>
      </c>
      <c r="K625" s="874" t="s">
        <v>1634</v>
      </c>
      <c r="L625" s="873" t="s">
        <v>43</v>
      </c>
      <c r="M625" s="874">
        <v>1</v>
      </c>
      <c r="N625" s="874">
        <v>0.14000000000000001</v>
      </c>
      <c r="O625" s="875" t="s">
        <v>1750</v>
      </c>
      <c r="P625" s="876">
        <v>0.12</v>
      </c>
      <c r="Q625" s="877" t="s">
        <v>2279</v>
      </c>
      <c r="R625" s="876">
        <v>0.49</v>
      </c>
      <c r="S625" s="877" t="s">
        <v>2279</v>
      </c>
      <c r="T625" s="876">
        <v>2.5000000000000001E-3</v>
      </c>
      <c r="U625" s="877" t="s">
        <v>2283</v>
      </c>
      <c r="V625" s="876">
        <v>1.0999999999999999E-2</v>
      </c>
      <c r="W625" s="877" t="s">
        <v>2283</v>
      </c>
      <c r="X625" s="876">
        <v>4.0000000000000001E-3</v>
      </c>
      <c r="Y625" s="880" t="s">
        <v>2283</v>
      </c>
      <c r="Z625" s="881" t="s">
        <v>43</v>
      </c>
      <c r="AA625" s="882">
        <v>1E-3</v>
      </c>
      <c r="AB625" s="883" t="s">
        <v>2283</v>
      </c>
      <c r="AC625" s="884" t="s">
        <v>1750</v>
      </c>
    </row>
    <row r="626" spans="1:29" ht="45.75">
      <c r="A626" s="856" t="s">
        <v>1340</v>
      </c>
      <c r="B626" s="792" t="s">
        <v>1341</v>
      </c>
      <c r="C626" s="889">
        <v>3.9</v>
      </c>
      <c r="D626" s="859" t="s">
        <v>279</v>
      </c>
      <c r="E626" s="804">
        <v>1.1000000000000001E-3</v>
      </c>
      <c r="F626" s="859" t="s">
        <v>279</v>
      </c>
      <c r="G626" s="804">
        <v>2.3E-5</v>
      </c>
      <c r="H626" s="859" t="s">
        <v>279</v>
      </c>
      <c r="I626" s="804">
        <v>1.2999999999999999E-3</v>
      </c>
      <c r="J626" s="859" t="s">
        <v>279</v>
      </c>
      <c r="K626" s="859" t="s">
        <v>1634</v>
      </c>
      <c r="L626" s="858" t="s">
        <v>43</v>
      </c>
      <c r="M626" s="859">
        <v>1</v>
      </c>
      <c r="N626" s="859">
        <v>0.14000000000000001</v>
      </c>
      <c r="O626" s="860" t="s">
        <v>1750</v>
      </c>
      <c r="P626" s="861">
        <v>0.12</v>
      </c>
      <c r="Q626" s="862" t="s">
        <v>2279</v>
      </c>
      <c r="R626" s="861">
        <v>0.49</v>
      </c>
      <c r="S626" s="862" t="s">
        <v>2279</v>
      </c>
      <c r="T626" s="861">
        <v>2.5000000000000001E-3</v>
      </c>
      <c r="U626" s="862" t="s">
        <v>2283</v>
      </c>
      <c r="V626" s="861">
        <v>1.0999999999999999E-2</v>
      </c>
      <c r="W626" s="862" t="s">
        <v>2283</v>
      </c>
      <c r="X626" s="861">
        <v>4.0000000000000001E-3</v>
      </c>
      <c r="Y626" s="865" t="s">
        <v>2283</v>
      </c>
      <c r="Z626" s="866" t="s">
        <v>43</v>
      </c>
      <c r="AA626" s="867">
        <v>1E-3</v>
      </c>
      <c r="AB626" s="868" t="s">
        <v>2283</v>
      </c>
      <c r="AC626" s="869" t="s">
        <v>1750</v>
      </c>
    </row>
    <row r="627" spans="1:29" ht="45.75">
      <c r="A627" s="856" t="s">
        <v>1342</v>
      </c>
      <c r="B627" s="792" t="s">
        <v>1343</v>
      </c>
      <c r="C627" s="889">
        <v>3.9</v>
      </c>
      <c r="D627" s="859" t="s">
        <v>279</v>
      </c>
      <c r="E627" s="804">
        <v>1.1000000000000001E-3</v>
      </c>
      <c r="F627" s="859" t="s">
        <v>279</v>
      </c>
      <c r="G627" s="804">
        <v>2.3E-5</v>
      </c>
      <c r="H627" s="859" t="s">
        <v>279</v>
      </c>
      <c r="I627" s="804">
        <v>1.2999999999999999E-3</v>
      </c>
      <c r="J627" s="859" t="s">
        <v>279</v>
      </c>
      <c r="K627" s="859" t="s">
        <v>1634</v>
      </c>
      <c r="L627" s="858" t="s">
        <v>43</v>
      </c>
      <c r="M627" s="859">
        <v>1</v>
      </c>
      <c r="N627" s="859">
        <v>0.14000000000000001</v>
      </c>
      <c r="O627" s="860" t="s">
        <v>1750</v>
      </c>
      <c r="P627" s="861">
        <v>0.12</v>
      </c>
      <c r="Q627" s="862" t="s">
        <v>2279</v>
      </c>
      <c r="R627" s="861">
        <v>0.49</v>
      </c>
      <c r="S627" s="862" t="s">
        <v>2279</v>
      </c>
      <c r="T627" s="861">
        <v>2.5000000000000001E-3</v>
      </c>
      <c r="U627" s="862" t="s">
        <v>2283</v>
      </c>
      <c r="V627" s="861">
        <v>1.0999999999999999E-2</v>
      </c>
      <c r="W627" s="862" t="s">
        <v>2283</v>
      </c>
      <c r="X627" s="861">
        <v>4.0000000000000001E-3</v>
      </c>
      <c r="Y627" s="865" t="s">
        <v>2283</v>
      </c>
      <c r="Z627" s="866" t="s">
        <v>43</v>
      </c>
      <c r="AA627" s="867">
        <v>1E-3</v>
      </c>
      <c r="AB627" s="868" t="s">
        <v>2283</v>
      </c>
      <c r="AC627" s="869" t="s">
        <v>1750</v>
      </c>
    </row>
    <row r="628" spans="1:29" ht="46.5" thickBot="1">
      <c r="A628" s="871" t="s">
        <v>1344</v>
      </c>
      <c r="B628" s="807" t="s">
        <v>1345</v>
      </c>
      <c r="C628" s="890">
        <v>3.9</v>
      </c>
      <c r="D628" s="874" t="s">
        <v>279</v>
      </c>
      <c r="E628" s="819">
        <v>1.1000000000000001E-3</v>
      </c>
      <c r="F628" s="874" t="s">
        <v>279</v>
      </c>
      <c r="G628" s="819">
        <v>2.3E-5</v>
      </c>
      <c r="H628" s="874" t="s">
        <v>279</v>
      </c>
      <c r="I628" s="819">
        <v>1.2999999999999999E-3</v>
      </c>
      <c r="J628" s="874" t="s">
        <v>279</v>
      </c>
      <c r="K628" s="874" t="s">
        <v>1634</v>
      </c>
      <c r="L628" s="873" t="s">
        <v>43</v>
      </c>
      <c r="M628" s="874">
        <v>1</v>
      </c>
      <c r="N628" s="874">
        <v>0.14000000000000001</v>
      </c>
      <c r="O628" s="875" t="s">
        <v>1750</v>
      </c>
      <c r="P628" s="876">
        <v>0.12</v>
      </c>
      <c r="Q628" s="877" t="s">
        <v>2279</v>
      </c>
      <c r="R628" s="876">
        <v>0.5</v>
      </c>
      <c r="S628" s="877" t="s">
        <v>2279</v>
      </c>
      <c r="T628" s="876">
        <v>2.5000000000000001E-3</v>
      </c>
      <c r="U628" s="877" t="s">
        <v>2283</v>
      </c>
      <c r="V628" s="876">
        <v>1.0999999999999999E-2</v>
      </c>
      <c r="W628" s="877" t="s">
        <v>2283</v>
      </c>
      <c r="X628" s="876">
        <v>4.0000000000000001E-3</v>
      </c>
      <c r="Y628" s="880" t="s">
        <v>2283</v>
      </c>
      <c r="Z628" s="881" t="s">
        <v>43</v>
      </c>
      <c r="AA628" s="882">
        <v>1E-3</v>
      </c>
      <c r="AB628" s="883" t="s">
        <v>2283</v>
      </c>
      <c r="AC628" s="884" t="s">
        <v>1750</v>
      </c>
    </row>
    <row r="629" spans="1:29" ht="45.75">
      <c r="A629" s="856" t="s">
        <v>1346</v>
      </c>
      <c r="B629" s="792" t="s">
        <v>1347</v>
      </c>
      <c r="C629" s="889">
        <v>13000</v>
      </c>
      <c r="D629" s="859" t="s">
        <v>279</v>
      </c>
      <c r="E629" s="804">
        <v>3.8</v>
      </c>
      <c r="F629" s="859" t="s">
        <v>279</v>
      </c>
      <c r="G629" s="804">
        <v>6.9999999999999998E-9</v>
      </c>
      <c r="H629" s="859" t="s">
        <v>279</v>
      </c>
      <c r="I629" s="804">
        <v>3.9999999999999998E-7</v>
      </c>
      <c r="J629" s="859" t="s">
        <v>279</v>
      </c>
      <c r="K629" s="859" t="s">
        <v>1634</v>
      </c>
      <c r="L629" s="858" t="s">
        <v>43</v>
      </c>
      <c r="M629" s="859">
        <v>1</v>
      </c>
      <c r="N629" s="859">
        <v>0.14000000000000001</v>
      </c>
      <c r="O629" s="860" t="s">
        <v>1750</v>
      </c>
      <c r="P629" s="861">
        <v>3.6000000000000001E-5</v>
      </c>
      <c r="Q629" s="862" t="s">
        <v>2279</v>
      </c>
      <c r="R629" s="861">
        <v>1.4999999999999999E-4</v>
      </c>
      <c r="S629" s="862" t="s">
        <v>2279</v>
      </c>
      <c r="T629" s="861">
        <v>7.4000000000000001E-7</v>
      </c>
      <c r="U629" s="862" t="s">
        <v>2283</v>
      </c>
      <c r="V629" s="861">
        <v>3.1999999999999999E-6</v>
      </c>
      <c r="W629" s="862" t="s">
        <v>2283</v>
      </c>
      <c r="X629" s="861">
        <v>1.1999999999999999E-6</v>
      </c>
      <c r="Y629" s="865" t="s">
        <v>2283</v>
      </c>
      <c r="Z629" s="866" t="s">
        <v>43</v>
      </c>
      <c r="AA629" s="867">
        <v>2.9999999999999999E-7</v>
      </c>
      <c r="AB629" s="868" t="s">
        <v>2283</v>
      </c>
      <c r="AC629" s="869" t="s">
        <v>1750</v>
      </c>
    </row>
    <row r="630" spans="1:29" ht="45.75">
      <c r="A630" s="856" t="s">
        <v>1348</v>
      </c>
      <c r="B630" s="792" t="s">
        <v>1349</v>
      </c>
      <c r="C630" s="889">
        <v>2</v>
      </c>
      <c r="D630" s="859" t="s">
        <v>280</v>
      </c>
      <c r="E630" s="804">
        <v>5.6999999999999998E-4</v>
      </c>
      <c r="F630" s="859" t="s">
        <v>280</v>
      </c>
      <c r="G630" s="843" t="s">
        <v>1750</v>
      </c>
      <c r="H630" s="858" t="s">
        <v>43</v>
      </c>
      <c r="I630" s="843" t="s">
        <v>1750</v>
      </c>
      <c r="J630" s="858" t="s">
        <v>43</v>
      </c>
      <c r="K630" s="859" t="s">
        <v>1634</v>
      </c>
      <c r="L630" s="858" t="s">
        <v>43</v>
      </c>
      <c r="M630" s="859">
        <v>1</v>
      </c>
      <c r="N630" s="859">
        <v>0.14000000000000001</v>
      </c>
      <c r="O630" s="860" t="s">
        <v>1750</v>
      </c>
      <c r="P630" s="861">
        <v>0.23</v>
      </c>
      <c r="Q630" s="862" t="s">
        <v>2283</v>
      </c>
      <c r="R630" s="861">
        <v>0.94</v>
      </c>
      <c r="S630" s="862" t="s">
        <v>2283</v>
      </c>
      <c r="T630" s="861">
        <v>4.8999999999999998E-3</v>
      </c>
      <c r="U630" s="862" t="s">
        <v>2283</v>
      </c>
      <c r="V630" s="861">
        <v>2.1000000000000001E-2</v>
      </c>
      <c r="W630" s="862" t="s">
        <v>2283</v>
      </c>
      <c r="X630" s="863" t="s">
        <v>1750</v>
      </c>
      <c r="Y630" s="885" t="s">
        <v>43</v>
      </c>
      <c r="Z630" s="891">
        <v>0.5</v>
      </c>
      <c r="AA630" s="886" t="s">
        <v>1750</v>
      </c>
      <c r="AB630" s="887" t="s">
        <v>43</v>
      </c>
      <c r="AC630" s="869" t="s">
        <v>1750</v>
      </c>
    </row>
    <row r="631" spans="1:29" ht="46.5" thickBot="1">
      <c r="A631" s="871" t="s">
        <v>1350</v>
      </c>
      <c r="B631" s="807" t="s">
        <v>1349</v>
      </c>
      <c r="C631" s="890">
        <v>0.4</v>
      </c>
      <c r="D631" s="874" t="s">
        <v>280</v>
      </c>
      <c r="E631" s="819">
        <v>1E-4</v>
      </c>
      <c r="F631" s="874" t="s">
        <v>280</v>
      </c>
      <c r="G631" s="847" t="s">
        <v>1750</v>
      </c>
      <c r="H631" s="873" t="s">
        <v>43</v>
      </c>
      <c r="I631" s="847" t="s">
        <v>1750</v>
      </c>
      <c r="J631" s="873" t="s">
        <v>43</v>
      </c>
      <c r="K631" s="874" t="s">
        <v>1634</v>
      </c>
      <c r="L631" s="873" t="s">
        <v>43</v>
      </c>
      <c r="M631" s="874">
        <v>1</v>
      </c>
      <c r="N631" s="874">
        <v>0.14000000000000001</v>
      </c>
      <c r="O631" s="875" t="s">
        <v>1750</v>
      </c>
      <c r="P631" s="878" t="s">
        <v>1750</v>
      </c>
      <c r="Q631" s="879" t="s">
        <v>43</v>
      </c>
      <c r="R631" s="878" t="s">
        <v>1750</v>
      </c>
      <c r="S631" s="879" t="s">
        <v>43</v>
      </c>
      <c r="T631" s="876">
        <v>2.8000000000000001E-2</v>
      </c>
      <c r="U631" s="877" t="s">
        <v>2283</v>
      </c>
      <c r="V631" s="876">
        <v>0.12</v>
      </c>
      <c r="W631" s="877" t="s">
        <v>2283</v>
      </c>
      <c r="X631" s="876">
        <v>4.3999999999999997E-2</v>
      </c>
      <c r="Y631" s="880" t="s">
        <v>2283</v>
      </c>
      <c r="Z631" s="893">
        <v>0.5</v>
      </c>
      <c r="AA631" s="882">
        <v>6.7999999999999996E-3</v>
      </c>
      <c r="AB631" s="883" t="s">
        <v>2283</v>
      </c>
      <c r="AC631" s="894">
        <v>7.8E-2</v>
      </c>
    </row>
    <row r="632" spans="1:29" ht="45.75">
      <c r="A632" s="856" t="s">
        <v>1351</v>
      </c>
      <c r="B632" s="792" t="s">
        <v>1349</v>
      </c>
      <c r="C632" s="889">
        <v>7.0000000000000007E-2</v>
      </c>
      <c r="D632" s="859" t="s">
        <v>280</v>
      </c>
      <c r="E632" s="804">
        <v>2.0000000000000002E-5</v>
      </c>
      <c r="F632" s="859" t="s">
        <v>280</v>
      </c>
      <c r="G632" s="843" t="s">
        <v>1750</v>
      </c>
      <c r="H632" s="858" t="s">
        <v>43</v>
      </c>
      <c r="I632" s="843" t="s">
        <v>1750</v>
      </c>
      <c r="J632" s="858" t="s">
        <v>43</v>
      </c>
      <c r="K632" s="859" t="s">
        <v>1634</v>
      </c>
      <c r="L632" s="858" t="s">
        <v>43</v>
      </c>
      <c r="M632" s="859">
        <v>1</v>
      </c>
      <c r="N632" s="859">
        <v>0.14000000000000001</v>
      </c>
      <c r="O632" s="860" t="s">
        <v>1750</v>
      </c>
      <c r="P632" s="863" t="s">
        <v>1750</v>
      </c>
      <c r="Q632" s="864" t="s">
        <v>43</v>
      </c>
      <c r="R632" s="863" t="s">
        <v>1750</v>
      </c>
      <c r="S632" s="864" t="s">
        <v>43</v>
      </c>
      <c r="T632" s="861">
        <v>0.14000000000000001</v>
      </c>
      <c r="U632" s="862" t="s">
        <v>2283</v>
      </c>
      <c r="V632" s="861">
        <v>0.61</v>
      </c>
      <c r="W632" s="862" t="s">
        <v>2283</v>
      </c>
      <c r="X632" s="863" t="s">
        <v>1750</v>
      </c>
      <c r="Y632" s="885" t="s">
        <v>43</v>
      </c>
      <c r="Z632" s="891">
        <v>0.5</v>
      </c>
      <c r="AA632" s="886" t="s">
        <v>1750</v>
      </c>
      <c r="AB632" s="887" t="s">
        <v>43</v>
      </c>
      <c r="AC632" s="869" t="s">
        <v>1750</v>
      </c>
    </row>
    <row r="633" spans="1:29" ht="45.75">
      <c r="A633" s="856" t="s">
        <v>1352</v>
      </c>
      <c r="B633" s="792" t="s">
        <v>1353</v>
      </c>
      <c r="C633" s="889">
        <v>13</v>
      </c>
      <c r="D633" s="859" t="s">
        <v>279</v>
      </c>
      <c r="E633" s="804">
        <v>3.8E-3</v>
      </c>
      <c r="F633" s="859" t="s">
        <v>279</v>
      </c>
      <c r="G633" s="804">
        <v>6.9999999999999999E-6</v>
      </c>
      <c r="H633" s="859" t="s">
        <v>279</v>
      </c>
      <c r="I633" s="804">
        <v>4.0000000000000002E-4</v>
      </c>
      <c r="J633" s="859" t="s">
        <v>279</v>
      </c>
      <c r="K633" s="858" t="s">
        <v>43</v>
      </c>
      <c r="L633" s="858" t="s">
        <v>43</v>
      </c>
      <c r="M633" s="859">
        <v>1</v>
      </c>
      <c r="N633" s="859">
        <v>0.14000000000000001</v>
      </c>
      <c r="O633" s="860" t="s">
        <v>1750</v>
      </c>
      <c r="P633" s="861">
        <v>3.7999999999999999E-2</v>
      </c>
      <c r="Q633" s="862" t="s">
        <v>2279</v>
      </c>
      <c r="R633" s="861">
        <v>0.16</v>
      </c>
      <c r="S633" s="862" t="s">
        <v>2279</v>
      </c>
      <c r="T633" s="861">
        <v>7.3999999999999999E-4</v>
      </c>
      <c r="U633" s="862" t="s">
        <v>2283</v>
      </c>
      <c r="V633" s="861">
        <v>3.2000000000000002E-3</v>
      </c>
      <c r="W633" s="862" t="s">
        <v>2283</v>
      </c>
      <c r="X633" s="861">
        <v>6.0000000000000001E-3</v>
      </c>
      <c r="Y633" s="865" t="s">
        <v>2279</v>
      </c>
      <c r="Z633" s="866" t="s">
        <v>43</v>
      </c>
      <c r="AA633" s="867">
        <v>9.3999999999999997E-4</v>
      </c>
      <c r="AB633" s="868" t="s">
        <v>2279</v>
      </c>
      <c r="AC633" s="869" t="s">
        <v>1750</v>
      </c>
    </row>
    <row r="634" spans="1:29" ht="46.5" thickBot="1">
      <c r="A634" s="871" t="s">
        <v>1354</v>
      </c>
      <c r="B634" s="807" t="s">
        <v>1355</v>
      </c>
      <c r="C634" s="890">
        <v>39</v>
      </c>
      <c r="D634" s="874" t="s">
        <v>279</v>
      </c>
      <c r="E634" s="819">
        <v>1.0999999999999999E-2</v>
      </c>
      <c r="F634" s="874" t="s">
        <v>279</v>
      </c>
      <c r="G634" s="819">
        <v>2.3E-6</v>
      </c>
      <c r="H634" s="874" t="s">
        <v>279</v>
      </c>
      <c r="I634" s="819">
        <v>1.2999999999999999E-4</v>
      </c>
      <c r="J634" s="874" t="s">
        <v>279</v>
      </c>
      <c r="K634" s="874" t="s">
        <v>1634</v>
      </c>
      <c r="L634" s="873" t="s">
        <v>43</v>
      </c>
      <c r="M634" s="874">
        <v>1</v>
      </c>
      <c r="N634" s="874">
        <v>0.14000000000000001</v>
      </c>
      <c r="O634" s="875" t="s">
        <v>1750</v>
      </c>
      <c r="P634" s="876">
        <v>1.2E-2</v>
      </c>
      <c r="Q634" s="877" t="s">
        <v>2279</v>
      </c>
      <c r="R634" s="876">
        <v>4.8000000000000001E-2</v>
      </c>
      <c r="S634" s="877" t="s">
        <v>2279</v>
      </c>
      <c r="T634" s="876">
        <v>2.5000000000000001E-4</v>
      </c>
      <c r="U634" s="877" t="s">
        <v>2283</v>
      </c>
      <c r="V634" s="876">
        <v>1.1000000000000001E-3</v>
      </c>
      <c r="W634" s="877" t="s">
        <v>2283</v>
      </c>
      <c r="X634" s="876">
        <v>4.0000000000000002E-4</v>
      </c>
      <c r="Y634" s="880" t="s">
        <v>2283</v>
      </c>
      <c r="Z634" s="881" t="s">
        <v>43</v>
      </c>
      <c r="AA634" s="882">
        <v>6.2000000000000003E-5</v>
      </c>
      <c r="AB634" s="883" t="s">
        <v>2283</v>
      </c>
      <c r="AC634" s="884" t="s">
        <v>1750</v>
      </c>
    </row>
    <row r="635" spans="1:29" ht="75.75">
      <c r="A635" s="856" t="s">
        <v>1356</v>
      </c>
      <c r="B635" s="792" t="s">
        <v>1357</v>
      </c>
      <c r="C635" s="857" t="s">
        <v>1750</v>
      </c>
      <c r="D635" s="858" t="s">
        <v>43</v>
      </c>
      <c r="E635" s="843" t="s">
        <v>1750</v>
      </c>
      <c r="F635" s="858" t="s">
        <v>43</v>
      </c>
      <c r="G635" s="843" t="s">
        <v>1750</v>
      </c>
      <c r="H635" s="858" t="s">
        <v>43</v>
      </c>
      <c r="I635" s="804">
        <v>5.9999999999999995E-4</v>
      </c>
      <c r="J635" s="859" t="s">
        <v>280</v>
      </c>
      <c r="K635" s="858" t="s">
        <v>43</v>
      </c>
      <c r="L635" s="858" t="s">
        <v>43</v>
      </c>
      <c r="M635" s="859">
        <v>1</v>
      </c>
      <c r="N635" s="859">
        <v>0.1</v>
      </c>
      <c r="O635" s="860" t="s">
        <v>1750</v>
      </c>
      <c r="P635" s="861">
        <v>850000</v>
      </c>
      <c r="Q635" s="862" t="s">
        <v>2281</v>
      </c>
      <c r="R635" s="861">
        <v>3600000</v>
      </c>
      <c r="S635" s="862" t="s">
        <v>2281</v>
      </c>
      <c r="T635" s="861">
        <v>0.63</v>
      </c>
      <c r="U635" s="862" t="s">
        <v>179</v>
      </c>
      <c r="V635" s="861">
        <v>2.6</v>
      </c>
      <c r="W635" s="862" t="s">
        <v>179</v>
      </c>
      <c r="X635" s="863" t="s">
        <v>1750</v>
      </c>
      <c r="Y635" s="885" t="s">
        <v>43</v>
      </c>
      <c r="Z635" s="866" t="s">
        <v>43</v>
      </c>
      <c r="AA635" s="886" t="s">
        <v>1750</v>
      </c>
      <c r="AB635" s="887" t="s">
        <v>43</v>
      </c>
      <c r="AC635" s="869" t="s">
        <v>1750</v>
      </c>
    </row>
    <row r="636" spans="1:29" ht="60.75">
      <c r="A636" s="856" t="s">
        <v>1358</v>
      </c>
      <c r="B636" s="792" t="s">
        <v>43</v>
      </c>
      <c r="C636" s="857" t="s">
        <v>1750</v>
      </c>
      <c r="D636" s="858" t="s">
        <v>43</v>
      </c>
      <c r="E636" s="843" t="s">
        <v>1750</v>
      </c>
      <c r="F636" s="858" t="s">
        <v>43</v>
      </c>
      <c r="G636" s="843" t="s">
        <v>1750</v>
      </c>
      <c r="H636" s="858" t="s">
        <v>43</v>
      </c>
      <c r="I636" s="843" t="s">
        <v>1750</v>
      </c>
      <c r="J636" s="858" t="s">
        <v>43</v>
      </c>
      <c r="K636" s="858" t="s">
        <v>43</v>
      </c>
      <c r="L636" s="858" t="s">
        <v>43</v>
      </c>
      <c r="M636" s="870" t="s">
        <v>1750</v>
      </c>
      <c r="N636" s="870" t="s">
        <v>1750</v>
      </c>
      <c r="O636" s="860" t="s">
        <v>1750</v>
      </c>
      <c r="P636" s="863" t="s">
        <v>1750</v>
      </c>
      <c r="Q636" s="864" t="s">
        <v>43</v>
      </c>
      <c r="R636" s="863" t="s">
        <v>1750</v>
      </c>
      <c r="S636" s="864" t="s">
        <v>43</v>
      </c>
      <c r="T636" s="863" t="s">
        <v>1750</v>
      </c>
      <c r="U636" s="864" t="s">
        <v>43</v>
      </c>
      <c r="V636" s="863" t="s">
        <v>1750</v>
      </c>
      <c r="W636" s="864" t="s">
        <v>43</v>
      </c>
      <c r="X636" s="863" t="s">
        <v>1750</v>
      </c>
      <c r="Y636" s="885" t="s">
        <v>43</v>
      </c>
      <c r="Z636" s="866" t="s">
        <v>43</v>
      </c>
      <c r="AA636" s="886" t="s">
        <v>1750</v>
      </c>
      <c r="AB636" s="887" t="s">
        <v>43</v>
      </c>
      <c r="AC636" s="869" t="s">
        <v>1750</v>
      </c>
    </row>
    <row r="637" spans="1:29" ht="16.5" thickBot="1">
      <c r="A637" s="871" t="s">
        <v>1359</v>
      </c>
      <c r="B637" s="807" t="s">
        <v>1360</v>
      </c>
      <c r="C637" s="872" t="s">
        <v>1750</v>
      </c>
      <c r="D637" s="873" t="s">
        <v>43</v>
      </c>
      <c r="E637" s="847" t="s">
        <v>1750</v>
      </c>
      <c r="F637" s="873" t="s">
        <v>43</v>
      </c>
      <c r="G637" s="819">
        <v>0.06</v>
      </c>
      <c r="H637" s="874" t="s">
        <v>280</v>
      </c>
      <c r="I637" s="847" t="s">
        <v>1750</v>
      </c>
      <c r="J637" s="873" t="s">
        <v>43</v>
      </c>
      <c r="K637" s="874" t="s">
        <v>1634</v>
      </c>
      <c r="L637" s="873" t="s">
        <v>43</v>
      </c>
      <c r="M637" s="874">
        <v>1</v>
      </c>
      <c r="N637" s="874">
        <v>0.13</v>
      </c>
      <c r="O637" s="875" t="s">
        <v>1750</v>
      </c>
      <c r="P637" s="876">
        <v>3600</v>
      </c>
      <c r="Q637" s="877" t="s">
        <v>179</v>
      </c>
      <c r="R637" s="876">
        <v>45000</v>
      </c>
      <c r="S637" s="877" t="s">
        <v>179</v>
      </c>
      <c r="T637" s="878" t="s">
        <v>1750</v>
      </c>
      <c r="U637" s="879" t="s">
        <v>43</v>
      </c>
      <c r="V637" s="878" t="s">
        <v>1750</v>
      </c>
      <c r="W637" s="879" t="s">
        <v>43</v>
      </c>
      <c r="X637" s="876">
        <v>530</v>
      </c>
      <c r="Y637" s="880" t="s">
        <v>179</v>
      </c>
      <c r="Z637" s="881" t="s">
        <v>43</v>
      </c>
      <c r="AA637" s="882">
        <v>5.5</v>
      </c>
      <c r="AB637" s="883" t="s">
        <v>179</v>
      </c>
      <c r="AC637" s="884" t="s">
        <v>1750</v>
      </c>
    </row>
    <row r="638" spans="1:29" ht="15.75">
      <c r="A638" s="856" t="s">
        <v>1361</v>
      </c>
      <c r="B638" s="792" t="s">
        <v>1362</v>
      </c>
      <c r="C638" s="857" t="s">
        <v>1750</v>
      </c>
      <c r="D638" s="858" t="s">
        <v>43</v>
      </c>
      <c r="E638" s="843" t="s">
        <v>1750</v>
      </c>
      <c r="F638" s="858" t="s">
        <v>43</v>
      </c>
      <c r="G638" s="804">
        <v>0.3</v>
      </c>
      <c r="H638" s="859" t="s">
        <v>280</v>
      </c>
      <c r="I638" s="843" t="s">
        <v>1750</v>
      </c>
      <c r="J638" s="858" t="s">
        <v>43</v>
      </c>
      <c r="K638" s="859" t="s">
        <v>1634</v>
      </c>
      <c r="L638" s="858" t="s">
        <v>43</v>
      </c>
      <c r="M638" s="859">
        <v>1</v>
      </c>
      <c r="N638" s="859">
        <v>0.13</v>
      </c>
      <c r="O638" s="860" t="s">
        <v>1750</v>
      </c>
      <c r="P638" s="861">
        <v>18000</v>
      </c>
      <c r="Q638" s="862" t="s">
        <v>179</v>
      </c>
      <c r="R638" s="861">
        <v>230000</v>
      </c>
      <c r="S638" s="862" t="s">
        <v>2281</v>
      </c>
      <c r="T638" s="863" t="s">
        <v>1750</v>
      </c>
      <c r="U638" s="864" t="s">
        <v>43</v>
      </c>
      <c r="V638" s="863" t="s">
        <v>1750</v>
      </c>
      <c r="W638" s="864" t="s">
        <v>43</v>
      </c>
      <c r="X638" s="861">
        <v>1800</v>
      </c>
      <c r="Y638" s="865" t="s">
        <v>179</v>
      </c>
      <c r="Z638" s="866" t="s">
        <v>43</v>
      </c>
      <c r="AA638" s="867">
        <v>58</v>
      </c>
      <c r="AB638" s="868" t="s">
        <v>179</v>
      </c>
      <c r="AC638" s="869" t="s">
        <v>1750</v>
      </c>
    </row>
    <row r="639" spans="1:29" ht="30.75">
      <c r="A639" s="856" t="s">
        <v>1363</v>
      </c>
      <c r="B639" s="792" t="s">
        <v>1364</v>
      </c>
      <c r="C639" s="889">
        <v>0.1</v>
      </c>
      <c r="D639" s="859" t="s">
        <v>279</v>
      </c>
      <c r="E639" s="804">
        <v>6.0000000000000002E-5</v>
      </c>
      <c r="F639" s="859" t="s">
        <v>279</v>
      </c>
      <c r="G639" s="843" t="s">
        <v>1750</v>
      </c>
      <c r="H639" s="858" t="s">
        <v>43</v>
      </c>
      <c r="I639" s="843" t="s">
        <v>1750</v>
      </c>
      <c r="J639" s="858" t="s">
        <v>43</v>
      </c>
      <c r="K639" s="859" t="s">
        <v>1634</v>
      </c>
      <c r="L639" s="859" t="s">
        <v>247</v>
      </c>
      <c r="M639" s="859">
        <v>1</v>
      </c>
      <c r="N639" s="859">
        <v>0.13</v>
      </c>
      <c r="O639" s="860" t="s">
        <v>1750</v>
      </c>
      <c r="P639" s="861">
        <v>1.1000000000000001</v>
      </c>
      <c r="Q639" s="862" t="s">
        <v>2283</v>
      </c>
      <c r="R639" s="861">
        <v>21</v>
      </c>
      <c r="S639" s="862" t="s">
        <v>2283</v>
      </c>
      <c r="T639" s="861">
        <v>1.7000000000000001E-2</v>
      </c>
      <c r="U639" s="862" t="s">
        <v>2283</v>
      </c>
      <c r="V639" s="861">
        <v>0.2</v>
      </c>
      <c r="W639" s="862" t="s">
        <v>2283</v>
      </c>
      <c r="X639" s="861">
        <v>0.03</v>
      </c>
      <c r="Y639" s="865" t="s">
        <v>2283</v>
      </c>
      <c r="Z639" s="866" t="s">
        <v>43</v>
      </c>
      <c r="AA639" s="867">
        <v>1.0999999999999999E-2</v>
      </c>
      <c r="AB639" s="868" t="s">
        <v>2283</v>
      </c>
      <c r="AC639" s="869" t="s">
        <v>1750</v>
      </c>
    </row>
    <row r="640" spans="1:29" ht="31.5" thickBot="1">
      <c r="A640" s="871" t="s">
        <v>1365</v>
      </c>
      <c r="B640" s="807" t="s">
        <v>1366</v>
      </c>
      <c r="C640" s="890">
        <v>1.2</v>
      </c>
      <c r="D640" s="874" t="s">
        <v>3</v>
      </c>
      <c r="E640" s="819">
        <v>1.1E-4</v>
      </c>
      <c r="F640" s="874" t="s">
        <v>3</v>
      </c>
      <c r="G640" s="847" t="s">
        <v>1750</v>
      </c>
      <c r="H640" s="873" t="s">
        <v>43</v>
      </c>
      <c r="I640" s="847" t="s">
        <v>1750</v>
      </c>
      <c r="J640" s="873" t="s">
        <v>43</v>
      </c>
      <c r="K640" s="873" t="s">
        <v>43</v>
      </c>
      <c r="L640" s="873" t="s">
        <v>43</v>
      </c>
      <c r="M640" s="874">
        <v>1</v>
      </c>
      <c r="N640" s="874">
        <v>0.13</v>
      </c>
      <c r="O640" s="875" t="s">
        <v>1750</v>
      </c>
      <c r="P640" s="876">
        <v>0.42</v>
      </c>
      <c r="Q640" s="877" t="s">
        <v>2283</v>
      </c>
      <c r="R640" s="876">
        <v>1.8</v>
      </c>
      <c r="S640" s="877" t="s">
        <v>2283</v>
      </c>
      <c r="T640" s="876">
        <v>2.5999999999999999E-2</v>
      </c>
      <c r="U640" s="877" t="s">
        <v>2283</v>
      </c>
      <c r="V640" s="876">
        <v>0.11</v>
      </c>
      <c r="W640" s="877" t="s">
        <v>2283</v>
      </c>
      <c r="X640" s="876">
        <v>6.5000000000000002E-2</v>
      </c>
      <c r="Y640" s="880" t="s">
        <v>2283</v>
      </c>
      <c r="Z640" s="881" t="s">
        <v>43</v>
      </c>
      <c r="AA640" s="882">
        <v>7.8E-2</v>
      </c>
      <c r="AB640" s="883" t="s">
        <v>2283</v>
      </c>
      <c r="AC640" s="884" t="s">
        <v>1750</v>
      </c>
    </row>
    <row r="641" spans="1:29" ht="15.75">
      <c r="A641" s="856" t="s">
        <v>1367</v>
      </c>
      <c r="B641" s="792" t="s">
        <v>1368</v>
      </c>
      <c r="C641" s="889">
        <v>1</v>
      </c>
      <c r="D641" s="859" t="s">
        <v>280</v>
      </c>
      <c r="E641" s="804">
        <v>5.9999999999999995E-4</v>
      </c>
      <c r="F641" s="859" t="s">
        <v>280</v>
      </c>
      <c r="G641" s="804">
        <v>2.9999999999999997E-4</v>
      </c>
      <c r="H641" s="859" t="s">
        <v>280</v>
      </c>
      <c r="I641" s="804">
        <v>1.9999999999999999E-6</v>
      </c>
      <c r="J641" s="859" t="s">
        <v>280</v>
      </c>
      <c r="K641" s="858" t="s">
        <v>43</v>
      </c>
      <c r="L641" s="859" t="s">
        <v>247</v>
      </c>
      <c r="M641" s="859">
        <v>1</v>
      </c>
      <c r="N641" s="859">
        <v>0.13</v>
      </c>
      <c r="O641" s="860" t="s">
        <v>1750</v>
      </c>
      <c r="P641" s="861">
        <v>0.11</v>
      </c>
      <c r="Q641" s="862" t="s">
        <v>2283</v>
      </c>
      <c r="R641" s="861">
        <v>2.1</v>
      </c>
      <c r="S641" s="862" t="s">
        <v>2283</v>
      </c>
      <c r="T641" s="861">
        <v>1.6999999999999999E-3</v>
      </c>
      <c r="U641" s="862" t="s">
        <v>2278</v>
      </c>
      <c r="V641" s="861">
        <v>8.8000000000000005E-3</v>
      </c>
      <c r="W641" s="862" t="s">
        <v>179</v>
      </c>
      <c r="X641" s="861">
        <v>2.5000000000000001E-2</v>
      </c>
      <c r="Y641" s="865" t="s">
        <v>2283</v>
      </c>
      <c r="Z641" s="891">
        <v>0.2</v>
      </c>
      <c r="AA641" s="867">
        <v>2.9000000000000001E-2</v>
      </c>
      <c r="AB641" s="868" t="s">
        <v>2283</v>
      </c>
      <c r="AC641" s="892">
        <v>0.24</v>
      </c>
    </row>
    <row r="642" spans="1:29" ht="30.75">
      <c r="A642" s="856" t="s">
        <v>1369</v>
      </c>
      <c r="B642" s="792" t="s">
        <v>1370</v>
      </c>
      <c r="C642" s="889">
        <v>0.1</v>
      </c>
      <c r="D642" s="859" t="s">
        <v>279</v>
      </c>
      <c r="E642" s="804">
        <v>6.0000000000000002E-5</v>
      </c>
      <c r="F642" s="859" t="s">
        <v>279</v>
      </c>
      <c r="G642" s="843" t="s">
        <v>1750</v>
      </c>
      <c r="H642" s="858" t="s">
        <v>43</v>
      </c>
      <c r="I642" s="843" t="s">
        <v>1750</v>
      </c>
      <c r="J642" s="858" t="s">
        <v>43</v>
      </c>
      <c r="K642" s="858" t="s">
        <v>43</v>
      </c>
      <c r="L642" s="859" t="s">
        <v>247</v>
      </c>
      <c r="M642" s="859">
        <v>1</v>
      </c>
      <c r="N642" s="859">
        <v>0.13</v>
      </c>
      <c r="O642" s="860" t="s">
        <v>1750</v>
      </c>
      <c r="P642" s="861">
        <v>1.1000000000000001</v>
      </c>
      <c r="Q642" s="862" t="s">
        <v>2283</v>
      </c>
      <c r="R642" s="861">
        <v>21</v>
      </c>
      <c r="S642" s="862" t="s">
        <v>2283</v>
      </c>
      <c r="T642" s="861">
        <v>1.7000000000000001E-2</v>
      </c>
      <c r="U642" s="862" t="s">
        <v>2283</v>
      </c>
      <c r="V642" s="861">
        <v>0.2</v>
      </c>
      <c r="W642" s="862" t="s">
        <v>2283</v>
      </c>
      <c r="X642" s="861">
        <v>0.25</v>
      </c>
      <c r="Y642" s="865" t="s">
        <v>2283</v>
      </c>
      <c r="Z642" s="866" t="s">
        <v>43</v>
      </c>
      <c r="AA642" s="867">
        <v>0.3</v>
      </c>
      <c r="AB642" s="868" t="s">
        <v>2283</v>
      </c>
      <c r="AC642" s="869" t="s">
        <v>1750</v>
      </c>
    </row>
    <row r="643" spans="1:29" ht="31.5" thickBot="1">
      <c r="A643" s="871" t="s">
        <v>1371</v>
      </c>
      <c r="B643" s="807" t="s">
        <v>1372</v>
      </c>
      <c r="C643" s="890">
        <v>0.01</v>
      </c>
      <c r="D643" s="874" t="s">
        <v>279</v>
      </c>
      <c r="E643" s="819">
        <v>6.0000000000000002E-6</v>
      </c>
      <c r="F643" s="874" t="s">
        <v>279</v>
      </c>
      <c r="G643" s="847" t="s">
        <v>1750</v>
      </c>
      <c r="H643" s="873" t="s">
        <v>43</v>
      </c>
      <c r="I643" s="847" t="s">
        <v>1750</v>
      </c>
      <c r="J643" s="873" t="s">
        <v>43</v>
      </c>
      <c r="K643" s="873" t="s">
        <v>43</v>
      </c>
      <c r="L643" s="874" t="s">
        <v>247</v>
      </c>
      <c r="M643" s="874">
        <v>1</v>
      </c>
      <c r="N643" s="874">
        <v>0.13</v>
      </c>
      <c r="O643" s="875" t="s">
        <v>1750</v>
      </c>
      <c r="P643" s="876">
        <v>11</v>
      </c>
      <c r="Q643" s="877" t="s">
        <v>2283</v>
      </c>
      <c r="R643" s="876">
        <v>210</v>
      </c>
      <c r="S643" s="877" t="s">
        <v>2283</v>
      </c>
      <c r="T643" s="876">
        <v>0.17</v>
      </c>
      <c r="U643" s="877" t="s">
        <v>2283</v>
      </c>
      <c r="V643" s="876">
        <v>2</v>
      </c>
      <c r="W643" s="877" t="s">
        <v>2283</v>
      </c>
      <c r="X643" s="876">
        <v>2.5</v>
      </c>
      <c r="Y643" s="880" t="s">
        <v>2283</v>
      </c>
      <c r="Z643" s="881" t="s">
        <v>43</v>
      </c>
      <c r="AA643" s="882">
        <v>2.9</v>
      </c>
      <c r="AB643" s="883" t="s">
        <v>2283</v>
      </c>
      <c r="AC643" s="884" t="s">
        <v>1750</v>
      </c>
    </row>
    <row r="644" spans="1:29" ht="30.75">
      <c r="A644" s="856" t="s">
        <v>2121</v>
      </c>
      <c r="B644" s="792" t="s">
        <v>582</v>
      </c>
      <c r="C644" s="857" t="s">
        <v>1750</v>
      </c>
      <c r="D644" s="858" t="s">
        <v>43</v>
      </c>
      <c r="E644" s="843" t="s">
        <v>1750</v>
      </c>
      <c r="F644" s="858" t="s">
        <v>43</v>
      </c>
      <c r="G644" s="804">
        <v>0.08</v>
      </c>
      <c r="H644" s="859" t="s">
        <v>280</v>
      </c>
      <c r="I644" s="843" t="s">
        <v>1750</v>
      </c>
      <c r="J644" s="858" t="s">
        <v>43</v>
      </c>
      <c r="K644" s="859" t="s">
        <v>1634</v>
      </c>
      <c r="L644" s="858" t="s">
        <v>43</v>
      </c>
      <c r="M644" s="859">
        <v>1</v>
      </c>
      <c r="N644" s="859">
        <v>0.13</v>
      </c>
      <c r="O644" s="860" t="s">
        <v>1750</v>
      </c>
      <c r="P644" s="861">
        <v>4800</v>
      </c>
      <c r="Q644" s="862" t="s">
        <v>179</v>
      </c>
      <c r="R644" s="861">
        <v>60000</v>
      </c>
      <c r="S644" s="862" t="s">
        <v>179</v>
      </c>
      <c r="T644" s="863" t="s">
        <v>1750</v>
      </c>
      <c r="U644" s="864" t="s">
        <v>43</v>
      </c>
      <c r="V644" s="863" t="s">
        <v>1750</v>
      </c>
      <c r="W644" s="864" t="s">
        <v>43</v>
      </c>
      <c r="X644" s="861">
        <v>750</v>
      </c>
      <c r="Y644" s="865" t="s">
        <v>179</v>
      </c>
      <c r="Z644" s="866" t="s">
        <v>43</v>
      </c>
      <c r="AA644" s="867">
        <v>3.9</v>
      </c>
      <c r="AB644" s="868" t="s">
        <v>179</v>
      </c>
      <c r="AC644" s="869" t="s">
        <v>1750</v>
      </c>
    </row>
    <row r="645" spans="1:29" ht="15.75">
      <c r="A645" s="856" t="s">
        <v>1373</v>
      </c>
      <c r="B645" s="792" t="s">
        <v>1374</v>
      </c>
      <c r="C645" s="889">
        <v>1E-3</v>
      </c>
      <c r="D645" s="859" t="s">
        <v>279</v>
      </c>
      <c r="E645" s="804">
        <v>5.9999999999999997E-7</v>
      </c>
      <c r="F645" s="859" t="s">
        <v>279</v>
      </c>
      <c r="G645" s="843" t="s">
        <v>1750</v>
      </c>
      <c r="H645" s="858" t="s">
        <v>43</v>
      </c>
      <c r="I645" s="843" t="s">
        <v>1750</v>
      </c>
      <c r="J645" s="858" t="s">
        <v>43</v>
      </c>
      <c r="K645" s="858" t="s">
        <v>43</v>
      </c>
      <c r="L645" s="859" t="s">
        <v>247</v>
      </c>
      <c r="M645" s="859">
        <v>1</v>
      </c>
      <c r="N645" s="859">
        <v>0.13</v>
      </c>
      <c r="O645" s="860" t="s">
        <v>1750</v>
      </c>
      <c r="P645" s="861">
        <v>110</v>
      </c>
      <c r="Q645" s="862" t="s">
        <v>2283</v>
      </c>
      <c r="R645" s="861">
        <v>2100</v>
      </c>
      <c r="S645" s="862" t="s">
        <v>2283</v>
      </c>
      <c r="T645" s="861">
        <v>1.7</v>
      </c>
      <c r="U645" s="862" t="s">
        <v>2283</v>
      </c>
      <c r="V645" s="861">
        <v>20</v>
      </c>
      <c r="W645" s="862" t="s">
        <v>2283</v>
      </c>
      <c r="X645" s="861">
        <v>25</v>
      </c>
      <c r="Y645" s="865" t="s">
        <v>2283</v>
      </c>
      <c r="Z645" s="866" t="s">
        <v>43</v>
      </c>
      <c r="AA645" s="867">
        <v>9</v>
      </c>
      <c r="AB645" s="868" t="s">
        <v>2283</v>
      </c>
      <c r="AC645" s="869" t="s">
        <v>1750</v>
      </c>
    </row>
    <row r="646" spans="1:29" ht="31.5" thickBot="1">
      <c r="A646" s="871" t="s">
        <v>1375</v>
      </c>
      <c r="B646" s="807" t="s">
        <v>1376</v>
      </c>
      <c r="C646" s="890">
        <v>1</v>
      </c>
      <c r="D646" s="874" t="s">
        <v>279</v>
      </c>
      <c r="E646" s="819">
        <v>5.9999999999999995E-4</v>
      </c>
      <c r="F646" s="874" t="s">
        <v>279</v>
      </c>
      <c r="G646" s="847" t="s">
        <v>1750</v>
      </c>
      <c r="H646" s="873" t="s">
        <v>43</v>
      </c>
      <c r="I646" s="847" t="s">
        <v>1750</v>
      </c>
      <c r="J646" s="873" t="s">
        <v>43</v>
      </c>
      <c r="K646" s="873" t="s">
        <v>43</v>
      </c>
      <c r="L646" s="874" t="s">
        <v>247</v>
      </c>
      <c r="M646" s="874">
        <v>1</v>
      </c>
      <c r="N646" s="874">
        <v>0.13</v>
      </c>
      <c r="O646" s="875" t="s">
        <v>1750</v>
      </c>
      <c r="P646" s="876">
        <v>0.11</v>
      </c>
      <c r="Q646" s="877" t="s">
        <v>2283</v>
      </c>
      <c r="R646" s="876">
        <v>2.1</v>
      </c>
      <c r="S646" s="877" t="s">
        <v>2283</v>
      </c>
      <c r="T646" s="876">
        <v>1.6999999999999999E-3</v>
      </c>
      <c r="U646" s="877" t="s">
        <v>2283</v>
      </c>
      <c r="V646" s="876">
        <v>0.02</v>
      </c>
      <c r="W646" s="877" t="s">
        <v>2283</v>
      </c>
      <c r="X646" s="876">
        <v>2.5000000000000001E-2</v>
      </c>
      <c r="Y646" s="880" t="s">
        <v>2283</v>
      </c>
      <c r="Z646" s="881" t="s">
        <v>43</v>
      </c>
      <c r="AA646" s="882">
        <v>9.6000000000000002E-2</v>
      </c>
      <c r="AB646" s="883" t="s">
        <v>2283</v>
      </c>
      <c r="AC646" s="884" t="s">
        <v>1750</v>
      </c>
    </row>
    <row r="647" spans="1:29" ht="30.75">
      <c r="A647" s="856" t="s">
        <v>1377</v>
      </c>
      <c r="B647" s="792" t="s">
        <v>1378</v>
      </c>
      <c r="C647" s="889">
        <v>12</v>
      </c>
      <c r="D647" s="859" t="s">
        <v>3</v>
      </c>
      <c r="E647" s="804">
        <v>1.1000000000000001E-3</v>
      </c>
      <c r="F647" s="859" t="s">
        <v>3</v>
      </c>
      <c r="G647" s="843" t="s">
        <v>1750</v>
      </c>
      <c r="H647" s="858" t="s">
        <v>43</v>
      </c>
      <c r="I647" s="843" t="s">
        <v>1750</v>
      </c>
      <c r="J647" s="858" t="s">
        <v>43</v>
      </c>
      <c r="K647" s="858" t="s">
        <v>43</v>
      </c>
      <c r="L647" s="858" t="s">
        <v>43</v>
      </c>
      <c r="M647" s="859">
        <v>1</v>
      </c>
      <c r="N647" s="859">
        <v>0.13</v>
      </c>
      <c r="O647" s="860" t="s">
        <v>1750</v>
      </c>
      <c r="P647" s="861">
        <v>4.2000000000000003E-2</v>
      </c>
      <c r="Q647" s="862" t="s">
        <v>2283</v>
      </c>
      <c r="R647" s="861">
        <v>0.18</v>
      </c>
      <c r="S647" s="862" t="s">
        <v>2283</v>
      </c>
      <c r="T647" s="861">
        <v>2.5999999999999999E-3</v>
      </c>
      <c r="U647" s="862" t="s">
        <v>2283</v>
      </c>
      <c r="V647" s="861">
        <v>1.0999999999999999E-2</v>
      </c>
      <c r="W647" s="862" t="s">
        <v>2283</v>
      </c>
      <c r="X647" s="861">
        <v>6.4999999999999997E-3</v>
      </c>
      <c r="Y647" s="865" t="s">
        <v>2283</v>
      </c>
      <c r="Z647" s="866" t="s">
        <v>43</v>
      </c>
      <c r="AA647" s="867">
        <v>8.4000000000000005E-2</v>
      </c>
      <c r="AB647" s="868" t="s">
        <v>2283</v>
      </c>
      <c r="AC647" s="869" t="s">
        <v>1750</v>
      </c>
    </row>
    <row r="648" spans="1:29" ht="30.75">
      <c r="A648" s="856" t="s">
        <v>1379</v>
      </c>
      <c r="B648" s="792" t="s">
        <v>1380</v>
      </c>
      <c r="C648" s="889">
        <v>250</v>
      </c>
      <c r="D648" s="859" t="s">
        <v>3</v>
      </c>
      <c r="E648" s="804">
        <v>7.0999999999999994E-2</v>
      </c>
      <c r="F648" s="859" t="s">
        <v>3</v>
      </c>
      <c r="G648" s="843" t="s">
        <v>1750</v>
      </c>
      <c r="H648" s="858" t="s">
        <v>43</v>
      </c>
      <c r="I648" s="843" t="s">
        <v>1750</v>
      </c>
      <c r="J648" s="858" t="s">
        <v>43</v>
      </c>
      <c r="K648" s="858" t="s">
        <v>43</v>
      </c>
      <c r="L648" s="859" t="s">
        <v>247</v>
      </c>
      <c r="M648" s="859">
        <v>1</v>
      </c>
      <c r="N648" s="859">
        <v>0.13</v>
      </c>
      <c r="O648" s="860" t="s">
        <v>1750</v>
      </c>
      <c r="P648" s="861">
        <v>4.6000000000000001E-4</v>
      </c>
      <c r="Q648" s="862" t="s">
        <v>2283</v>
      </c>
      <c r="R648" s="861">
        <v>8.3999999999999995E-3</v>
      </c>
      <c r="S648" s="862" t="s">
        <v>2283</v>
      </c>
      <c r="T648" s="861">
        <v>1.4E-5</v>
      </c>
      <c r="U648" s="862" t="s">
        <v>2283</v>
      </c>
      <c r="V648" s="861">
        <v>1.7000000000000001E-4</v>
      </c>
      <c r="W648" s="862" t="s">
        <v>2283</v>
      </c>
      <c r="X648" s="861">
        <v>1E-4</v>
      </c>
      <c r="Y648" s="865" t="s">
        <v>2283</v>
      </c>
      <c r="Z648" s="866" t="s">
        <v>43</v>
      </c>
      <c r="AA648" s="867">
        <v>9.8999999999999994E-5</v>
      </c>
      <c r="AB648" s="868" t="s">
        <v>2283</v>
      </c>
      <c r="AC648" s="869" t="s">
        <v>1750</v>
      </c>
    </row>
    <row r="649" spans="1:29" ht="16.5" thickBot="1">
      <c r="A649" s="871" t="s">
        <v>1381</v>
      </c>
      <c r="B649" s="807" t="s">
        <v>1382</v>
      </c>
      <c r="C649" s="872" t="s">
        <v>1750</v>
      </c>
      <c r="D649" s="873" t="s">
        <v>43</v>
      </c>
      <c r="E649" s="847" t="s">
        <v>1750</v>
      </c>
      <c r="F649" s="873" t="s">
        <v>43</v>
      </c>
      <c r="G649" s="819">
        <v>0.04</v>
      </c>
      <c r="H649" s="874" t="s">
        <v>280</v>
      </c>
      <c r="I649" s="847" t="s">
        <v>1750</v>
      </c>
      <c r="J649" s="873" t="s">
        <v>43</v>
      </c>
      <c r="K649" s="873" t="s">
        <v>43</v>
      </c>
      <c r="L649" s="873" t="s">
        <v>43</v>
      </c>
      <c r="M649" s="874">
        <v>1</v>
      </c>
      <c r="N649" s="874">
        <v>0.13</v>
      </c>
      <c r="O649" s="875" t="s">
        <v>1750</v>
      </c>
      <c r="P649" s="876">
        <v>2400</v>
      </c>
      <c r="Q649" s="877" t="s">
        <v>179</v>
      </c>
      <c r="R649" s="876">
        <v>30000</v>
      </c>
      <c r="S649" s="877" t="s">
        <v>179</v>
      </c>
      <c r="T649" s="878" t="s">
        <v>1750</v>
      </c>
      <c r="U649" s="879" t="s">
        <v>43</v>
      </c>
      <c r="V649" s="878" t="s">
        <v>1750</v>
      </c>
      <c r="W649" s="879" t="s">
        <v>43</v>
      </c>
      <c r="X649" s="876">
        <v>800</v>
      </c>
      <c r="Y649" s="880" t="s">
        <v>179</v>
      </c>
      <c r="Z649" s="881" t="s">
        <v>43</v>
      </c>
      <c r="AA649" s="882">
        <v>89</v>
      </c>
      <c r="AB649" s="883" t="s">
        <v>179</v>
      </c>
      <c r="AC649" s="884" t="s">
        <v>1750</v>
      </c>
    </row>
    <row r="650" spans="1:29" ht="15.75">
      <c r="A650" s="856" t="s">
        <v>1383</v>
      </c>
      <c r="B650" s="792" t="s">
        <v>1384</v>
      </c>
      <c r="C650" s="857" t="s">
        <v>1750</v>
      </c>
      <c r="D650" s="858" t="s">
        <v>43</v>
      </c>
      <c r="E650" s="843" t="s">
        <v>1750</v>
      </c>
      <c r="F650" s="858" t="s">
        <v>43</v>
      </c>
      <c r="G650" s="804">
        <v>0.04</v>
      </c>
      <c r="H650" s="859" t="s">
        <v>280</v>
      </c>
      <c r="I650" s="843" t="s">
        <v>1750</v>
      </c>
      <c r="J650" s="858" t="s">
        <v>43</v>
      </c>
      <c r="K650" s="859" t="s">
        <v>1634</v>
      </c>
      <c r="L650" s="858" t="s">
        <v>43</v>
      </c>
      <c r="M650" s="859">
        <v>1</v>
      </c>
      <c r="N650" s="859">
        <v>0.13</v>
      </c>
      <c r="O650" s="860" t="s">
        <v>1750</v>
      </c>
      <c r="P650" s="861">
        <v>2400</v>
      </c>
      <c r="Q650" s="862" t="s">
        <v>179</v>
      </c>
      <c r="R650" s="861">
        <v>30000</v>
      </c>
      <c r="S650" s="862" t="s">
        <v>179</v>
      </c>
      <c r="T650" s="863" t="s">
        <v>1750</v>
      </c>
      <c r="U650" s="864" t="s">
        <v>43</v>
      </c>
      <c r="V650" s="863" t="s">
        <v>1750</v>
      </c>
      <c r="W650" s="864" t="s">
        <v>43</v>
      </c>
      <c r="X650" s="861">
        <v>290</v>
      </c>
      <c r="Y650" s="865" t="s">
        <v>179</v>
      </c>
      <c r="Z650" s="866" t="s">
        <v>43</v>
      </c>
      <c r="AA650" s="867">
        <v>5.4</v>
      </c>
      <c r="AB650" s="868" t="s">
        <v>179</v>
      </c>
      <c r="AC650" s="869" t="s">
        <v>1750</v>
      </c>
    </row>
    <row r="651" spans="1:29" ht="30.75">
      <c r="A651" s="856" t="s">
        <v>1385</v>
      </c>
      <c r="B651" s="792" t="s">
        <v>1386</v>
      </c>
      <c r="C651" s="889">
        <v>0.1</v>
      </c>
      <c r="D651" s="859" t="s">
        <v>279</v>
      </c>
      <c r="E651" s="804">
        <v>6.0000000000000002E-5</v>
      </c>
      <c r="F651" s="859" t="s">
        <v>279</v>
      </c>
      <c r="G651" s="843" t="s">
        <v>1750</v>
      </c>
      <c r="H651" s="858" t="s">
        <v>43</v>
      </c>
      <c r="I651" s="843" t="s">
        <v>1750</v>
      </c>
      <c r="J651" s="858" t="s">
        <v>43</v>
      </c>
      <c r="K651" s="858" t="s">
        <v>43</v>
      </c>
      <c r="L651" s="859" t="s">
        <v>247</v>
      </c>
      <c r="M651" s="859">
        <v>1</v>
      </c>
      <c r="N651" s="859">
        <v>0.13</v>
      </c>
      <c r="O651" s="860" t="s">
        <v>1750</v>
      </c>
      <c r="P651" s="861">
        <v>1.1000000000000001</v>
      </c>
      <c r="Q651" s="862" t="s">
        <v>2283</v>
      </c>
      <c r="R651" s="861">
        <v>21</v>
      </c>
      <c r="S651" s="862" t="s">
        <v>2283</v>
      </c>
      <c r="T651" s="861">
        <v>1.7000000000000001E-2</v>
      </c>
      <c r="U651" s="862" t="s">
        <v>2283</v>
      </c>
      <c r="V651" s="861">
        <v>0.2</v>
      </c>
      <c r="W651" s="862" t="s">
        <v>2283</v>
      </c>
      <c r="X651" s="861">
        <v>0.25</v>
      </c>
      <c r="Y651" s="865" t="s">
        <v>2283</v>
      </c>
      <c r="Z651" s="866" t="s">
        <v>43</v>
      </c>
      <c r="AA651" s="867">
        <v>0.98</v>
      </c>
      <c r="AB651" s="868" t="s">
        <v>2283</v>
      </c>
      <c r="AC651" s="869" t="s">
        <v>1750</v>
      </c>
    </row>
    <row r="652" spans="1:29" ht="31.5" thickBot="1">
      <c r="A652" s="871" t="s">
        <v>1387</v>
      </c>
      <c r="B652" s="807" t="s">
        <v>1388</v>
      </c>
      <c r="C652" s="890">
        <v>2.9000000000000001E-2</v>
      </c>
      <c r="D652" s="874" t="s">
        <v>281</v>
      </c>
      <c r="E652" s="847" t="s">
        <v>1750</v>
      </c>
      <c r="F652" s="873" t="s">
        <v>43</v>
      </c>
      <c r="G652" s="819">
        <v>7.0000000000000007E-2</v>
      </c>
      <c r="H652" s="874" t="s">
        <v>18</v>
      </c>
      <c r="I652" s="847" t="s">
        <v>1750</v>
      </c>
      <c r="J652" s="873" t="s">
        <v>43</v>
      </c>
      <c r="K652" s="874" t="s">
        <v>1634</v>
      </c>
      <c r="L652" s="873" t="s">
        <v>43</v>
      </c>
      <c r="M652" s="874">
        <v>1</v>
      </c>
      <c r="N652" s="874">
        <v>0.13</v>
      </c>
      <c r="O652" s="820">
        <v>394</v>
      </c>
      <c r="P652" s="876">
        <v>18</v>
      </c>
      <c r="Q652" s="877" t="s">
        <v>2283</v>
      </c>
      <c r="R652" s="876">
        <v>73</v>
      </c>
      <c r="S652" s="877" t="s">
        <v>2283</v>
      </c>
      <c r="T652" s="878" t="s">
        <v>1750</v>
      </c>
      <c r="U652" s="879" t="s">
        <v>43</v>
      </c>
      <c r="V652" s="878" t="s">
        <v>1750</v>
      </c>
      <c r="W652" s="879" t="s">
        <v>43</v>
      </c>
      <c r="X652" s="876">
        <v>1.1000000000000001</v>
      </c>
      <c r="Y652" s="880" t="s">
        <v>2283</v>
      </c>
      <c r="Z652" s="881" t="s">
        <v>43</v>
      </c>
      <c r="AA652" s="882">
        <v>6.0000000000000001E-3</v>
      </c>
      <c r="AB652" s="883" t="s">
        <v>2283</v>
      </c>
      <c r="AC652" s="884" t="s">
        <v>1750</v>
      </c>
    </row>
    <row r="653" spans="1:29" ht="30.75">
      <c r="A653" s="856" t="s">
        <v>1389</v>
      </c>
      <c r="B653" s="792" t="s">
        <v>1390</v>
      </c>
      <c r="C653" s="857" t="s">
        <v>1750</v>
      </c>
      <c r="D653" s="858" t="s">
        <v>43</v>
      </c>
      <c r="E653" s="843" t="s">
        <v>1750</v>
      </c>
      <c r="F653" s="858" t="s">
        <v>43</v>
      </c>
      <c r="G653" s="804">
        <v>4.0000000000000001E-3</v>
      </c>
      <c r="H653" s="859" t="s">
        <v>280</v>
      </c>
      <c r="I653" s="843" t="s">
        <v>1750</v>
      </c>
      <c r="J653" s="858" t="s">
        <v>43</v>
      </c>
      <c r="K653" s="859" t="s">
        <v>1634</v>
      </c>
      <c r="L653" s="858" t="s">
        <v>43</v>
      </c>
      <c r="M653" s="859">
        <v>1</v>
      </c>
      <c r="N653" s="859">
        <v>0.13</v>
      </c>
      <c r="O653" s="860" t="s">
        <v>1750</v>
      </c>
      <c r="P653" s="861">
        <v>240</v>
      </c>
      <c r="Q653" s="862" t="s">
        <v>179</v>
      </c>
      <c r="R653" s="861">
        <v>3000</v>
      </c>
      <c r="S653" s="862" t="s">
        <v>179</v>
      </c>
      <c r="T653" s="863" t="s">
        <v>1750</v>
      </c>
      <c r="U653" s="864" t="s">
        <v>43</v>
      </c>
      <c r="V653" s="863" t="s">
        <v>1750</v>
      </c>
      <c r="W653" s="864" t="s">
        <v>43</v>
      </c>
      <c r="X653" s="861">
        <v>36</v>
      </c>
      <c r="Y653" s="865" t="s">
        <v>179</v>
      </c>
      <c r="Z653" s="866" t="s">
        <v>43</v>
      </c>
      <c r="AA653" s="867">
        <v>0.19</v>
      </c>
      <c r="AB653" s="868" t="s">
        <v>179</v>
      </c>
      <c r="AC653" s="869" t="s">
        <v>1750</v>
      </c>
    </row>
    <row r="654" spans="1:29" ht="15.75">
      <c r="A654" s="856" t="s">
        <v>1391</v>
      </c>
      <c r="B654" s="792" t="s">
        <v>1392</v>
      </c>
      <c r="C654" s="857" t="s">
        <v>1750</v>
      </c>
      <c r="D654" s="858" t="s">
        <v>43</v>
      </c>
      <c r="E654" s="804">
        <v>3.4E-5</v>
      </c>
      <c r="F654" s="859" t="s">
        <v>3</v>
      </c>
      <c r="G654" s="804">
        <v>0.02</v>
      </c>
      <c r="H654" s="859" t="s">
        <v>280</v>
      </c>
      <c r="I654" s="804">
        <v>3.0000000000000001E-3</v>
      </c>
      <c r="J654" s="859" t="s">
        <v>280</v>
      </c>
      <c r="K654" s="859" t="s">
        <v>1634</v>
      </c>
      <c r="L654" s="858" t="s">
        <v>43</v>
      </c>
      <c r="M654" s="859">
        <v>1</v>
      </c>
      <c r="N654" s="859">
        <v>0.13</v>
      </c>
      <c r="O654" s="860" t="s">
        <v>1750</v>
      </c>
      <c r="P654" s="861">
        <v>3.8</v>
      </c>
      <c r="Q654" s="862" t="s">
        <v>2279</v>
      </c>
      <c r="R654" s="861">
        <v>17</v>
      </c>
      <c r="S654" s="862" t="s">
        <v>2279</v>
      </c>
      <c r="T654" s="861">
        <v>8.3000000000000004E-2</v>
      </c>
      <c r="U654" s="862" t="s">
        <v>2279</v>
      </c>
      <c r="V654" s="861">
        <v>0.36</v>
      </c>
      <c r="W654" s="862" t="s">
        <v>2279</v>
      </c>
      <c r="X654" s="861">
        <v>0.17</v>
      </c>
      <c r="Y654" s="865" t="s">
        <v>2279</v>
      </c>
      <c r="Z654" s="866" t="s">
        <v>43</v>
      </c>
      <c r="AA654" s="867">
        <v>5.4000000000000001E-4</v>
      </c>
      <c r="AB654" s="868" t="s">
        <v>2279</v>
      </c>
      <c r="AC654" s="869" t="s">
        <v>1750</v>
      </c>
    </row>
    <row r="655" spans="1:29" ht="31.5" thickBot="1">
      <c r="A655" s="871" t="s">
        <v>1393</v>
      </c>
      <c r="B655" s="807" t="s">
        <v>1394</v>
      </c>
      <c r="C655" s="890">
        <v>1.2</v>
      </c>
      <c r="D655" s="874" t="s">
        <v>3</v>
      </c>
      <c r="E655" s="819">
        <v>1.1E-4</v>
      </c>
      <c r="F655" s="874" t="s">
        <v>3</v>
      </c>
      <c r="G655" s="847" t="s">
        <v>1750</v>
      </c>
      <c r="H655" s="873" t="s">
        <v>43</v>
      </c>
      <c r="I655" s="847" t="s">
        <v>1750</v>
      </c>
      <c r="J655" s="873" t="s">
        <v>43</v>
      </c>
      <c r="K655" s="873" t="s">
        <v>43</v>
      </c>
      <c r="L655" s="873" t="s">
        <v>43</v>
      </c>
      <c r="M655" s="874">
        <v>1</v>
      </c>
      <c r="N655" s="874">
        <v>0.13</v>
      </c>
      <c r="O655" s="875" t="s">
        <v>1750</v>
      </c>
      <c r="P655" s="876">
        <v>0.42</v>
      </c>
      <c r="Q655" s="877" t="s">
        <v>2283</v>
      </c>
      <c r="R655" s="876">
        <v>1.8</v>
      </c>
      <c r="S655" s="877" t="s">
        <v>2283</v>
      </c>
      <c r="T655" s="876">
        <v>2.5999999999999999E-2</v>
      </c>
      <c r="U655" s="877" t="s">
        <v>2283</v>
      </c>
      <c r="V655" s="876">
        <v>0.11</v>
      </c>
      <c r="W655" s="877" t="s">
        <v>2283</v>
      </c>
      <c r="X655" s="876">
        <v>1.9E-2</v>
      </c>
      <c r="Y655" s="880" t="s">
        <v>2283</v>
      </c>
      <c r="Z655" s="881" t="s">
        <v>43</v>
      </c>
      <c r="AA655" s="882">
        <v>3.3E-3</v>
      </c>
      <c r="AB655" s="883" t="s">
        <v>2283</v>
      </c>
      <c r="AC655" s="884" t="s">
        <v>1750</v>
      </c>
    </row>
    <row r="656" spans="1:29" ht="15.75">
      <c r="A656" s="856" t="s">
        <v>1395</v>
      </c>
      <c r="B656" s="792" t="s">
        <v>1396</v>
      </c>
      <c r="C656" s="857" t="s">
        <v>1750</v>
      </c>
      <c r="D656" s="858" t="s">
        <v>43</v>
      </c>
      <c r="E656" s="843" t="s">
        <v>1750</v>
      </c>
      <c r="F656" s="858" t="s">
        <v>43</v>
      </c>
      <c r="G656" s="804">
        <v>0.03</v>
      </c>
      <c r="H656" s="859" t="s">
        <v>280</v>
      </c>
      <c r="I656" s="843" t="s">
        <v>1750</v>
      </c>
      <c r="J656" s="858" t="s">
        <v>43</v>
      </c>
      <c r="K656" s="859" t="s">
        <v>1634</v>
      </c>
      <c r="L656" s="858" t="s">
        <v>43</v>
      </c>
      <c r="M656" s="859">
        <v>1</v>
      </c>
      <c r="N656" s="859">
        <v>0.13</v>
      </c>
      <c r="O656" s="860" t="s">
        <v>1750</v>
      </c>
      <c r="P656" s="861">
        <v>1800</v>
      </c>
      <c r="Q656" s="862" t="s">
        <v>179</v>
      </c>
      <c r="R656" s="861">
        <v>23000</v>
      </c>
      <c r="S656" s="862" t="s">
        <v>179</v>
      </c>
      <c r="T656" s="863" t="s">
        <v>1750</v>
      </c>
      <c r="U656" s="864" t="s">
        <v>43</v>
      </c>
      <c r="V656" s="863" t="s">
        <v>1750</v>
      </c>
      <c r="W656" s="864" t="s">
        <v>43</v>
      </c>
      <c r="X656" s="861">
        <v>120</v>
      </c>
      <c r="Y656" s="865" t="s">
        <v>179</v>
      </c>
      <c r="Z656" s="866" t="s">
        <v>43</v>
      </c>
      <c r="AA656" s="867">
        <v>13</v>
      </c>
      <c r="AB656" s="868" t="s">
        <v>179</v>
      </c>
      <c r="AC656" s="869" t="s">
        <v>1750</v>
      </c>
    </row>
    <row r="657" spans="1:29" ht="45.75">
      <c r="A657" s="856" t="s">
        <v>2245</v>
      </c>
      <c r="B657" s="792" t="s">
        <v>2246</v>
      </c>
      <c r="C657" s="857" t="s">
        <v>1750</v>
      </c>
      <c r="D657" s="858" t="s">
        <v>43</v>
      </c>
      <c r="E657" s="843" t="s">
        <v>1750</v>
      </c>
      <c r="F657" s="858" t="s">
        <v>43</v>
      </c>
      <c r="G657" s="804">
        <v>0.02</v>
      </c>
      <c r="H657" s="859" t="s">
        <v>281</v>
      </c>
      <c r="I657" s="843" t="s">
        <v>1750</v>
      </c>
      <c r="J657" s="858" t="s">
        <v>43</v>
      </c>
      <c r="K657" s="858" t="s">
        <v>43</v>
      </c>
      <c r="L657" s="858" t="s">
        <v>43</v>
      </c>
      <c r="M657" s="859">
        <v>1</v>
      </c>
      <c r="N657" s="859">
        <v>0.1</v>
      </c>
      <c r="O657" s="860" t="s">
        <v>1750</v>
      </c>
      <c r="P657" s="861">
        <v>1300</v>
      </c>
      <c r="Q657" s="862" t="s">
        <v>179</v>
      </c>
      <c r="R657" s="861">
        <v>16000</v>
      </c>
      <c r="S657" s="862" t="s">
        <v>179</v>
      </c>
      <c r="T657" s="863" t="s">
        <v>1750</v>
      </c>
      <c r="U657" s="864" t="s">
        <v>43</v>
      </c>
      <c r="V657" s="863" t="s">
        <v>1750</v>
      </c>
      <c r="W657" s="864" t="s">
        <v>43</v>
      </c>
      <c r="X657" s="861">
        <v>400</v>
      </c>
      <c r="Y657" s="865" t="s">
        <v>179</v>
      </c>
      <c r="Z657" s="866" t="s">
        <v>43</v>
      </c>
      <c r="AA657" s="886" t="s">
        <v>1750</v>
      </c>
      <c r="AB657" s="868" t="s">
        <v>179</v>
      </c>
      <c r="AC657" s="869" t="s">
        <v>1750</v>
      </c>
    </row>
    <row r="658" spans="1:29" ht="31.5" thickBot="1">
      <c r="A658" s="871" t="s">
        <v>1398</v>
      </c>
      <c r="B658" s="807" t="s">
        <v>1399</v>
      </c>
      <c r="C658" s="890">
        <v>0.15</v>
      </c>
      <c r="D658" s="874" t="s">
        <v>280</v>
      </c>
      <c r="E658" s="847" t="s">
        <v>1750</v>
      </c>
      <c r="F658" s="873" t="s">
        <v>43</v>
      </c>
      <c r="G658" s="819">
        <v>8.9999999999999993E-3</v>
      </c>
      <c r="H658" s="874" t="s">
        <v>280</v>
      </c>
      <c r="I658" s="847" t="s">
        <v>1750</v>
      </c>
      <c r="J658" s="873" t="s">
        <v>43</v>
      </c>
      <c r="K658" s="873" t="s">
        <v>43</v>
      </c>
      <c r="L658" s="873" t="s">
        <v>43</v>
      </c>
      <c r="M658" s="874">
        <v>1</v>
      </c>
      <c r="N658" s="874">
        <v>0.1</v>
      </c>
      <c r="O658" s="875" t="s">
        <v>1750</v>
      </c>
      <c r="P658" s="876">
        <v>3.6</v>
      </c>
      <c r="Q658" s="877" t="s">
        <v>2283</v>
      </c>
      <c r="R658" s="876">
        <v>15</v>
      </c>
      <c r="S658" s="877" t="s">
        <v>2283</v>
      </c>
      <c r="T658" s="878" t="s">
        <v>1750</v>
      </c>
      <c r="U658" s="879" t="s">
        <v>43</v>
      </c>
      <c r="V658" s="878" t="s">
        <v>1750</v>
      </c>
      <c r="W658" s="879" t="s">
        <v>43</v>
      </c>
      <c r="X658" s="876">
        <v>0.38</v>
      </c>
      <c r="Y658" s="880" t="s">
        <v>2283</v>
      </c>
      <c r="Z658" s="881" t="s">
        <v>43</v>
      </c>
      <c r="AA658" s="882">
        <v>1.9E-3</v>
      </c>
      <c r="AB658" s="883" t="s">
        <v>2283</v>
      </c>
      <c r="AC658" s="884" t="s">
        <v>1750</v>
      </c>
    </row>
    <row r="659" spans="1:29" ht="30.75">
      <c r="A659" s="856" t="s">
        <v>1400</v>
      </c>
      <c r="B659" s="792" t="s">
        <v>1401</v>
      </c>
      <c r="C659" s="857" t="s">
        <v>1750</v>
      </c>
      <c r="D659" s="858" t="s">
        <v>43</v>
      </c>
      <c r="E659" s="843" t="s">
        <v>1750</v>
      </c>
      <c r="F659" s="858" t="s">
        <v>43</v>
      </c>
      <c r="G659" s="804">
        <v>6.0000000000000001E-3</v>
      </c>
      <c r="H659" s="859" t="s">
        <v>13</v>
      </c>
      <c r="I659" s="843" t="s">
        <v>1750</v>
      </c>
      <c r="J659" s="858" t="s">
        <v>43</v>
      </c>
      <c r="K659" s="859" t="s">
        <v>1634</v>
      </c>
      <c r="L659" s="858" t="s">
        <v>43</v>
      </c>
      <c r="M659" s="859">
        <v>1</v>
      </c>
      <c r="N659" s="870" t="s">
        <v>1750</v>
      </c>
      <c r="O659" s="860" t="s">
        <v>1750</v>
      </c>
      <c r="P659" s="861">
        <v>470</v>
      </c>
      <c r="Q659" s="862" t="s">
        <v>179</v>
      </c>
      <c r="R659" s="861">
        <v>7000</v>
      </c>
      <c r="S659" s="862" t="s">
        <v>179</v>
      </c>
      <c r="T659" s="863" t="s">
        <v>1750</v>
      </c>
      <c r="U659" s="864" t="s">
        <v>43</v>
      </c>
      <c r="V659" s="863" t="s">
        <v>1750</v>
      </c>
      <c r="W659" s="864" t="s">
        <v>43</v>
      </c>
      <c r="X659" s="861">
        <v>26</v>
      </c>
      <c r="Y659" s="865" t="s">
        <v>179</v>
      </c>
      <c r="Z659" s="866" t="s">
        <v>43</v>
      </c>
      <c r="AA659" s="867">
        <v>1.6</v>
      </c>
      <c r="AB659" s="868" t="s">
        <v>179</v>
      </c>
      <c r="AC659" s="869" t="s">
        <v>1750</v>
      </c>
    </row>
    <row r="660" spans="1:29" ht="15.75">
      <c r="A660" s="856" t="s">
        <v>1402</v>
      </c>
      <c r="B660" s="792" t="s">
        <v>1403</v>
      </c>
      <c r="C660" s="857" t="s">
        <v>1750</v>
      </c>
      <c r="D660" s="858" t="s">
        <v>43</v>
      </c>
      <c r="E660" s="843" t="s">
        <v>1750</v>
      </c>
      <c r="F660" s="858" t="s">
        <v>43</v>
      </c>
      <c r="G660" s="804">
        <v>1.4999999999999999E-2</v>
      </c>
      <c r="H660" s="859" t="s">
        <v>280</v>
      </c>
      <c r="I660" s="843" t="s">
        <v>1750</v>
      </c>
      <c r="J660" s="858" t="s">
        <v>43</v>
      </c>
      <c r="K660" s="858" t="s">
        <v>43</v>
      </c>
      <c r="L660" s="858" t="s">
        <v>43</v>
      </c>
      <c r="M660" s="859">
        <v>1</v>
      </c>
      <c r="N660" s="859">
        <v>0.1</v>
      </c>
      <c r="O660" s="860" t="s">
        <v>1750</v>
      </c>
      <c r="P660" s="861">
        <v>950</v>
      </c>
      <c r="Q660" s="862" t="s">
        <v>179</v>
      </c>
      <c r="R660" s="861">
        <v>12000</v>
      </c>
      <c r="S660" s="862" t="s">
        <v>179</v>
      </c>
      <c r="T660" s="863" t="s">
        <v>1750</v>
      </c>
      <c r="U660" s="864" t="s">
        <v>43</v>
      </c>
      <c r="V660" s="863" t="s">
        <v>1750</v>
      </c>
      <c r="W660" s="864" t="s">
        <v>43</v>
      </c>
      <c r="X660" s="861">
        <v>250</v>
      </c>
      <c r="Y660" s="865" t="s">
        <v>179</v>
      </c>
      <c r="Z660" s="866" t="s">
        <v>43</v>
      </c>
      <c r="AA660" s="867">
        <v>0.12</v>
      </c>
      <c r="AB660" s="868" t="s">
        <v>179</v>
      </c>
      <c r="AC660" s="869" t="s">
        <v>1750</v>
      </c>
    </row>
    <row r="661" spans="1:29" ht="16.5" thickBot="1">
      <c r="A661" s="871" t="s">
        <v>1404</v>
      </c>
      <c r="B661" s="807" t="s">
        <v>1405</v>
      </c>
      <c r="C661" s="872" t="s">
        <v>1750</v>
      </c>
      <c r="D661" s="873" t="s">
        <v>43</v>
      </c>
      <c r="E661" s="847" t="s">
        <v>1750</v>
      </c>
      <c r="F661" s="873" t="s">
        <v>43</v>
      </c>
      <c r="G661" s="819">
        <v>0.04</v>
      </c>
      <c r="H661" s="874" t="s">
        <v>2463</v>
      </c>
      <c r="I661" s="847" t="s">
        <v>1750</v>
      </c>
      <c r="J661" s="873" t="s">
        <v>43</v>
      </c>
      <c r="K661" s="873" t="s">
        <v>43</v>
      </c>
      <c r="L661" s="873" t="s">
        <v>43</v>
      </c>
      <c r="M661" s="874">
        <v>1</v>
      </c>
      <c r="N661" s="874">
        <v>0.1</v>
      </c>
      <c r="O661" s="875" t="s">
        <v>1750</v>
      </c>
      <c r="P661" s="876">
        <v>2500</v>
      </c>
      <c r="Q661" s="877" t="s">
        <v>179</v>
      </c>
      <c r="R661" s="876">
        <v>33000</v>
      </c>
      <c r="S661" s="877" t="s">
        <v>179</v>
      </c>
      <c r="T661" s="878" t="s">
        <v>1750</v>
      </c>
      <c r="U661" s="879" t="s">
        <v>43</v>
      </c>
      <c r="V661" s="878" t="s">
        <v>1750</v>
      </c>
      <c r="W661" s="879" t="s">
        <v>43</v>
      </c>
      <c r="X661" s="876">
        <v>600</v>
      </c>
      <c r="Y661" s="880" t="s">
        <v>179</v>
      </c>
      <c r="Z661" s="881" t="s">
        <v>43</v>
      </c>
      <c r="AA661" s="882">
        <v>0.9</v>
      </c>
      <c r="AB661" s="883" t="s">
        <v>179</v>
      </c>
      <c r="AC661" s="884" t="s">
        <v>1750</v>
      </c>
    </row>
    <row r="662" spans="1:29" ht="15.75">
      <c r="A662" s="856" t="s">
        <v>1406</v>
      </c>
      <c r="B662" s="792" t="s">
        <v>1407</v>
      </c>
      <c r="C662" s="857" t="s">
        <v>1750</v>
      </c>
      <c r="D662" s="858" t="s">
        <v>43</v>
      </c>
      <c r="E662" s="843" t="s">
        <v>1750</v>
      </c>
      <c r="F662" s="858" t="s">
        <v>43</v>
      </c>
      <c r="G662" s="804">
        <v>1.2999999999999999E-2</v>
      </c>
      <c r="H662" s="859" t="s">
        <v>280</v>
      </c>
      <c r="I662" s="843" t="s">
        <v>1750</v>
      </c>
      <c r="J662" s="858" t="s">
        <v>43</v>
      </c>
      <c r="K662" s="858" t="s">
        <v>43</v>
      </c>
      <c r="L662" s="858" t="s">
        <v>43</v>
      </c>
      <c r="M662" s="859">
        <v>1</v>
      </c>
      <c r="N662" s="859">
        <v>0.1</v>
      </c>
      <c r="O662" s="860" t="s">
        <v>1750</v>
      </c>
      <c r="P662" s="861">
        <v>820</v>
      </c>
      <c r="Q662" s="862" t="s">
        <v>179</v>
      </c>
      <c r="R662" s="861">
        <v>11000</v>
      </c>
      <c r="S662" s="862" t="s">
        <v>179</v>
      </c>
      <c r="T662" s="863" t="s">
        <v>1750</v>
      </c>
      <c r="U662" s="864" t="s">
        <v>43</v>
      </c>
      <c r="V662" s="863" t="s">
        <v>1750</v>
      </c>
      <c r="W662" s="864" t="s">
        <v>43</v>
      </c>
      <c r="X662" s="861">
        <v>250</v>
      </c>
      <c r="Y662" s="865" t="s">
        <v>179</v>
      </c>
      <c r="Z662" s="866" t="s">
        <v>43</v>
      </c>
      <c r="AA662" s="867">
        <v>0.15</v>
      </c>
      <c r="AB662" s="868" t="s">
        <v>179</v>
      </c>
      <c r="AC662" s="869" t="s">
        <v>1750</v>
      </c>
    </row>
    <row r="663" spans="1:29" ht="15.75">
      <c r="A663" s="856" t="s">
        <v>1408</v>
      </c>
      <c r="B663" s="792" t="s">
        <v>1409</v>
      </c>
      <c r="C663" s="857" t="s">
        <v>1750</v>
      </c>
      <c r="D663" s="858" t="s">
        <v>43</v>
      </c>
      <c r="E663" s="843" t="s">
        <v>1750</v>
      </c>
      <c r="F663" s="858" t="s">
        <v>43</v>
      </c>
      <c r="G663" s="804">
        <v>5.0000000000000001E-3</v>
      </c>
      <c r="H663" s="859" t="s">
        <v>280</v>
      </c>
      <c r="I663" s="843" t="s">
        <v>1750</v>
      </c>
      <c r="J663" s="858" t="s">
        <v>43</v>
      </c>
      <c r="K663" s="858" t="s">
        <v>43</v>
      </c>
      <c r="L663" s="858" t="s">
        <v>43</v>
      </c>
      <c r="M663" s="859">
        <v>1</v>
      </c>
      <c r="N663" s="859">
        <v>0.1</v>
      </c>
      <c r="O663" s="860" t="s">
        <v>1750</v>
      </c>
      <c r="P663" s="861">
        <v>320</v>
      </c>
      <c r="Q663" s="862" t="s">
        <v>179</v>
      </c>
      <c r="R663" s="861">
        <v>4100</v>
      </c>
      <c r="S663" s="862" t="s">
        <v>179</v>
      </c>
      <c r="T663" s="863" t="s">
        <v>1750</v>
      </c>
      <c r="U663" s="864" t="s">
        <v>43</v>
      </c>
      <c r="V663" s="863" t="s">
        <v>1750</v>
      </c>
      <c r="W663" s="864" t="s">
        <v>43</v>
      </c>
      <c r="X663" s="861">
        <v>82</v>
      </c>
      <c r="Y663" s="865" t="s">
        <v>179</v>
      </c>
      <c r="Z663" s="866" t="s">
        <v>43</v>
      </c>
      <c r="AA663" s="867">
        <v>4.4999999999999998E-2</v>
      </c>
      <c r="AB663" s="868" t="s">
        <v>179</v>
      </c>
      <c r="AC663" s="869" t="s">
        <v>1750</v>
      </c>
    </row>
    <row r="664" spans="1:29" ht="16.5" thickBot="1">
      <c r="A664" s="871" t="s">
        <v>1410</v>
      </c>
      <c r="B664" s="807" t="s">
        <v>1411</v>
      </c>
      <c r="C664" s="890">
        <v>3.3000000000000002E-2</v>
      </c>
      <c r="D664" s="874" t="s">
        <v>2463</v>
      </c>
      <c r="E664" s="847" t="s">
        <v>1750</v>
      </c>
      <c r="F664" s="873" t="s">
        <v>43</v>
      </c>
      <c r="G664" s="819">
        <v>0.04</v>
      </c>
      <c r="H664" s="874" t="s">
        <v>2463</v>
      </c>
      <c r="I664" s="847" t="s">
        <v>1750</v>
      </c>
      <c r="J664" s="873" t="s">
        <v>43</v>
      </c>
      <c r="K664" s="873" t="s">
        <v>43</v>
      </c>
      <c r="L664" s="873" t="s">
        <v>43</v>
      </c>
      <c r="M664" s="874">
        <v>1</v>
      </c>
      <c r="N664" s="874">
        <v>0.1</v>
      </c>
      <c r="O664" s="875" t="s">
        <v>1750</v>
      </c>
      <c r="P664" s="876">
        <v>17</v>
      </c>
      <c r="Q664" s="877" t="s">
        <v>2283</v>
      </c>
      <c r="R664" s="876">
        <v>70</v>
      </c>
      <c r="S664" s="877" t="s">
        <v>2283</v>
      </c>
      <c r="T664" s="878" t="s">
        <v>1750</v>
      </c>
      <c r="U664" s="879" t="s">
        <v>43</v>
      </c>
      <c r="V664" s="878" t="s">
        <v>1750</v>
      </c>
      <c r="W664" s="879" t="s">
        <v>43</v>
      </c>
      <c r="X664" s="876">
        <v>0.92</v>
      </c>
      <c r="Y664" s="880" t="s">
        <v>2283</v>
      </c>
      <c r="Z664" s="881" t="s">
        <v>43</v>
      </c>
      <c r="AA664" s="882">
        <v>6.8000000000000005E-2</v>
      </c>
      <c r="AB664" s="883" t="s">
        <v>2283</v>
      </c>
      <c r="AC664" s="884" t="s">
        <v>1750</v>
      </c>
    </row>
    <row r="665" spans="1:29" ht="15.75">
      <c r="A665" s="856" t="s">
        <v>1412</v>
      </c>
      <c r="B665" s="792" t="s">
        <v>1413</v>
      </c>
      <c r="C665" s="857" t="s">
        <v>1750</v>
      </c>
      <c r="D665" s="858" t="s">
        <v>43</v>
      </c>
      <c r="E665" s="843" t="s">
        <v>1750</v>
      </c>
      <c r="F665" s="858" t="s">
        <v>43</v>
      </c>
      <c r="G665" s="804">
        <v>2E-3</v>
      </c>
      <c r="H665" s="859" t="s">
        <v>280</v>
      </c>
      <c r="I665" s="843" t="s">
        <v>1750</v>
      </c>
      <c r="J665" s="858" t="s">
        <v>43</v>
      </c>
      <c r="K665" s="859" t="s">
        <v>1634</v>
      </c>
      <c r="L665" s="858" t="s">
        <v>43</v>
      </c>
      <c r="M665" s="859">
        <v>1</v>
      </c>
      <c r="N665" s="870" t="s">
        <v>1750</v>
      </c>
      <c r="O665" s="805">
        <v>111000</v>
      </c>
      <c r="P665" s="861">
        <v>160</v>
      </c>
      <c r="Q665" s="862" t="s">
        <v>179</v>
      </c>
      <c r="R665" s="861">
        <v>2300</v>
      </c>
      <c r="S665" s="862" t="s">
        <v>179</v>
      </c>
      <c r="T665" s="863" t="s">
        <v>1750</v>
      </c>
      <c r="U665" s="864" t="s">
        <v>43</v>
      </c>
      <c r="V665" s="863" t="s">
        <v>1750</v>
      </c>
      <c r="W665" s="864" t="s">
        <v>43</v>
      </c>
      <c r="X665" s="861">
        <v>40</v>
      </c>
      <c r="Y665" s="865" t="s">
        <v>179</v>
      </c>
      <c r="Z665" s="866" t="s">
        <v>43</v>
      </c>
      <c r="AA665" s="867">
        <v>8.0999999999999996E-3</v>
      </c>
      <c r="AB665" s="868" t="s">
        <v>179</v>
      </c>
      <c r="AC665" s="869" t="s">
        <v>1750</v>
      </c>
    </row>
    <row r="666" spans="1:29" ht="15.75">
      <c r="A666" s="856" t="s">
        <v>1414</v>
      </c>
      <c r="B666" s="792" t="s">
        <v>1415</v>
      </c>
      <c r="C666" s="857" t="s">
        <v>1750</v>
      </c>
      <c r="D666" s="858" t="s">
        <v>43</v>
      </c>
      <c r="E666" s="843" t="s">
        <v>1750</v>
      </c>
      <c r="F666" s="858" t="s">
        <v>43</v>
      </c>
      <c r="G666" s="804">
        <v>0.02</v>
      </c>
      <c r="H666" s="859" t="s">
        <v>280</v>
      </c>
      <c r="I666" s="843" t="s">
        <v>1750</v>
      </c>
      <c r="J666" s="858" t="s">
        <v>43</v>
      </c>
      <c r="K666" s="858" t="s">
        <v>43</v>
      </c>
      <c r="L666" s="858" t="s">
        <v>43</v>
      </c>
      <c r="M666" s="859">
        <v>1</v>
      </c>
      <c r="N666" s="859">
        <v>0.1</v>
      </c>
      <c r="O666" s="860" t="s">
        <v>1750</v>
      </c>
      <c r="P666" s="861">
        <v>1300</v>
      </c>
      <c r="Q666" s="862" t="s">
        <v>179</v>
      </c>
      <c r="R666" s="861">
        <v>16000</v>
      </c>
      <c r="S666" s="862" t="s">
        <v>179</v>
      </c>
      <c r="T666" s="863" t="s">
        <v>1750</v>
      </c>
      <c r="U666" s="864" t="s">
        <v>43</v>
      </c>
      <c r="V666" s="863" t="s">
        <v>1750</v>
      </c>
      <c r="W666" s="864" t="s">
        <v>43</v>
      </c>
      <c r="X666" s="861">
        <v>340</v>
      </c>
      <c r="Y666" s="865" t="s">
        <v>179</v>
      </c>
      <c r="Z666" s="866" t="s">
        <v>43</v>
      </c>
      <c r="AA666" s="867">
        <v>0.3</v>
      </c>
      <c r="AB666" s="868" t="s">
        <v>179</v>
      </c>
      <c r="AC666" s="869" t="s">
        <v>1750</v>
      </c>
    </row>
    <row r="667" spans="1:29" ht="16.5" thickBot="1">
      <c r="A667" s="871" t="s">
        <v>1416</v>
      </c>
      <c r="B667" s="807" t="s">
        <v>1417</v>
      </c>
      <c r="C667" s="872" t="s">
        <v>1750</v>
      </c>
      <c r="D667" s="873" t="s">
        <v>43</v>
      </c>
      <c r="E667" s="847" t="s">
        <v>1750</v>
      </c>
      <c r="F667" s="873" t="s">
        <v>43</v>
      </c>
      <c r="G667" s="819">
        <v>0.02</v>
      </c>
      <c r="H667" s="874" t="s">
        <v>280</v>
      </c>
      <c r="I667" s="847" t="s">
        <v>1750</v>
      </c>
      <c r="J667" s="873" t="s">
        <v>43</v>
      </c>
      <c r="K667" s="873" t="s">
        <v>43</v>
      </c>
      <c r="L667" s="873" t="s">
        <v>43</v>
      </c>
      <c r="M667" s="874">
        <v>1</v>
      </c>
      <c r="N667" s="874">
        <v>0.1</v>
      </c>
      <c r="O667" s="875" t="s">
        <v>1750</v>
      </c>
      <c r="P667" s="876">
        <v>1300</v>
      </c>
      <c r="Q667" s="877" t="s">
        <v>179</v>
      </c>
      <c r="R667" s="876">
        <v>16000</v>
      </c>
      <c r="S667" s="877" t="s">
        <v>179</v>
      </c>
      <c r="T667" s="878" t="s">
        <v>1750</v>
      </c>
      <c r="U667" s="879" t="s">
        <v>43</v>
      </c>
      <c r="V667" s="878" t="s">
        <v>1750</v>
      </c>
      <c r="W667" s="879" t="s">
        <v>43</v>
      </c>
      <c r="X667" s="876">
        <v>350</v>
      </c>
      <c r="Y667" s="880" t="s">
        <v>179</v>
      </c>
      <c r="Z667" s="881" t="s">
        <v>43</v>
      </c>
      <c r="AA667" s="882">
        <v>0.22</v>
      </c>
      <c r="AB667" s="883" t="s">
        <v>179</v>
      </c>
      <c r="AC667" s="884" t="s">
        <v>1750</v>
      </c>
    </row>
    <row r="668" spans="1:29" ht="30.75">
      <c r="A668" s="856" t="s">
        <v>1418</v>
      </c>
      <c r="B668" s="792" t="s">
        <v>1419</v>
      </c>
      <c r="C668" s="857" t="s">
        <v>1750</v>
      </c>
      <c r="D668" s="858" t="s">
        <v>43</v>
      </c>
      <c r="E668" s="843" t="s">
        <v>1750</v>
      </c>
      <c r="F668" s="858" t="s">
        <v>43</v>
      </c>
      <c r="G668" s="804">
        <v>0.1</v>
      </c>
      <c r="H668" s="859" t="s">
        <v>2463</v>
      </c>
      <c r="I668" s="843" t="s">
        <v>1750</v>
      </c>
      <c r="J668" s="858" t="s">
        <v>43</v>
      </c>
      <c r="K668" s="858" t="s">
        <v>43</v>
      </c>
      <c r="L668" s="858" t="s">
        <v>43</v>
      </c>
      <c r="M668" s="859">
        <v>1</v>
      </c>
      <c r="N668" s="859">
        <v>0.1</v>
      </c>
      <c r="O668" s="860" t="s">
        <v>1750</v>
      </c>
      <c r="P668" s="861">
        <v>6300</v>
      </c>
      <c r="Q668" s="862" t="s">
        <v>179</v>
      </c>
      <c r="R668" s="861">
        <v>82000</v>
      </c>
      <c r="S668" s="862" t="s">
        <v>179</v>
      </c>
      <c r="T668" s="863" t="s">
        <v>1750</v>
      </c>
      <c r="U668" s="864" t="s">
        <v>43</v>
      </c>
      <c r="V668" s="863" t="s">
        <v>1750</v>
      </c>
      <c r="W668" s="864" t="s">
        <v>43</v>
      </c>
      <c r="X668" s="861">
        <v>1600</v>
      </c>
      <c r="Y668" s="865" t="s">
        <v>179</v>
      </c>
      <c r="Z668" s="866" t="s">
        <v>43</v>
      </c>
      <c r="AA668" s="867">
        <v>5.3</v>
      </c>
      <c r="AB668" s="868" t="s">
        <v>179</v>
      </c>
      <c r="AC668" s="869" t="s">
        <v>1750</v>
      </c>
    </row>
    <row r="669" spans="1:29" ht="15.75">
      <c r="A669" s="856" t="s">
        <v>1420</v>
      </c>
      <c r="B669" s="792" t="s">
        <v>1421</v>
      </c>
      <c r="C669" s="857" t="s">
        <v>1750</v>
      </c>
      <c r="D669" s="858" t="s">
        <v>43</v>
      </c>
      <c r="E669" s="843" t="s">
        <v>1750</v>
      </c>
      <c r="F669" s="858" t="s">
        <v>43</v>
      </c>
      <c r="G669" s="843" t="s">
        <v>1750</v>
      </c>
      <c r="H669" s="858" t="s">
        <v>43</v>
      </c>
      <c r="I669" s="804">
        <v>8.0000000000000002E-3</v>
      </c>
      <c r="J669" s="859" t="s">
        <v>280</v>
      </c>
      <c r="K669" s="859" t="s">
        <v>1634</v>
      </c>
      <c r="L669" s="858" t="s">
        <v>43</v>
      </c>
      <c r="M669" s="859">
        <v>1</v>
      </c>
      <c r="N669" s="870" t="s">
        <v>1750</v>
      </c>
      <c r="O669" s="805">
        <v>32600</v>
      </c>
      <c r="P669" s="861">
        <v>75</v>
      </c>
      <c r="Q669" s="862" t="s">
        <v>179</v>
      </c>
      <c r="R669" s="861">
        <v>310</v>
      </c>
      <c r="S669" s="862" t="s">
        <v>179</v>
      </c>
      <c r="T669" s="861">
        <v>8.3000000000000007</v>
      </c>
      <c r="U669" s="862" t="s">
        <v>179</v>
      </c>
      <c r="V669" s="861">
        <v>35</v>
      </c>
      <c r="W669" s="862" t="s">
        <v>179</v>
      </c>
      <c r="X669" s="861">
        <v>17</v>
      </c>
      <c r="Y669" s="865" t="s">
        <v>179</v>
      </c>
      <c r="Z669" s="866" t="s">
        <v>43</v>
      </c>
      <c r="AA669" s="867">
        <v>3.3999999999999998E-3</v>
      </c>
      <c r="AB669" s="868" t="s">
        <v>179</v>
      </c>
      <c r="AC669" s="869" t="s">
        <v>1750</v>
      </c>
    </row>
    <row r="670" spans="1:29" ht="16.5" thickBot="1">
      <c r="A670" s="871" t="s">
        <v>1422</v>
      </c>
      <c r="B670" s="807" t="s">
        <v>1423</v>
      </c>
      <c r="C670" s="872" t="s">
        <v>1750</v>
      </c>
      <c r="D670" s="873" t="s">
        <v>43</v>
      </c>
      <c r="E670" s="847" t="s">
        <v>1750</v>
      </c>
      <c r="F670" s="873" t="s">
        <v>43</v>
      </c>
      <c r="G670" s="819">
        <v>0.1</v>
      </c>
      <c r="H670" s="874" t="s">
        <v>0</v>
      </c>
      <c r="I670" s="819">
        <v>1</v>
      </c>
      <c r="J670" s="874" t="s">
        <v>0</v>
      </c>
      <c r="K670" s="874" t="s">
        <v>1634</v>
      </c>
      <c r="L670" s="873" t="s">
        <v>43</v>
      </c>
      <c r="M670" s="874">
        <v>1</v>
      </c>
      <c r="N670" s="888" t="s">
        <v>1750</v>
      </c>
      <c r="O670" s="820">
        <v>264</v>
      </c>
      <c r="P670" s="876">
        <v>3800</v>
      </c>
      <c r="Q670" s="877" t="s">
        <v>2282</v>
      </c>
      <c r="R670" s="876">
        <v>24000</v>
      </c>
      <c r="S670" s="877" t="s">
        <v>2282</v>
      </c>
      <c r="T670" s="876">
        <v>1000</v>
      </c>
      <c r="U670" s="877" t="s">
        <v>179</v>
      </c>
      <c r="V670" s="876">
        <v>4400</v>
      </c>
      <c r="W670" s="877" t="s">
        <v>179</v>
      </c>
      <c r="X670" s="876">
        <v>660</v>
      </c>
      <c r="Y670" s="880" t="s">
        <v>179</v>
      </c>
      <c r="Z670" s="881" t="s">
        <v>43</v>
      </c>
      <c r="AA670" s="882">
        <v>1.2</v>
      </c>
      <c r="AB670" s="883" t="s">
        <v>179</v>
      </c>
      <c r="AC670" s="884" t="s">
        <v>1750</v>
      </c>
    </row>
    <row r="671" spans="1:29" ht="15.75">
      <c r="A671" s="856" t="s">
        <v>1424</v>
      </c>
      <c r="B671" s="792" t="s">
        <v>1425</v>
      </c>
      <c r="C671" s="857" t="s">
        <v>1750</v>
      </c>
      <c r="D671" s="858" t="s">
        <v>43</v>
      </c>
      <c r="E671" s="843" t="s">
        <v>1750</v>
      </c>
      <c r="F671" s="858" t="s">
        <v>43</v>
      </c>
      <c r="G671" s="843" t="s">
        <v>1750</v>
      </c>
      <c r="H671" s="858" t="s">
        <v>43</v>
      </c>
      <c r="I671" s="804">
        <v>3</v>
      </c>
      <c r="J671" s="859" t="s">
        <v>3</v>
      </c>
      <c r="K671" s="859" t="s">
        <v>1634</v>
      </c>
      <c r="L671" s="858" t="s">
        <v>43</v>
      </c>
      <c r="M671" s="859">
        <v>1</v>
      </c>
      <c r="N671" s="870" t="s">
        <v>1750</v>
      </c>
      <c r="O671" s="805">
        <v>349</v>
      </c>
      <c r="P671" s="861">
        <v>2200</v>
      </c>
      <c r="Q671" s="862" t="s">
        <v>2282</v>
      </c>
      <c r="R671" s="861">
        <v>9300</v>
      </c>
      <c r="S671" s="862" t="s">
        <v>2282</v>
      </c>
      <c r="T671" s="861">
        <v>3100</v>
      </c>
      <c r="U671" s="862" t="s">
        <v>179</v>
      </c>
      <c r="V671" s="861">
        <v>13000</v>
      </c>
      <c r="W671" s="862" t="s">
        <v>179</v>
      </c>
      <c r="X671" s="861">
        <v>6300</v>
      </c>
      <c r="Y671" s="865" t="s">
        <v>179</v>
      </c>
      <c r="Z671" s="866" t="s">
        <v>43</v>
      </c>
      <c r="AA671" s="867">
        <v>6</v>
      </c>
      <c r="AB671" s="868" t="s">
        <v>179</v>
      </c>
      <c r="AC671" s="869" t="s">
        <v>1750</v>
      </c>
    </row>
    <row r="672" spans="1:29" ht="15.75">
      <c r="A672" s="856" t="s">
        <v>1426</v>
      </c>
      <c r="B672" s="792" t="s">
        <v>1427</v>
      </c>
      <c r="C672" s="857" t="s">
        <v>1750</v>
      </c>
      <c r="D672" s="858" t="s">
        <v>43</v>
      </c>
      <c r="E672" s="843" t="s">
        <v>1750</v>
      </c>
      <c r="F672" s="858" t="s">
        <v>43</v>
      </c>
      <c r="G672" s="804">
        <v>20</v>
      </c>
      <c r="H672" s="859" t="s">
        <v>281</v>
      </c>
      <c r="I672" s="843" t="s">
        <v>1750</v>
      </c>
      <c r="J672" s="858" t="s">
        <v>43</v>
      </c>
      <c r="K672" s="858" t="s">
        <v>43</v>
      </c>
      <c r="L672" s="858" t="s">
        <v>43</v>
      </c>
      <c r="M672" s="859">
        <v>1</v>
      </c>
      <c r="N672" s="859">
        <v>0.1</v>
      </c>
      <c r="O672" s="860" t="s">
        <v>1750</v>
      </c>
      <c r="P672" s="861">
        <v>1300000</v>
      </c>
      <c r="Q672" s="862" t="s">
        <v>2281</v>
      </c>
      <c r="R672" s="861">
        <v>16000000</v>
      </c>
      <c r="S672" s="862" t="s">
        <v>2281</v>
      </c>
      <c r="T672" s="863" t="s">
        <v>1750</v>
      </c>
      <c r="U672" s="864" t="s">
        <v>43</v>
      </c>
      <c r="V672" s="863" t="s">
        <v>1750</v>
      </c>
      <c r="W672" s="864" t="s">
        <v>43</v>
      </c>
      <c r="X672" s="861">
        <v>400000</v>
      </c>
      <c r="Y672" s="865" t="s">
        <v>179</v>
      </c>
      <c r="Z672" s="866" t="s">
        <v>43</v>
      </c>
      <c r="AA672" s="867">
        <v>81</v>
      </c>
      <c r="AB672" s="868" t="s">
        <v>179</v>
      </c>
      <c r="AC672" s="869" t="s">
        <v>1750</v>
      </c>
    </row>
    <row r="673" spans="1:29" ht="31.5" thickBot="1">
      <c r="A673" s="871" t="s">
        <v>1428</v>
      </c>
      <c r="B673" s="807" t="s">
        <v>1429</v>
      </c>
      <c r="C673" s="872" t="s">
        <v>1750</v>
      </c>
      <c r="D673" s="873" t="s">
        <v>43</v>
      </c>
      <c r="E673" s="847" t="s">
        <v>1750</v>
      </c>
      <c r="F673" s="873" t="s">
        <v>43</v>
      </c>
      <c r="G673" s="847" t="s">
        <v>1750</v>
      </c>
      <c r="H673" s="873" t="s">
        <v>43</v>
      </c>
      <c r="I673" s="819">
        <v>2.7E-4</v>
      </c>
      <c r="J673" s="874" t="s">
        <v>18</v>
      </c>
      <c r="K673" s="873" t="s">
        <v>43</v>
      </c>
      <c r="L673" s="873" t="s">
        <v>43</v>
      </c>
      <c r="M673" s="874">
        <v>1</v>
      </c>
      <c r="N673" s="874">
        <v>0.1</v>
      </c>
      <c r="O673" s="875" t="s">
        <v>1750</v>
      </c>
      <c r="P673" s="876">
        <v>390000</v>
      </c>
      <c r="Q673" s="877" t="s">
        <v>2281</v>
      </c>
      <c r="R673" s="876">
        <v>1600000</v>
      </c>
      <c r="S673" s="877" t="s">
        <v>2281</v>
      </c>
      <c r="T673" s="876">
        <v>0.28000000000000003</v>
      </c>
      <c r="U673" s="877" t="s">
        <v>179</v>
      </c>
      <c r="V673" s="876">
        <v>1.2</v>
      </c>
      <c r="W673" s="877" t="s">
        <v>179</v>
      </c>
      <c r="X673" s="878" t="s">
        <v>1750</v>
      </c>
      <c r="Y673" s="896" t="s">
        <v>43</v>
      </c>
      <c r="Z673" s="881" t="s">
        <v>43</v>
      </c>
      <c r="AA673" s="895" t="s">
        <v>1750</v>
      </c>
      <c r="AB673" s="897" t="s">
        <v>43</v>
      </c>
      <c r="AC673" s="884" t="s">
        <v>1750</v>
      </c>
    </row>
    <row r="674" spans="1:29" ht="30.75">
      <c r="A674" s="856" t="s">
        <v>1430</v>
      </c>
      <c r="B674" s="792" t="s">
        <v>1431</v>
      </c>
      <c r="C674" s="857" t="s">
        <v>1750</v>
      </c>
      <c r="D674" s="858" t="s">
        <v>43</v>
      </c>
      <c r="E674" s="843" t="s">
        <v>1750</v>
      </c>
      <c r="F674" s="858" t="s">
        <v>43</v>
      </c>
      <c r="G674" s="804">
        <v>0.7</v>
      </c>
      <c r="H674" s="859" t="s">
        <v>13</v>
      </c>
      <c r="I674" s="804">
        <v>2</v>
      </c>
      <c r="J674" s="859" t="s">
        <v>280</v>
      </c>
      <c r="K674" s="859" t="s">
        <v>1634</v>
      </c>
      <c r="L674" s="858" t="s">
        <v>43</v>
      </c>
      <c r="M674" s="859">
        <v>1</v>
      </c>
      <c r="N674" s="870" t="s">
        <v>1750</v>
      </c>
      <c r="O674" s="805">
        <v>106000</v>
      </c>
      <c r="P674" s="861">
        <v>41000</v>
      </c>
      <c r="Q674" s="862" t="s">
        <v>179</v>
      </c>
      <c r="R674" s="861">
        <v>370000</v>
      </c>
      <c r="S674" s="862" t="s">
        <v>2280</v>
      </c>
      <c r="T674" s="861">
        <v>2100</v>
      </c>
      <c r="U674" s="862" t="s">
        <v>179</v>
      </c>
      <c r="V674" s="861">
        <v>8800</v>
      </c>
      <c r="W674" s="862" t="s">
        <v>179</v>
      </c>
      <c r="X674" s="861">
        <v>3200</v>
      </c>
      <c r="Y674" s="865" t="s">
        <v>179</v>
      </c>
      <c r="Z674" s="866" t="s">
        <v>43</v>
      </c>
      <c r="AA674" s="867">
        <v>0.65</v>
      </c>
      <c r="AB674" s="868" t="s">
        <v>179</v>
      </c>
      <c r="AC674" s="869" t="s">
        <v>1750</v>
      </c>
    </row>
    <row r="675" spans="1:29" ht="15.75">
      <c r="A675" s="856" t="s">
        <v>1432</v>
      </c>
      <c r="B675" s="792" t="s">
        <v>1433</v>
      </c>
      <c r="C675" s="889">
        <v>0.24</v>
      </c>
      <c r="D675" s="859" t="s">
        <v>280</v>
      </c>
      <c r="E675" s="804">
        <v>3.7000000000000002E-6</v>
      </c>
      <c r="F675" s="859" t="s">
        <v>280</v>
      </c>
      <c r="G675" s="843" t="s">
        <v>1750</v>
      </c>
      <c r="H675" s="858" t="s">
        <v>43</v>
      </c>
      <c r="I675" s="804">
        <v>0.03</v>
      </c>
      <c r="J675" s="859" t="s">
        <v>280</v>
      </c>
      <c r="K675" s="859" t="s">
        <v>1634</v>
      </c>
      <c r="L675" s="858" t="s">
        <v>43</v>
      </c>
      <c r="M675" s="859">
        <v>1</v>
      </c>
      <c r="N675" s="870" t="s">
        <v>1750</v>
      </c>
      <c r="O675" s="805">
        <v>77700</v>
      </c>
      <c r="P675" s="861">
        <v>2.1</v>
      </c>
      <c r="Q675" s="862" t="s">
        <v>2283</v>
      </c>
      <c r="R675" s="861">
        <v>9.6999999999999993</v>
      </c>
      <c r="S675" s="862" t="s">
        <v>2283</v>
      </c>
      <c r="T675" s="861">
        <v>0.76</v>
      </c>
      <c r="U675" s="862" t="s">
        <v>2279</v>
      </c>
      <c r="V675" s="861">
        <v>3.3</v>
      </c>
      <c r="W675" s="862" t="s">
        <v>2279</v>
      </c>
      <c r="X675" s="861">
        <v>0.27</v>
      </c>
      <c r="Y675" s="865" t="s">
        <v>2283</v>
      </c>
      <c r="Z675" s="866" t="s">
        <v>43</v>
      </c>
      <c r="AA675" s="867">
        <v>5.5999999999999999E-5</v>
      </c>
      <c r="AB675" s="868" t="s">
        <v>2283</v>
      </c>
      <c r="AC675" s="869" t="s">
        <v>1750</v>
      </c>
    </row>
    <row r="676" spans="1:29" ht="31.5" thickBot="1">
      <c r="A676" s="871" t="s">
        <v>2247</v>
      </c>
      <c r="B676" s="807" t="s">
        <v>1032</v>
      </c>
      <c r="C676" s="872" t="s">
        <v>1750</v>
      </c>
      <c r="D676" s="873" t="s">
        <v>43</v>
      </c>
      <c r="E676" s="847" t="s">
        <v>1750</v>
      </c>
      <c r="F676" s="873" t="s">
        <v>43</v>
      </c>
      <c r="G676" s="819">
        <v>7.4999999999999997E-2</v>
      </c>
      <c r="H676" s="874" t="s">
        <v>280</v>
      </c>
      <c r="I676" s="847" t="s">
        <v>1750</v>
      </c>
      <c r="J676" s="873" t="s">
        <v>43</v>
      </c>
      <c r="K676" s="873" t="s">
        <v>43</v>
      </c>
      <c r="L676" s="873" t="s">
        <v>43</v>
      </c>
      <c r="M676" s="874">
        <v>1</v>
      </c>
      <c r="N676" s="874">
        <v>0.1</v>
      </c>
      <c r="O676" s="875" t="s">
        <v>1750</v>
      </c>
      <c r="P676" s="876">
        <v>4700</v>
      </c>
      <c r="Q676" s="877" t="s">
        <v>179</v>
      </c>
      <c r="R676" s="876">
        <v>62000</v>
      </c>
      <c r="S676" s="877" t="s">
        <v>179</v>
      </c>
      <c r="T676" s="878" t="s">
        <v>1750</v>
      </c>
      <c r="U676" s="879" t="s">
        <v>43</v>
      </c>
      <c r="V676" s="878" t="s">
        <v>1750</v>
      </c>
      <c r="W676" s="879" t="s">
        <v>43</v>
      </c>
      <c r="X676" s="876">
        <v>1200</v>
      </c>
      <c r="Y676" s="880" t="s">
        <v>179</v>
      </c>
      <c r="Z676" s="881" t="s">
        <v>43</v>
      </c>
      <c r="AA676" s="882">
        <v>1.2</v>
      </c>
      <c r="AB676" s="883" t="s">
        <v>179</v>
      </c>
      <c r="AC676" s="884" t="s">
        <v>1750</v>
      </c>
    </row>
    <row r="677" spans="1:29" ht="15.75">
      <c r="A677" s="856" t="s">
        <v>1436</v>
      </c>
      <c r="B677" s="792" t="s">
        <v>1437</v>
      </c>
      <c r="C677" s="857" t="s">
        <v>1750</v>
      </c>
      <c r="D677" s="858" t="s">
        <v>43</v>
      </c>
      <c r="E677" s="843" t="s">
        <v>1750</v>
      </c>
      <c r="F677" s="858" t="s">
        <v>43</v>
      </c>
      <c r="G677" s="804">
        <v>1E-3</v>
      </c>
      <c r="H677" s="859" t="s">
        <v>280</v>
      </c>
      <c r="I677" s="843" t="s">
        <v>1750</v>
      </c>
      <c r="J677" s="858" t="s">
        <v>43</v>
      </c>
      <c r="K677" s="859" t="s">
        <v>1634</v>
      </c>
      <c r="L677" s="858" t="s">
        <v>43</v>
      </c>
      <c r="M677" s="859">
        <v>1</v>
      </c>
      <c r="N677" s="870" t="s">
        <v>1750</v>
      </c>
      <c r="O677" s="805">
        <v>530000</v>
      </c>
      <c r="P677" s="861">
        <v>78</v>
      </c>
      <c r="Q677" s="862" t="s">
        <v>179</v>
      </c>
      <c r="R677" s="861">
        <v>1200</v>
      </c>
      <c r="S677" s="862" t="s">
        <v>179</v>
      </c>
      <c r="T677" s="863" t="s">
        <v>1750</v>
      </c>
      <c r="U677" s="864" t="s">
        <v>43</v>
      </c>
      <c r="V677" s="863" t="s">
        <v>1750</v>
      </c>
      <c r="W677" s="864" t="s">
        <v>43</v>
      </c>
      <c r="X677" s="861">
        <v>20</v>
      </c>
      <c r="Y677" s="865" t="s">
        <v>179</v>
      </c>
      <c r="Z677" s="866" t="s">
        <v>43</v>
      </c>
      <c r="AA677" s="867">
        <v>6.7999999999999996E-3</v>
      </c>
      <c r="AB677" s="868" t="s">
        <v>179</v>
      </c>
      <c r="AC677" s="869" t="s">
        <v>1750</v>
      </c>
    </row>
    <row r="678" spans="1:29" ht="30.75">
      <c r="A678" s="856" t="s">
        <v>1438</v>
      </c>
      <c r="B678" s="792" t="s">
        <v>1439</v>
      </c>
      <c r="C678" s="857" t="s">
        <v>1750</v>
      </c>
      <c r="D678" s="858" t="s">
        <v>43</v>
      </c>
      <c r="E678" s="843" t="s">
        <v>1750</v>
      </c>
      <c r="F678" s="858" t="s">
        <v>43</v>
      </c>
      <c r="G678" s="804">
        <v>5.0000000000000001E-4</v>
      </c>
      <c r="H678" s="859" t="s">
        <v>280</v>
      </c>
      <c r="I678" s="843" t="s">
        <v>1750</v>
      </c>
      <c r="J678" s="858" t="s">
        <v>43</v>
      </c>
      <c r="K678" s="858" t="s">
        <v>43</v>
      </c>
      <c r="L678" s="858" t="s">
        <v>43</v>
      </c>
      <c r="M678" s="859">
        <v>1</v>
      </c>
      <c r="N678" s="859">
        <v>0.1</v>
      </c>
      <c r="O678" s="860" t="s">
        <v>1750</v>
      </c>
      <c r="P678" s="861">
        <v>32</v>
      </c>
      <c r="Q678" s="862" t="s">
        <v>179</v>
      </c>
      <c r="R678" s="861">
        <v>410</v>
      </c>
      <c r="S678" s="862" t="s">
        <v>179</v>
      </c>
      <c r="T678" s="863" t="s">
        <v>1750</v>
      </c>
      <c r="U678" s="864" t="s">
        <v>43</v>
      </c>
      <c r="V678" s="863" t="s">
        <v>1750</v>
      </c>
      <c r="W678" s="864" t="s">
        <v>43</v>
      </c>
      <c r="X678" s="861">
        <v>5.0999999999999996</v>
      </c>
      <c r="Y678" s="865" t="s">
        <v>179</v>
      </c>
      <c r="Z678" s="866" t="s">
        <v>43</v>
      </c>
      <c r="AA678" s="867">
        <v>4.2999999999999997E-2</v>
      </c>
      <c r="AB678" s="868" t="s">
        <v>179</v>
      </c>
      <c r="AC678" s="869" t="s">
        <v>1750</v>
      </c>
    </row>
    <row r="679" spans="1:29" ht="16.5" thickBot="1">
      <c r="A679" s="871" t="s">
        <v>1440</v>
      </c>
      <c r="B679" s="807" t="s">
        <v>1441</v>
      </c>
      <c r="C679" s="890">
        <v>3</v>
      </c>
      <c r="D679" s="874" t="s">
        <v>280</v>
      </c>
      <c r="E679" s="847" t="s">
        <v>1750</v>
      </c>
      <c r="F679" s="873" t="s">
        <v>43</v>
      </c>
      <c r="G679" s="847" t="s">
        <v>1750</v>
      </c>
      <c r="H679" s="873" t="s">
        <v>43</v>
      </c>
      <c r="I679" s="847" t="s">
        <v>1750</v>
      </c>
      <c r="J679" s="873" t="s">
        <v>43</v>
      </c>
      <c r="K679" s="873" t="s">
        <v>43</v>
      </c>
      <c r="L679" s="873" t="s">
        <v>43</v>
      </c>
      <c r="M679" s="874">
        <v>1</v>
      </c>
      <c r="N679" s="874">
        <v>0.1</v>
      </c>
      <c r="O679" s="875" t="s">
        <v>1750</v>
      </c>
      <c r="P679" s="876">
        <v>0.18</v>
      </c>
      <c r="Q679" s="877" t="s">
        <v>2283</v>
      </c>
      <c r="R679" s="876">
        <v>0.77</v>
      </c>
      <c r="S679" s="877" t="s">
        <v>2283</v>
      </c>
      <c r="T679" s="878" t="s">
        <v>1750</v>
      </c>
      <c r="U679" s="879" t="s">
        <v>43</v>
      </c>
      <c r="V679" s="878" t="s">
        <v>1750</v>
      </c>
      <c r="W679" s="879" t="s">
        <v>43</v>
      </c>
      <c r="X679" s="876">
        <v>2.4E-2</v>
      </c>
      <c r="Y679" s="880" t="s">
        <v>2283</v>
      </c>
      <c r="Z679" s="881" t="s">
        <v>43</v>
      </c>
      <c r="AA679" s="882">
        <v>7.7999999999999999E-5</v>
      </c>
      <c r="AB679" s="883" t="s">
        <v>2283</v>
      </c>
      <c r="AC679" s="884" t="s">
        <v>1750</v>
      </c>
    </row>
    <row r="680" spans="1:29" ht="30.75">
      <c r="A680" s="856" t="s">
        <v>2248</v>
      </c>
      <c r="B680" s="792" t="s">
        <v>425</v>
      </c>
      <c r="C680" s="857" t="s">
        <v>1750</v>
      </c>
      <c r="D680" s="858" t="s">
        <v>43</v>
      </c>
      <c r="E680" s="843" t="s">
        <v>1750</v>
      </c>
      <c r="F680" s="858" t="s">
        <v>43</v>
      </c>
      <c r="G680" s="804">
        <v>8.9999999999999993E-3</v>
      </c>
      <c r="H680" s="859" t="s">
        <v>280</v>
      </c>
      <c r="I680" s="843" t="s">
        <v>1750</v>
      </c>
      <c r="J680" s="858" t="s">
        <v>43</v>
      </c>
      <c r="K680" s="858" t="s">
        <v>43</v>
      </c>
      <c r="L680" s="858" t="s">
        <v>43</v>
      </c>
      <c r="M680" s="859">
        <v>1</v>
      </c>
      <c r="N680" s="859">
        <v>0.1</v>
      </c>
      <c r="O680" s="860" t="s">
        <v>1750</v>
      </c>
      <c r="P680" s="861">
        <v>570</v>
      </c>
      <c r="Q680" s="862" t="s">
        <v>179</v>
      </c>
      <c r="R680" s="861">
        <v>7400</v>
      </c>
      <c r="S680" s="862" t="s">
        <v>179</v>
      </c>
      <c r="T680" s="863" t="s">
        <v>1750</v>
      </c>
      <c r="U680" s="864" t="s">
        <v>43</v>
      </c>
      <c r="V680" s="863" t="s">
        <v>1750</v>
      </c>
      <c r="W680" s="864" t="s">
        <v>43</v>
      </c>
      <c r="X680" s="861">
        <v>120</v>
      </c>
      <c r="Y680" s="865" t="s">
        <v>179</v>
      </c>
      <c r="Z680" s="866" t="s">
        <v>43</v>
      </c>
      <c r="AA680" s="867">
        <v>1.9</v>
      </c>
      <c r="AB680" s="868" t="s">
        <v>179</v>
      </c>
      <c r="AC680" s="869" t="s">
        <v>1750</v>
      </c>
    </row>
    <row r="681" spans="1:29" ht="30.75">
      <c r="A681" s="856" t="s">
        <v>1442</v>
      </c>
      <c r="B681" s="792" t="s">
        <v>2433</v>
      </c>
      <c r="C681" s="857" t="s">
        <v>1750</v>
      </c>
      <c r="D681" s="858" t="s">
        <v>43</v>
      </c>
      <c r="E681" s="843" t="s">
        <v>1750</v>
      </c>
      <c r="F681" s="858" t="s">
        <v>43</v>
      </c>
      <c r="G681" s="843" t="s">
        <v>1750</v>
      </c>
      <c r="H681" s="858" t="s">
        <v>43</v>
      </c>
      <c r="I681" s="804">
        <v>0.03</v>
      </c>
      <c r="J681" s="859" t="s">
        <v>18</v>
      </c>
      <c r="K681" s="858" t="s">
        <v>43</v>
      </c>
      <c r="L681" s="858" t="s">
        <v>43</v>
      </c>
      <c r="M681" s="859">
        <v>1</v>
      </c>
      <c r="N681" s="870" t="s">
        <v>1750</v>
      </c>
      <c r="O681" s="860" t="s">
        <v>1750</v>
      </c>
      <c r="P681" s="861">
        <v>43000000</v>
      </c>
      <c r="Q681" s="862" t="s">
        <v>2281</v>
      </c>
      <c r="R681" s="861">
        <v>180000000</v>
      </c>
      <c r="S681" s="862" t="s">
        <v>2281</v>
      </c>
      <c r="T681" s="861">
        <v>31</v>
      </c>
      <c r="U681" s="862" t="s">
        <v>179</v>
      </c>
      <c r="V681" s="861">
        <v>130</v>
      </c>
      <c r="W681" s="862" t="s">
        <v>179</v>
      </c>
      <c r="X681" s="863" t="s">
        <v>1750</v>
      </c>
      <c r="Y681" s="885" t="s">
        <v>43</v>
      </c>
      <c r="Z681" s="866" t="s">
        <v>43</v>
      </c>
      <c r="AA681" s="886" t="s">
        <v>1750</v>
      </c>
      <c r="AB681" s="887" t="s">
        <v>43</v>
      </c>
      <c r="AC681" s="869" t="s">
        <v>1750</v>
      </c>
    </row>
    <row r="682" spans="1:29" ht="31.5" thickBot="1">
      <c r="A682" s="871" t="s">
        <v>1443</v>
      </c>
      <c r="B682" s="807" t="s">
        <v>1444</v>
      </c>
      <c r="C682" s="872" t="s">
        <v>1750</v>
      </c>
      <c r="D682" s="873" t="s">
        <v>43</v>
      </c>
      <c r="E682" s="847" t="s">
        <v>1750</v>
      </c>
      <c r="F682" s="873" t="s">
        <v>43</v>
      </c>
      <c r="G682" s="819">
        <v>0.03</v>
      </c>
      <c r="H682" s="874" t="s">
        <v>280</v>
      </c>
      <c r="I682" s="847" t="s">
        <v>1750</v>
      </c>
      <c r="J682" s="873" t="s">
        <v>43</v>
      </c>
      <c r="K682" s="873" t="s">
        <v>43</v>
      </c>
      <c r="L682" s="873" t="s">
        <v>43</v>
      </c>
      <c r="M682" s="874">
        <v>1</v>
      </c>
      <c r="N682" s="874">
        <v>0.1</v>
      </c>
      <c r="O682" s="875" t="s">
        <v>1750</v>
      </c>
      <c r="P682" s="876">
        <v>1900</v>
      </c>
      <c r="Q682" s="877" t="s">
        <v>179</v>
      </c>
      <c r="R682" s="876">
        <v>25000</v>
      </c>
      <c r="S682" s="877" t="s">
        <v>179</v>
      </c>
      <c r="T682" s="878" t="s">
        <v>1750</v>
      </c>
      <c r="U682" s="879" t="s">
        <v>43</v>
      </c>
      <c r="V682" s="878" t="s">
        <v>1750</v>
      </c>
      <c r="W682" s="879" t="s">
        <v>43</v>
      </c>
      <c r="X682" s="876">
        <v>67</v>
      </c>
      <c r="Y682" s="880" t="s">
        <v>179</v>
      </c>
      <c r="Z682" s="881" t="s">
        <v>43</v>
      </c>
      <c r="AA682" s="882">
        <v>42</v>
      </c>
      <c r="AB682" s="883" t="s">
        <v>179</v>
      </c>
      <c r="AC682" s="884" t="s">
        <v>1750</v>
      </c>
    </row>
    <row r="683" spans="1:29" ht="15.75">
      <c r="A683" s="856" t="s">
        <v>1445</v>
      </c>
      <c r="B683" s="792" t="s">
        <v>1446</v>
      </c>
      <c r="C683" s="857" t="s">
        <v>1750</v>
      </c>
      <c r="D683" s="858" t="s">
        <v>43</v>
      </c>
      <c r="E683" s="843" t="s">
        <v>1750</v>
      </c>
      <c r="F683" s="858" t="s">
        <v>43</v>
      </c>
      <c r="G683" s="804">
        <v>0.05</v>
      </c>
      <c r="H683" s="859" t="s">
        <v>13</v>
      </c>
      <c r="I683" s="843" t="s">
        <v>1750</v>
      </c>
      <c r="J683" s="858" t="s">
        <v>43</v>
      </c>
      <c r="K683" s="859" t="s">
        <v>1634</v>
      </c>
      <c r="L683" s="858" t="s">
        <v>43</v>
      </c>
      <c r="M683" s="859">
        <v>1</v>
      </c>
      <c r="N683" s="870" t="s">
        <v>1750</v>
      </c>
      <c r="O683" s="860" t="s">
        <v>1750</v>
      </c>
      <c r="P683" s="861">
        <v>3900</v>
      </c>
      <c r="Q683" s="862" t="s">
        <v>179</v>
      </c>
      <c r="R683" s="861">
        <v>58000</v>
      </c>
      <c r="S683" s="862" t="s">
        <v>179</v>
      </c>
      <c r="T683" s="863" t="s">
        <v>1750</v>
      </c>
      <c r="U683" s="864" t="s">
        <v>43</v>
      </c>
      <c r="V683" s="863" t="s">
        <v>1750</v>
      </c>
      <c r="W683" s="864" t="s">
        <v>43</v>
      </c>
      <c r="X683" s="861">
        <v>410</v>
      </c>
      <c r="Y683" s="865" t="s">
        <v>179</v>
      </c>
      <c r="Z683" s="866" t="s">
        <v>43</v>
      </c>
      <c r="AA683" s="867">
        <v>3.7</v>
      </c>
      <c r="AB683" s="868" t="s">
        <v>179</v>
      </c>
      <c r="AC683" s="869" t="s">
        <v>1750</v>
      </c>
    </row>
    <row r="684" spans="1:29" ht="15.75">
      <c r="A684" s="856" t="s">
        <v>1447</v>
      </c>
      <c r="B684" s="792" t="s">
        <v>1448</v>
      </c>
      <c r="C684" s="857" t="s">
        <v>1750</v>
      </c>
      <c r="D684" s="858" t="s">
        <v>43</v>
      </c>
      <c r="E684" s="843" t="s">
        <v>1750</v>
      </c>
      <c r="F684" s="858" t="s">
        <v>43</v>
      </c>
      <c r="G684" s="804">
        <v>4.0000000000000001E-3</v>
      </c>
      <c r="H684" s="859" t="s">
        <v>280</v>
      </c>
      <c r="I684" s="843" t="s">
        <v>1750</v>
      </c>
      <c r="J684" s="858" t="s">
        <v>43</v>
      </c>
      <c r="K684" s="858" t="s">
        <v>43</v>
      </c>
      <c r="L684" s="858" t="s">
        <v>43</v>
      </c>
      <c r="M684" s="859">
        <v>1</v>
      </c>
      <c r="N684" s="859">
        <v>0.1</v>
      </c>
      <c r="O684" s="860" t="s">
        <v>1750</v>
      </c>
      <c r="P684" s="861">
        <v>250</v>
      </c>
      <c r="Q684" s="862" t="s">
        <v>179</v>
      </c>
      <c r="R684" s="861">
        <v>3300</v>
      </c>
      <c r="S684" s="862" t="s">
        <v>179</v>
      </c>
      <c r="T684" s="863" t="s">
        <v>1750</v>
      </c>
      <c r="U684" s="864" t="s">
        <v>43</v>
      </c>
      <c r="V684" s="863" t="s">
        <v>1750</v>
      </c>
      <c r="W684" s="864" t="s">
        <v>43</v>
      </c>
      <c r="X684" s="861">
        <v>61</v>
      </c>
      <c r="Y684" s="865" t="s">
        <v>179</v>
      </c>
      <c r="Z684" s="866" t="s">
        <v>43</v>
      </c>
      <c r="AA684" s="867">
        <v>32</v>
      </c>
      <c r="AB684" s="868" t="s">
        <v>179</v>
      </c>
      <c r="AC684" s="869" t="s">
        <v>1750</v>
      </c>
    </row>
    <row r="685" spans="1:29" ht="16.5" thickBot="1">
      <c r="A685" s="871" t="s">
        <v>1449</v>
      </c>
      <c r="B685" s="807" t="s">
        <v>1450</v>
      </c>
      <c r="C685" s="890">
        <v>0.22</v>
      </c>
      <c r="D685" s="874" t="s">
        <v>3</v>
      </c>
      <c r="E685" s="819">
        <v>6.3E-5</v>
      </c>
      <c r="F685" s="874" t="s">
        <v>3</v>
      </c>
      <c r="G685" s="847" t="s">
        <v>1750</v>
      </c>
      <c r="H685" s="873" t="s">
        <v>43</v>
      </c>
      <c r="I685" s="847" t="s">
        <v>1750</v>
      </c>
      <c r="J685" s="873" t="s">
        <v>43</v>
      </c>
      <c r="K685" s="873" t="s">
        <v>43</v>
      </c>
      <c r="L685" s="874" t="s">
        <v>247</v>
      </c>
      <c r="M685" s="874">
        <v>1</v>
      </c>
      <c r="N685" s="874">
        <v>0.1</v>
      </c>
      <c r="O685" s="875" t="s">
        <v>1750</v>
      </c>
      <c r="P685" s="876">
        <v>0.55000000000000004</v>
      </c>
      <c r="Q685" s="877" t="s">
        <v>2283</v>
      </c>
      <c r="R685" s="876">
        <v>10</v>
      </c>
      <c r="S685" s="877" t="s">
        <v>2283</v>
      </c>
      <c r="T685" s="876">
        <v>1.6E-2</v>
      </c>
      <c r="U685" s="877" t="s">
        <v>2283</v>
      </c>
      <c r="V685" s="876">
        <v>0.19</v>
      </c>
      <c r="W685" s="877" t="s">
        <v>2283</v>
      </c>
      <c r="X685" s="876">
        <v>9.6000000000000002E-2</v>
      </c>
      <c r="Y685" s="880" t="s">
        <v>2283</v>
      </c>
      <c r="Z685" s="881" t="s">
        <v>43</v>
      </c>
      <c r="AA685" s="882">
        <v>5.8999999999999998E-5</v>
      </c>
      <c r="AB685" s="883" t="s">
        <v>2283</v>
      </c>
      <c r="AC685" s="884" t="s">
        <v>1750</v>
      </c>
    </row>
    <row r="686" spans="1:29" ht="15.75">
      <c r="A686" s="856" t="s">
        <v>1452</v>
      </c>
      <c r="B686" s="792" t="s">
        <v>1453</v>
      </c>
      <c r="C686" s="857" t="s">
        <v>1750</v>
      </c>
      <c r="D686" s="858" t="s">
        <v>43</v>
      </c>
      <c r="E686" s="843" t="s">
        <v>1750</v>
      </c>
      <c r="F686" s="858" t="s">
        <v>43</v>
      </c>
      <c r="G686" s="804">
        <v>5.0000000000000001E-3</v>
      </c>
      <c r="H686" s="859" t="s">
        <v>280</v>
      </c>
      <c r="I686" s="843" t="s">
        <v>1750</v>
      </c>
      <c r="J686" s="858" t="s">
        <v>43</v>
      </c>
      <c r="K686" s="858" t="s">
        <v>43</v>
      </c>
      <c r="L686" s="858" t="s">
        <v>43</v>
      </c>
      <c r="M686" s="859">
        <v>1</v>
      </c>
      <c r="N686" s="870" t="s">
        <v>1750</v>
      </c>
      <c r="O686" s="860" t="s">
        <v>1750</v>
      </c>
      <c r="P686" s="861">
        <v>390</v>
      </c>
      <c r="Q686" s="862" t="s">
        <v>179</v>
      </c>
      <c r="R686" s="861">
        <v>5800</v>
      </c>
      <c r="S686" s="862" t="s">
        <v>179</v>
      </c>
      <c r="T686" s="863" t="s">
        <v>1750</v>
      </c>
      <c r="U686" s="864" t="s">
        <v>43</v>
      </c>
      <c r="V686" s="863" t="s">
        <v>1750</v>
      </c>
      <c r="W686" s="864" t="s">
        <v>43</v>
      </c>
      <c r="X686" s="861">
        <v>100</v>
      </c>
      <c r="Y686" s="865" t="s">
        <v>179</v>
      </c>
      <c r="Z686" s="866" t="s">
        <v>43</v>
      </c>
      <c r="AA686" s="886" t="s">
        <v>1750</v>
      </c>
      <c r="AB686" s="868" t="s">
        <v>179</v>
      </c>
      <c r="AC686" s="869" t="s">
        <v>1750</v>
      </c>
    </row>
    <row r="687" spans="1:29" ht="15.75">
      <c r="A687" s="856" t="s">
        <v>1454</v>
      </c>
      <c r="B687" s="792" t="s">
        <v>1455</v>
      </c>
      <c r="C687" s="857" t="s">
        <v>1750</v>
      </c>
      <c r="D687" s="858" t="s">
        <v>43</v>
      </c>
      <c r="E687" s="843" t="s">
        <v>1750</v>
      </c>
      <c r="F687" s="858" t="s">
        <v>43</v>
      </c>
      <c r="G687" s="804">
        <v>5.0000000000000001E-3</v>
      </c>
      <c r="H687" s="859" t="s">
        <v>280</v>
      </c>
      <c r="I687" s="804">
        <v>0.02</v>
      </c>
      <c r="J687" s="859" t="s">
        <v>3</v>
      </c>
      <c r="K687" s="858" t="s">
        <v>43</v>
      </c>
      <c r="L687" s="858" t="s">
        <v>43</v>
      </c>
      <c r="M687" s="859">
        <v>1</v>
      </c>
      <c r="N687" s="870" t="s">
        <v>1750</v>
      </c>
      <c r="O687" s="860" t="s">
        <v>1750</v>
      </c>
      <c r="P687" s="861">
        <v>390</v>
      </c>
      <c r="Q687" s="862" t="s">
        <v>179</v>
      </c>
      <c r="R687" s="861">
        <v>5800</v>
      </c>
      <c r="S687" s="862" t="s">
        <v>179</v>
      </c>
      <c r="T687" s="861">
        <v>21</v>
      </c>
      <c r="U687" s="862" t="s">
        <v>179</v>
      </c>
      <c r="V687" s="861">
        <v>88</v>
      </c>
      <c r="W687" s="862" t="s">
        <v>179</v>
      </c>
      <c r="X687" s="861">
        <v>100</v>
      </c>
      <c r="Y687" s="865" t="s">
        <v>179</v>
      </c>
      <c r="Z687" s="891">
        <v>50</v>
      </c>
      <c r="AA687" s="867">
        <v>0.52</v>
      </c>
      <c r="AB687" s="868" t="s">
        <v>179</v>
      </c>
      <c r="AC687" s="892">
        <v>0.26</v>
      </c>
    </row>
    <row r="688" spans="1:29" ht="16.5" thickBot="1">
      <c r="A688" s="871" t="s">
        <v>1456</v>
      </c>
      <c r="B688" s="807" t="s">
        <v>1457</v>
      </c>
      <c r="C688" s="872" t="s">
        <v>1750</v>
      </c>
      <c r="D688" s="873" t="s">
        <v>43</v>
      </c>
      <c r="E688" s="847" t="s">
        <v>1750</v>
      </c>
      <c r="F688" s="873" t="s">
        <v>43</v>
      </c>
      <c r="G688" s="819">
        <v>5.0000000000000001E-3</v>
      </c>
      <c r="H688" s="874" t="s">
        <v>3</v>
      </c>
      <c r="I688" s="819">
        <v>0.02</v>
      </c>
      <c r="J688" s="874" t="s">
        <v>3</v>
      </c>
      <c r="K688" s="873" t="s">
        <v>43</v>
      </c>
      <c r="L688" s="873" t="s">
        <v>43</v>
      </c>
      <c r="M688" s="874">
        <v>1</v>
      </c>
      <c r="N688" s="888" t="s">
        <v>1750</v>
      </c>
      <c r="O688" s="875" t="s">
        <v>1750</v>
      </c>
      <c r="P688" s="876">
        <v>390</v>
      </c>
      <c r="Q688" s="877" t="s">
        <v>179</v>
      </c>
      <c r="R688" s="876">
        <v>5800</v>
      </c>
      <c r="S688" s="877" t="s">
        <v>179</v>
      </c>
      <c r="T688" s="876">
        <v>21</v>
      </c>
      <c r="U688" s="877" t="s">
        <v>179</v>
      </c>
      <c r="V688" s="876">
        <v>88</v>
      </c>
      <c r="W688" s="877" t="s">
        <v>179</v>
      </c>
      <c r="X688" s="876">
        <v>100</v>
      </c>
      <c r="Y688" s="880" t="s">
        <v>179</v>
      </c>
      <c r="Z688" s="881" t="s">
        <v>43</v>
      </c>
      <c r="AA688" s="895" t="s">
        <v>1750</v>
      </c>
      <c r="AB688" s="883" t="s">
        <v>179</v>
      </c>
      <c r="AC688" s="884" t="s">
        <v>1750</v>
      </c>
    </row>
    <row r="689" spans="1:29" ht="30.75">
      <c r="A689" s="856" t="s">
        <v>1458</v>
      </c>
      <c r="B689" s="792" t="s">
        <v>1459</v>
      </c>
      <c r="C689" s="857" t="s">
        <v>1750</v>
      </c>
      <c r="D689" s="858" t="s">
        <v>43</v>
      </c>
      <c r="E689" s="843" t="s">
        <v>1750</v>
      </c>
      <c r="F689" s="858" t="s">
        <v>43</v>
      </c>
      <c r="G689" s="804">
        <v>0.14000000000000001</v>
      </c>
      <c r="H689" s="859" t="s">
        <v>2463</v>
      </c>
      <c r="I689" s="843" t="s">
        <v>1750</v>
      </c>
      <c r="J689" s="858" t="s">
        <v>43</v>
      </c>
      <c r="K689" s="858" t="s">
        <v>43</v>
      </c>
      <c r="L689" s="858" t="s">
        <v>43</v>
      </c>
      <c r="M689" s="859">
        <v>1</v>
      </c>
      <c r="N689" s="859">
        <v>0.1</v>
      </c>
      <c r="O689" s="860" t="s">
        <v>1750</v>
      </c>
      <c r="P689" s="861">
        <v>8800</v>
      </c>
      <c r="Q689" s="862" t="s">
        <v>179</v>
      </c>
      <c r="R689" s="861">
        <v>110000</v>
      </c>
      <c r="S689" s="862" t="s">
        <v>2281</v>
      </c>
      <c r="T689" s="863" t="s">
        <v>1750</v>
      </c>
      <c r="U689" s="864" t="s">
        <v>43</v>
      </c>
      <c r="V689" s="863" t="s">
        <v>1750</v>
      </c>
      <c r="W689" s="864" t="s">
        <v>43</v>
      </c>
      <c r="X689" s="861">
        <v>1600</v>
      </c>
      <c r="Y689" s="865" t="s">
        <v>179</v>
      </c>
      <c r="Z689" s="866" t="s">
        <v>43</v>
      </c>
      <c r="AA689" s="867">
        <v>14</v>
      </c>
      <c r="AB689" s="868" t="s">
        <v>179</v>
      </c>
      <c r="AC689" s="869" t="s">
        <v>1750</v>
      </c>
    </row>
    <row r="690" spans="1:29" ht="30.75">
      <c r="A690" s="856" t="s">
        <v>1460</v>
      </c>
      <c r="B690" s="792" t="s">
        <v>1461</v>
      </c>
      <c r="C690" s="857" t="s">
        <v>1750</v>
      </c>
      <c r="D690" s="858" t="s">
        <v>43</v>
      </c>
      <c r="E690" s="843" t="s">
        <v>1750</v>
      </c>
      <c r="F690" s="858" t="s">
        <v>43</v>
      </c>
      <c r="G690" s="843" t="s">
        <v>1750</v>
      </c>
      <c r="H690" s="858" t="s">
        <v>43</v>
      </c>
      <c r="I690" s="804">
        <v>3.0000000000000001E-3</v>
      </c>
      <c r="J690" s="859" t="s">
        <v>3</v>
      </c>
      <c r="K690" s="858" t="s">
        <v>43</v>
      </c>
      <c r="L690" s="858" t="s">
        <v>43</v>
      </c>
      <c r="M690" s="859">
        <v>1</v>
      </c>
      <c r="N690" s="870" t="s">
        <v>1750</v>
      </c>
      <c r="O690" s="860" t="s">
        <v>1750</v>
      </c>
      <c r="P690" s="861">
        <v>4300000</v>
      </c>
      <c r="Q690" s="862" t="s">
        <v>2281</v>
      </c>
      <c r="R690" s="861">
        <v>18000000</v>
      </c>
      <c r="S690" s="862" t="s">
        <v>2281</v>
      </c>
      <c r="T690" s="861">
        <v>3.1</v>
      </c>
      <c r="U690" s="862" t="s">
        <v>179</v>
      </c>
      <c r="V690" s="861">
        <v>13</v>
      </c>
      <c r="W690" s="862" t="s">
        <v>179</v>
      </c>
      <c r="X690" s="863" t="s">
        <v>1750</v>
      </c>
      <c r="Y690" s="885" t="s">
        <v>43</v>
      </c>
      <c r="Z690" s="866" t="s">
        <v>43</v>
      </c>
      <c r="AA690" s="886" t="s">
        <v>1750</v>
      </c>
      <c r="AB690" s="887" t="s">
        <v>43</v>
      </c>
      <c r="AC690" s="869" t="s">
        <v>1750</v>
      </c>
    </row>
    <row r="691" spans="1:29" ht="16.5" thickBot="1">
      <c r="A691" s="871" t="s">
        <v>1462</v>
      </c>
      <c r="B691" s="807" t="s">
        <v>1463</v>
      </c>
      <c r="C691" s="872" t="s">
        <v>1750</v>
      </c>
      <c r="D691" s="873" t="s">
        <v>43</v>
      </c>
      <c r="E691" s="847" t="s">
        <v>1750</v>
      </c>
      <c r="F691" s="873" t="s">
        <v>43</v>
      </c>
      <c r="G691" s="819">
        <v>5.0000000000000001E-3</v>
      </c>
      <c r="H691" s="874" t="s">
        <v>280</v>
      </c>
      <c r="I691" s="847" t="s">
        <v>1750</v>
      </c>
      <c r="J691" s="873" t="s">
        <v>43</v>
      </c>
      <c r="K691" s="873" t="s">
        <v>43</v>
      </c>
      <c r="L691" s="873" t="s">
        <v>43</v>
      </c>
      <c r="M691" s="874">
        <v>0.04</v>
      </c>
      <c r="N691" s="888" t="s">
        <v>1750</v>
      </c>
      <c r="O691" s="875" t="s">
        <v>1750</v>
      </c>
      <c r="P691" s="876">
        <v>390</v>
      </c>
      <c r="Q691" s="877" t="s">
        <v>179</v>
      </c>
      <c r="R691" s="876">
        <v>5800</v>
      </c>
      <c r="S691" s="877" t="s">
        <v>179</v>
      </c>
      <c r="T691" s="878" t="s">
        <v>1750</v>
      </c>
      <c r="U691" s="879" t="s">
        <v>43</v>
      </c>
      <c r="V691" s="878" t="s">
        <v>1750</v>
      </c>
      <c r="W691" s="879" t="s">
        <v>43</v>
      </c>
      <c r="X691" s="876">
        <v>94</v>
      </c>
      <c r="Y691" s="880" t="s">
        <v>179</v>
      </c>
      <c r="Z691" s="881" t="s">
        <v>43</v>
      </c>
      <c r="AA691" s="882">
        <v>0.8</v>
      </c>
      <c r="AB691" s="883" t="s">
        <v>179</v>
      </c>
      <c r="AC691" s="884" t="s">
        <v>1750</v>
      </c>
    </row>
    <row r="692" spans="1:29" ht="15.75">
      <c r="A692" s="856" t="s">
        <v>1464</v>
      </c>
      <c r="B692" s="792" t="s">
        <v>1465</v>
      </c>
      <c r="C692" s="889">
        <v>0.12</v>
      </c>
      <c r="D692" s="859" t="s">
        <v>13</v>
      </c>
      <c r="E692" s="843" t="s">
        <v>1750</v>
      </c>
      <c r="F692" s="858" t="s">
        <v>43</v>
      </c>
      <c r="G692" s="804">
        <v>5.0000000000000001E-3</v>
      </c>
      <c r="H692" s="859" t="s">
        <v>280</v>
      </c>
      <c r="I692" s="843" t="s">
        <v>1750</v>
      </c>
      <c r="J692" s="858" t="s">
        <v>43</v>
      </c>
      <c r="K692" s="858" t="s">
        <v>43</v>
      </c>
      <c r="L692" s="858" t="s">
        <v>43</v>
      </c>
      <c r="M692" s="859">
        <v>1</v>
      </c>
      <c r="N692" s="859">
        <v>0.1</v>
      </c>
      <c r="O692" s="860" t="s">
        <v>1750</v>
      </c>
      <c r="P692" s="861">
        <v>4.5</v>
      </c>
      <c r="Q692" s="862" t="s">
        <v>2279</v>
      </c>
      <c r="R692" s="861">
        <v>19</v>
      </c>
      <c r="S692" s="862" t="s">
        <v>2283</v>
      </c>
      <c r="T692" s="863" t="s">
        <v>1750</v>
      </c>
      <c r="U692" s="864" t="s">
        <v>43</v>
      </c>
      <c r="V692" s="863" t="s">
        <v>1750</v>
      </c>
      <c r="W692" s="864" t="s">
        <v>43</v>
      </c>
      <c r="X692" s="861">
        <v>0.61</v>
      </c>
      <c r="Y692" s="865" t="s">
        <v>2283</v>
      </c>
      <c r="Z692" s="891">
        <v>4</v>
      </c>
      <c r="AA692" s="867">
        <v>2.9999999999999997E-4</v>
      </c>
      <c r="AB692" s="868" t="s">
        <v>2283</v>
      </c>
      <c r="AC692" s="892">
        <v>2E-3</v>
      </c>
    </row>
    <row r="693" spans="1:29" ht="30.75">
      <c r="A693" s="856" t="s">
        <v>1466</v>
      </c>
      <c r="B693" s="792" t="s">
        <v>1467</v>
      </c>
      <c r="C693" s="857" t="s">
        <v>1750</v>
      </c>
      <c r="D693" s="858" t="s">
        <v>43</v>
      </c>
      <c r="E693" s="843" t="s">
        <v>1750</v>
      </c>
      <c r="F693" s="858" t="s">
        <v>43</v>
      </c>
      <c r="G693" s="804">
        <v>1.2999999999999999E-2</v>
      </c>
      <c r="H693" s="859" t="s">
        <v>280</v>
      </c>
      <c r="I693" s="843" t="s">
        <v>1750</v>
      </c>
      <c r="J693" s="858" t="s">
        <v>43</v>
      </c>
      <c r="K693" s="858" t="s">
        <v>43</v>
      </c>
      <c r="L693" s="858" t="s">
        <v>43</v>
      </c>
      <c r="M693" s="859">
        <v>1</v>
      </c>
      <c r="N693" s="859">
        <v>0.1</v>
      </c>
      <c r="O693" s="860" t="s">
        <v>1750</v>
      </c>
      <c r="P693" s="861">
        <v>820</v>
      </c>
      <c r="Q693" s="862" t="s">
        <v>179</v>
      </c>
      <c r="R693" s="861">
        <v>11000</v>
      </c>
      <c r="S693" s="862" t="s">
        <v>179</v>
      </c>
      <c r="T693" s="863" t="s">
        <v>1750</v>
      </c>
      <c r="U693" s="864" t="s">
        <v>43</v>
      </c>
      <c r="V693" s="863" t="s">
        <v>1750</v>
      </c>
      <c r="W693" s="864" t="s">
        <v>43</v>
      </c>
      <c r="X693" s="861">
        <v>260</v>
      </c>
      <c r="Y693" s="865" t="s">
        <v>179</v>
      </c>
      <c r="Z693" s="866" t="s">
        <v>43</v>
      </c>
      <c r="AA693" s="867">
        <v>2.1</v>
      </c>
      <c r="AB693" s="868" t="s">
        <v>179</v>
      </c>
      <c r="AC693" s="869" t="s">
        <v>1750</v>
      </c>
    </row>
    <row r="694" spans="1:29" ht="31.5" thickBot="1">
      <c r="A694" s="871" t="s">
        <v>1468</v>
      </c>
      <c r="B694" s="807" t="s">
        <v>1469</v>
      </c>
      <c r="C694" s="872" t="s">
        <v>1750</v>
      </c>
      <c r="D694" s="873" t="s">
        <v>43</v>
      </c>
      <c r="E694" s="847" t="s">
        <v>1750</v>
      </c>
      <c r="F694" s="873" t="s">
        <v>43</v>
      </c>
      <c r="G694" s="819">
        <v>4.0000000000000001E-3</v>
      </c>
      <c r="H694" s="874" t="s">
        <v>280</v>
      </c>
      <c r="I694" s="847" t="s">
        <v>1750</v>
      </c>
      <c r="J694" s="873" t="s">
        <v>43</v>
      </c>
      <c r="K694" s="873" t="s">
        <v>43</v>
      </c>
      <c r="L694" s="873" t="s">
        <v>43</v>
      </c>
      <c r="M694" s="874">
        <v>1</v>
      </c>
      <c r="N694" s="888" t="s">
        <v>1750</v>
      </c>
      <c r="O694" s="875" t="s">
        <v>1750</v>
      </c>
      <c r="P694" s="876">
        <v>310</v>
      </c>
      <c r="Q694" s="877" t="s">
        <v>179</v>
      </c>
      <c r="R694" s="876">
        <v>4700</v>
      </c>
      <c r="S694" s="877" t="s">
        <v>179</v>
      </c>
      <c r="T694" s="878" t="s">
        <v>1750</v>
      </c>
      <c r="U694" s="879" t="s">
        <v>43</v>
      </c>
      <c r="V694" s="878" t="s">
        <v>1750</v>
      </c>
      <c r="W694" s="879" t="s">
        <v>43</v>
      </c>
      <c r="X694" s="876">
        <v>80</v>
      </c>
      <c r="Y694" s="880" t="s">
        <v>179</v>
      </c>
      <c r="Z694" s="881" t="s">
        <v>43</v>
      </c>
      <c r="AA694" s="895" t="s">
        <v>1750</v>
      </c>
      <c r="AB694" s="883" t="s">
        <v>179</v>
      </c>
      <c r="AC694" s="884" t="s">
        <v>1750</v>
      </c>
    </row>
    <row r="695" spans="1:29" ht="30.75">
      <c r="A695" s="856" t="s">
        <v>2249</v>
      </c>
      <c r="B695" s="792" t="s">
        <v>2250</v>
      </c>
      <c r="C695" s="889">
        <v>0.5</v>
      </c>
      <c r="D695" s="859" t="s">
        <v>3</v>
      </c>
      <c r="E695" s="804">
        <v>0.15</v>
      </c>
      <c r="F695" s="859" t="s">
        <v>3</v>
      </c>
      <c r="G695" s="804">
        <v>0.02</v>
      </c>
      <c r="H695" s="859" t="s">
        <v>3</v>
      </c>
      <c r="I695" s="804">
        <v>2.0000000000000001E-4</v>
      </c>
      <c r="J695" s="859" t="s">
        <v>3</v>
      </c>
      <c r="K695" s="858" t="s">
        <v>43</v>
      </c>
      <c r="L695" s="859" t="s">
        <v>247</v>
      </c>
      <c r="M695" s="859">
        <v>2.5000000000000001E-2</v>
      </c>
      <c r="N695" s="870" t="s">
        <v>1750</v>
      </c>
      <c r="O695" s="860" t="s">
        <v>1750</v>
      </c>
      <c r="P695" s="861">
        <v>0.3</v>
      </c>
      <c r="Q695" s="862" t="s">
        <v>2283</v>
      </c>
      <c r="R695" s="861">
        <v>6.2</v>
      </c>
      <c r="S695" s="862" t="s">
        <v>2283</v>
      </c>
      <c r="T695" s="861">
        <v>6.8000000000000001E-6</v>
      </c>
      <c r="U695" s="862" t="s">
        <v>2283</v>
      </c>
      <c r="V695" s="861">
        <v>8.2000000000000001E-5</v>
      </c>
      <c r="W695" s="862" t="s">
        <v>2283</v>
      </c>
      <c r="X695" s="861">
        <v>4.1000000000000002E-2</v>
      </c>
      <c r="Y695" s="865" t="s">
        <v>2283</v>
      </c>
      <c r="Z695" s="866" t="s">
        <v>43</v>
      </c>
      <c r="AA695" s="886" t="s">
        <v>1750</v>
      </c>
      <c r="AB695" s="868" t="s">
        <v>2283</v>
      </c>
      <c r="AC695" s="869" t="s">
        <v>1750</v>
      </c>
    </row>
    <row r="696" spans="1:29" ht="45.75">
      <c r="A696" s="856" t="s">
        <v>1470</v>
      </c>
      <c r="B696" s="792" t="s">
        <v>1471</v>
      </c>
      <c r="C696" s="889">
        <v>0.27</v>
      </c>
      <c r="D696" s="859" t="s">
        <v>13</v>
      </c>
      <c r="E696" s="843" t="s">
        <v>1750</v>
      </c>
      <c r="F696" s="858" t="s">
        <v>43</v>
      </c>
      <c r="G696" s="804">
        <v>0.03</v>
      </c>
      <c r="H696" s="859" t="s">
        <v>280</v>
      </c>
      <c r="I696" s="843" t="s">
        <v>1750</v>
      </c>
      <c r="J696" s="858" t="s">
        <v>43</v>
      </c>
      <c r="K696" s="858" t="s">
        <v>43</v>
      </c>
      <c r="L696" s="858" t="s">
        <v>43</v>
      </c>
      <c r="M696" s="859">
        <v>1</v>
      </c>
      <c r="N696" s="859">
        <v>0.1</v>
      </c>
      <c r="O696" s="860" t="s">
        <v>1750</v>
      </c>
      <c r="P696" s="861">
        <v>2</v>
      </c>
      <c r="Q696" s="862" t="s">
        <v>2283</v>
      </c>
      <c r="R696" s="861">
        <v>8.5</v>
      </c>
      <c r="S696" s="862" t="s">
        <v>2283</v>
      </c>
      <c r="T696" s="863" t="s">
        <v>1750</v>
      </c>
      <c r="U696" s="864" t="s">
        <v>43</v>
      </c>
      <c r="V696" s="863" t="s">
        <v>1750</v>
      </c>
      <c r="W696" s="864" t="s">
        <v>43</v>
      </c>
      <c r="X696" s="861">
        <v>0.28999999999999998</v>
      </c>
      <c r="Y696" s="865" t="s">
        <v>2283</v>
      </c>
      <c r="Z696" s="866" t="s">
        <v>43</v>
      </c>
      <c r="AA696" s="867">
        <v>1.8000000000000001E-4</v>
      </c>
      <c r="AB696" s="868" t="s">
        <v>2283</v>
      </c>
      <c r="AC696" s="869" t="s">
        <v>1750</v>
      </c>
    </row>
    <row r="697" spans="1:29" ht="16.5" thickBot="1">
      <c r="A697" s="871" t="s">
        <v>1472</v>
      </c>
      <c r="B697" s="807" t="s">
        <v>1473</v>
      </c>
      <c r="C697" s="872" t="s">
        <v>1750</v>
      </c>
      <c r="D697" s="873" t="s">
        <v>43</v>
      </c>
      <c r="E697" s="847" t="s">
        <v>1750</v>
      </c>
      <c r="F697" s="873" t="s">
        <v>43</v>
      </c>
      <c r="G697" s="819">
        <v>0.05</v>
      </c>
      <c r="H697" s="874" t="s">
        <v>18</v>
      </c>
      <c r="I697" s="819">
        <v>1.2999999999999999E-2</v>
      </c>
      <c r="J697" s="874" t="s">
        <v>3</v>
      </c>
      <c r="K697" s="873" t="s">
        <v>43</v>
      </c>
      <c r="L697" s="873" t="s">
        <v>43</v>
      </c>
      <c r="M697" s="874">
        <v>1</v>
      </c>
      <c r="N697" s="888" t="s">
        <v>1750</v>
      </c>
      <c r="O697" s="875" t="s">
        <v>1750</v>
      </c>
      <c r="P697" s="876">
        <v>3900</v>
      </c>
      <c r="Q697" s="877" t="s">
        <v>179</v>
      </c>
      <c r="R697" s="876">
        <v>58000</v>
      </c>
      <c r="S697" s="877" t="s">
        <v>179</v>
      </c>
      <c r="T697" s="876">
        <v>14</v>
      </c>
      <c r="U697" s="877" t="s">
        <v>179</v>
      </c>
      <c r="V697" s="876">
        <v>57</v>
      </c>
      <c r="W697" s="877" t="s">
        <v>179</v>
      </c>
      <c r="X697" s="876">
        <v>1000</v>
      </c>
      <c r="Y697" s="880" t="s">
        <v>179</v>
      </c>
      <c r="Z697" s="881" t="s">
        <v>43</v>
      </c>
      <c r="AA697" s="895" t="s">
        <v>1750</v>
      </c>
      <c r="AB697" s="883" t="s">
        <v>179</v>
      </c>
      <c r="AC697" s="884" t="s">
        <v>1750</v>
      </c>
    </row>
    <row r="698" spans="1:29" ht="30.75">
      <c r="A698" s="856" t="s">
        <v>1474</v>
      </c>
      <c r="B698" s="792" t="s">
        <v>1475</v>
      </c>
      <c r="C698" s="857" t="s">
        <v>1750</v>
      </c>
      <c r="D698" s="858" t="s">
        <v>43</v>
      </c>
      <c r="E698" s="843" t="s">
        <v>1750</v>
      </c>
      <c r="F698" s="858" t="s">
        <v>43</v>
      </c>
      <c r="G698" s="804">
        <v>2.0000000000000002E-5</v>
      </c>
      <c r="H698" s="859" t="s">
        <v>280</v>
      </c>
      <c r="I698" s="843" t="s">
        <v>1750</v>
      </c>
      <c r="J698" s="858" t="s">
        <v>43</v>
      </c>
      <c r="K698" s="858" t="s">
        <v>43</v>
      </c>
      <c r="L698" s="858" t="s">
        <v>43</v>
      </c>
      <c r="M698" s="859">
        <v>1</v>
      </c>
      <c r="N698" s="859">
        <v>0.1</v>
      </c>
      <c r="O698" s="860" t="s">
        <v>1750</v>
      </c>
      <c r="P698" s="861">
        <v>1.3</v>
      </c>
      <c r="Q698" s="862" t="s">
        <v>179</v>
      </c>
      <c r="R698" s="861">
        <v>16</v>
      </c>
      <c r="S698" s="862" t="s">
        <v>179</v>
      </c>
      <c r="T698" s="863" t="s">
        <v>1750</v>
      </c>
      <c r="U698" s="864" t="s">
        <v>43</v>
      </c>
      <c r="V698" s="863" t="s">
        <v>1750</v>
      </c>
      <c r="W698" s="864" t="s">
        <v>43</v>
      </c>
      <c r="X698" s="861">
        <v>0.4</v>
      </c>
      <c r="Y698" s="865" t="s">
        <v>179</v>
      </c>
      <c r="Z698" s="866" t="s">
        <v>43</v>
      </c>
      <c r="AA698" s="867">
        <v>8.1000000000000004E-5</v>
      </c>
      <c r="AB698" s="868" t="s">
        <v>179</v>
      </c>
      <c r="AC698" s="869" t="s">
        <v>1750</v>
      </c>
    </row>
    <row r="699" spans="1:29" ht="30.75">
      <c r="A699" s="856" t="s">
        <v>1476</v>
      </c>
      <c r="B699" s="792" t="s">
        <v>1477</v>
      </c>
      <c r="C699" s="857" t="s">
        <v>1750</v>
      </c>
      <c r="D699" s="858" t="s">
        <v>43</v>
      </c>
      <c r="E699" s="843" t="s">
        <v>1750</v>
      </c>
      <c r="F699" s="858" t="s">
        <v>43</v>
      </c>
      <c r="G699" s="804">
        <v>1E-3</v>
      </c>
      <c r="H699" s="859" t="s">
        <v>13</v>
      </c>
      <c r="I699" s="843" t="s">
        <v>1750</v>
      </c>
      <c r="J699" s="858" t="s">
        <v>43</v>
      </c>
      <c r="K699" s="858" t="s">
        <v>43</v>
      </c>
      <c r="L699" s="858" t="s">
        <v>43</v>
      </c>
      <c r="M699" s="859">
        <v>1</v>
      </c>
      <c r="N699" s="870" t="s">
        <v>1750</v>
      </c>
      <c r="O699" s="860" t="s">
        <v>1750</v>
      </c>
      <c r="P699" s="861">
        <v>78</v>
      </c>
      <c r="Q699" s="862" t="s">
        <v>179</v>
      </c>
      <c r="R699" s="861">
        <v>1200</v>
      </c>
      <c r="S699" s="862" t="s">
        <v>179</v>
      </c>
      <c r="T699" s="863" t="s">
        <v>1750</v>
      </c>
      <c r="U699" s="864" t="s">
        <v>43</v>
      </c>
      <c r="V699" s="863" t="s">
        <v>1750</v>
      </c>
      <c r="W699" s="864" t="s">
        <v>43</v>
      </c>
      <c r="X699" s="861">
        <v>20</v>
      </c>
      <c r="Y699" s="865" t="s">
        <v>179</v>
      </c>
      <c r="Z699" s="866" t="s">
        <v>43</v>
      </c>
      <c r="AA699" s="886" t="s">
        <v>1750</v>
      </c>
      <c r="AB699" s="868" t="s">
        <v>179</v>
      </c>
      <c r="AC699" s="869" t="s">
        <v>1750</v>
      </c>
    </row>
    <row r="700" spans="1:29" ht="31.5" thickBot="1">
      <c r="A700" s="871" t="s">
        <v>2251</v>
      </c>
      <c r="B700" s="807" t="s">
        <v>2252</v>
      </c>
      <c r="C700" s="872" t="s">
        <v>1750</v>
      </c>
      <c r="D700" s="873" t="s">
        <v>43</v>
      </c>
      <c r="E700" s="847" t="s">
        <v>1750</v>
      </c>
      <c r="F700" s="873" t="s">
        <v>43</v>
      </c>
      <c r="G700" s="819">
        <v>8.0000000000000004E-4</v>
      </c>
      <c r="H700" s="874" t="s">
        <v>281</v>
      </c>
      <c r="I700" s="847" t="s">
        <v>1750</v>
      </c>
      <c r="J700" s="873" t="s">
        <v>43</v>
      </c>
      <c r="K700" s="873" t="s">
        <v>43</v>
      </c>
      <c r="L700" s="873" t="s">
        <v>43</v>
      </c>
      <c r="M700" s="874">
        <v>1</v>
      </c>
      <c r="N700" s="888" t="s">
        <v>1750</v>
      </c>
      <c r="O700" s="875" t="s">
        <v>1750</v>
      </c>
      <c r="P700" s="876">
        <v>63</v>
      </c>
      <c r="Q700" s="877" t="s">
        <v>179</v>
      </c>
      <c r="R700" s="876">
        <v>930</v>
      </c>
      <c r="S700" s="877" t="s">
        <v>179</v>
      </c>
      <c r="T700" s="878" t="s">
        <v>1750</v>
      </c>
      <c r="U700" s="879" t="s">
        <v>43</v>
      </c>
      <c r="V700" s="878" t="s">
        <v>1750</v>
      </c>
      <c r="W700" s="879" t="s">
        <v>43</v>
      </c>
      <c r="X700" s="876">
        <v>16</v>
      </c>
      <c r="Y700" s="880" t="s">
        <v>179</v>
      </c>
      <c r="Z700" s="881" t="s">
        <v>43</v>
      </c>
      <c r="AA700" s="895" t="s">
        <v>1750</v>
      </c>
      <c r="AB700" s="883" t="s">
        <v>179</v>
      </c>
      <c r="AC700" s="884" t="s">
        <v>1750</v>
      </c>
    </row>
    <row r="701" spans="1:29" ht="30.75">
      <c r="A701" s="856" t="s">
        <v>2253</v>
      </c>
      <c r="B701" s="792" t="s">
        <v>2254</v>
      </c>
      <c r="C701" s="857" t="s">
        <v>1750</v>
      </c>
      <c r="D701" s="858" t="s">
        <v>43</v>
      </c>
      <c r="E701" s="843" t="s">
        <v>1750</v>
      </c>
      <c r="F701" s="858" t="s">
        <v>43</v>
      </c>
      <c r="G701" s="804">
        <v>8.0000000000000004E-4</v>
      </c>
      <c r="H701" s="859" t="s">
        <v>281</v>
      </c>
      <c r="I701" s="843" t="s">
        <v>1750</v>
      </c>
      <c r="J701" s="858" t="s">
        <v>43</v>
      </c>
      <c r="K701" s="858" t="s">
        <v>43</v>
      </c>
      <c r="L701" s="858" t="s">
        <v>43</v>
      </c>
      <c r="M701" s="859">
        <v>1</v>
      </c>
      <c r="N701" s="870" t="s">
        <v>1750</v>
      </c>
      <c r="O701" s="860" t="s">
        <v>1750</v>
      </c>
      <c r="P701" s="861">
        <v>63</v>
      </c>
      <c r="Q701" s="862" t="s">
        <v>179</v>
      </c>
      <c r="R701" s="861">
        <v>930</v>
      </c>
      <c r="S701" s="862" t="s">
        <v>179</v>
      </c>
      <c r="T701" s="863" t="s">
        <v>1750</v>
      </c>
      <c r="U701" s="864" t="s">
        <v>43</v>
      </c>
      <c r="V701" s="863" t="s">
        <v>1750</v>
      </c>
      <c r="W701" s="864" t="s">
        <v>43</v>
      </c>
      <c r="X701" s="861">
        <v>16</v>
      </c>
      <c r="Y701" s="865" t="s">
        <v>179</v>
      </c>
      <c r="Z701" s="866" t="s">
        <v>43</v>
      </c>
      <c r="AA701" s="886" t="s">
        <v>1750</v>
      </c>
      <c r="AB701" s="868" t="s">
        <v>179</v>
      </c>
      <c r="AC701" s="869" t="s">
        <v>1750</v>
      </c>
    </row>
    <row r="702" spans="1:29" ht="45.75">
      <c r="A702" s="856" t="s">
        <v>1479</v>
      </c>
      <c r="B702" s="792" t="s">
        <v>1480</v>
      </c>
      <c r="C702" s="889">
        <v>2.4E-2</v>
      </c>
      <c r="D702" s="859" t="s">
        <v>13</v>
      </c>
      <c r="E702" s="843" t="s">
        <v>1750</v>
      </c>
      <c r="F702" s="858" t="s">
        <v>43</v>
      </c>
      <c r="G702" s="804">
        <v>0.03</v>
      </c>
      <c r="H702" s="859" t="s">
        <v>280</v>
      </c>
      <c r="I702" s="843" t="s">
        <v>1750</v>
      </c>
      <c r="J702" s="858" t="s">
        <v>43</v>
      </c>
      <c r="K702" s="858" t="s">
        <v>43</v>
      </c>
      <c r="L702" s="858" t="s">
        <v>43</v>
      </c>
      <c r="M702" s="859">
        <v>1</v>
      </c>
      <c r="N702" s="859">
        <v>0.1</v>
      </c>
      <c r="O702" s="860" t="s">
        <v>1750</v>
      </c>
      <c r="P702" s="861">
        <v>23</v>
      </c>
      <c r="Q702" s="862" t="s">
        <v>2279</v>
      </c>
      <c r="R702" s="861">
        <v>96</v>
      </c>
      <c r="S702" s="862" t="s">
        <v>2283</v>
      </c>
      <c r="T702" s="863" t="s">
        <v>1750</v>
      </c>
      <c r="U702" s="864" t="s">
        <v>43</v>
      </c>
      <c r="V702" s="863" t="s">
        <v>1750</v>
      </c>
      <c r="W702" s="864" t="s">
        <v>43</v>
      </c>
      <c r="X702" s="861">
        <v>2.8</v>
      </c>
      <c r="Y702" s="865" t="s">
        <v>2283</v>
      </c>
      <c r="Z702" s="866" t="s">
        <v>43</v>
      </c>
      <c r="AA702" s="867">
        <v>8.2000000000000007E-3</v>
      </c>
      <c r="AB702" s="868" t="s">
        <v>2283</v>
      </c>
      <c r="AC702" s="869" t="s">
        <v>1750</v>
      </c>
    </row>
    <row r="703" spans="1:29" ht="31.5" thickBot="1">
      <c r="A703" s="871" t="s">
        <v>2255</v>
      </c>
      <c r="B703" s="807" t="s">
        <v>2256</v>
      </c>
      <c r="C703" s="890">
        <v>0.5</v>
      </c>
      <c r="D703" s="874" t="s">
        <v>3</v>
      </c>
      <c r="E703" s="819">
        <v>0.15</v>
      </c>
      <c r="F703" s="874" t="s">
        <v>3</v>
      </c>
      <c r="G703" s="819">
        <v>0.02</v>
      </c>
      <c r="H703" s="874" t="s">
        <v>3</v>
      </c>
      <c r="I703" s="819">
        <v>2.0000000000000001E-4</v>
      </c>
      <c r="J703" s="874" t="s">
        <v>3</v>
      </c>
      <c r="K703" s="873" t="s">
        <v>43</v>
      </c>
      <c r="L703" s="874" t="s">
        <v>247</v>
      </c>
      <c r="M703" s="874">
        <v>2.5000000000000001E-2</v>
      </c>
      <c r="N703" s="888" t="s">
        <v>1750</v>
      </c>
      <c r="O703" s="875" t="s">
        <v>1750</v>
      </c>
      <c r="P703" s="876">
        <v>0.3</v>
      </c>
      <c r="Q703" s="877" t="s">
        <v>2283</v>
      </c>
      <c r="R703" s="876">
        <v>6.2</v>
      </c>
      <c r="S703" s="877" t="s">
        <v>2283</v>
      </c>
      <c r="T703" s="876">
        <v>6.8000000000000001E-6</v>
      </c>
      <c r="U703" s="877" t="s">
        <v>2283</v>
      </c>
      <c r="V703" s="876">
        <v>8.2000000000000001E-5</v>
      </c>
      <c r="W703" s="877" t="s">
        <v>2283</v>
      </c>
      <c r="X703" s="876">
        <v>4.1000000000000002E-2</v>
      </c>
      <c r="Y703" s="880" t="s">
        <v>2283</v>
      </c>
      <c r="Z703" s="881" t="s">
        <v>43</v>
      </c>
      <c r="AA703" s="895" t="s">
        <v>1750</v>
      </c>
      <c r="AB703" s="883" t="s">
        <v>2283</v>
      </c>
      <c r="AC703" s="884" t="s">
        <v>1750</v>
      </c>
    </row>
    <row r="704" spans="1:29" ht="15.75">
      <c r="A704" s="856" t="s">
        <v>1481</v>
      </c>
      <c r="B704" s="792" t="s">
        <v>1482</v>
      </c>
      <c r="C704" s="857" t="s">
        <v>1750</v>
      </c>
      <c r="D704" s="858" t="s">
        <v>43</v>
      </c>
      <c r="E704" s="843" t="s">
        <v>1750</v>
      </c>
      <c r="F704" s="858" t="s">
        <v>43</v>
      </c>
      <c r="G704" s="804">
        <v>0.6</v>
      </c>
      <c r="H704" s="859" t="s">
        <v>280</v>
      </c>
      <c r="I704" s="843" t="s">
        <v>1750</v>
      </c>
      <c r="J704" s="858" t="s">
        <v>43</v>
      </c>
      <c r="K704" s="858" t="s">
        <v>43</v>
      </c>
      <c r="L704" s="858" t="s">
        <v>43</v>
      </c>
      <c r="M704" s="859">
        <v>1</v>
      </c>
      <c r="N704" s="870" t="s">
        <v>1750</v>
      </c>
      <c r="O704" s="860" t="s">
        <v>1750</v>
      </c>
      <c r="P704" s="861">
        <v>47000</v>
      </c>
      <c r="Q704" s="862" t="s">
        <v>179</v>
      </c>
      <c r="R704" s="861">
        <v>700000</v>
      </c>
      <c r="S704" s="862" t="s">
        <v>2281</v>
      </c>
      <c r="T704" s="863" t="s">
        <v>1750</v>
      </c>
      <c r="U704" s="864" t="s">
        <v>43</v>
      </c>
      <c r="V704" s="863" t="s">
        <v>1750</v>
      </c>
      <c r="W704" s="864" t="s">
        <v>43</v>
      </c>
      <c r="X704" s="861">
        <v>12000</v>
      </c>
      <c r="Y704" s="865" t="s">
        <v>179</v>
      </c>
      <c r="Z704" s="866" t="s">
        <v>43</v>
      </c>
      <c r="AA704" s="867">
        <v>420</v>
      </c>
      <c r="AB704" s="868" t="s">
        <v>179</v>
      </c>
      <c r="AC704" s="869" t="s">
        <v>1750</v>
      </c>
    </row>
    <row r="705" spans="1:29" ht="15.75">
      <c r="A705" s="856" t="s">
        <v>1483</v>
      </c>
      <c r="B705" s="792" t="s">
        <v>1484</v>
      </c>
      <c r="C705" s="857" t="s">
        <v>1750</v>
      </c>
      <c r="D705" s="858" t="s">
        <v>43</v>
      </c>
      <c r="E705" s="843" t="s">
        <v>1750</v>
      </c>
      <c r="F705" s="858" t="s">
        <v>43</v>
      </c>
      <c r="G705" s="804">
        <v>2.9999999999999997E-4</v>
      </c>
      <c r="H705" s="859" t="s">
        <v>280</v>
      </c>
      <c r="I705" s="843" t="s">
        <v>1750</v>
      </c>
      <c r="J705" s="858" t="s">
        <v>43</v>
      </c>
      <c r="K705" s="858" t="s">
        <v>43</v>
      </c>
      <c r="L705" s="858" t="s">
        <v>43</v>
      </c>
      <c r="M705" s="859">
        <v>1</v>
      </c>
      <c r="N705" s="859">
        <v>0.1</v>
      </c>
      <c r="O705" s="860" t="s">
        <v>1750</v>
      </c>
      <c r="P705" s="861">
        <v>19</v>
      </c>
      <c r="Q705" s="862" t="s">
        <v>179</v>
      </c>
      <c r="R705" s="861">
        <v>250</v>
      </c>
      <c r="S705" s="862" t="s">
        <v>179</v>
      </c>
      <c r="T705" s="863" t="s">
        <v>1750</v>
      </c>
      <c r="U705" s="864" t="s">
        <v>43</v>
      </c>
      <c r="V705" s="863" t="s">
        <v>1750</v>
      </c>
      <c r="W705" s="864" t="s">
        <v>43</v>
      </c>
      <c r="X705" s="861">
        <v>5.9</v>
      </c>
      <c r="Y705" s="865" t="s">
        <v>179</v>
      </c>
      <c r="Z705" s="866" t="s">
        <v>43</v>
      </c>
      <c r="AA705" s="867">
        <v>6.5000000000000002E-2</v>
      </c>
      <c r="AB705" s="868" t="s">
        <v>179</v>
      </c>
      <c r="AC705" s="869" t="s">
        <v>1750</v>
      </c>
    </row>
    <row r="706" spans="1:29" ht="16.5" thickBot="1">
      <c r="A706" s="871" t="s">
        <v>85</v>
      </c>
      <c r="B706" s="807" t="s">
        <v>1485</v>
      </c>
      <c r="C706" s="872" t="s">
        <v>1750</v>
      </c>
      <c r="D706" s="873" t="s">
        <v>43</v>
      </c>
      <c r="E706" s="847" t="s">
        <v>1750</v>
      </c>
      <c r="F706" s="873" t="s">
        <v>43</v>
      </c>
      <c r="G706" s="819">
        <v>0.2</v>
      </c>
      <c r="H706" s="874" t="s">
        <v>280</v>
      </c>
      <c r="I706" s="819">
        <v>1</v>
      </c>
      <c r="J706" s="874" t="s">
        <v>280</v>
      </c>
      <c r="K706" s="874" t="s">
        <v>1634</v>
      </c>
      <c r="L706" s="873" t="s">
        <v>43</v>
      </c>
      <c r="M706" s="874">
        <v>1</v>
      </c>
      <c r="N706" s="888" t="s">
        <v>1750</v>
      </c>
      <c r="O706" s="820">
        <v>867</v>
      </c>
      <c r="P706" s="876">
        <v>6000</v>
      </c>
      <c r="Q706" s="877" t="s">
        <v>2282</v>
      </c>
      <c r="R706" s="876">
        <v>35000</v>
      </c>
      <c r="S706" s="877" t="s">
        <v>2282</v>
      </c>
      <c r="T706" s="876">
        <v>1000</v>
      </c>
      <c r="U706" s="877" t="s">
        <v>179</v>
      </c>
      <c r="V706" s="876">
        <v>4400</v>
      </c>
      <c r="W706" s="877" t="s">
        <v>179</v>
      </c>
      <c r="X706" s="876">
        <v>1200</v>
      </c>
      <c r="Y706" s="880" t="s">
        <v>179</v>
      </c>
      <c r="Z706" s="893">
        <v>100</v>
      </c>
      <c r="AA706" s="882">
        <v>1.3</v>
      </c>
      <c r="AB706" s="883" t="s">
        <v>179</v>
      </c>
      <c r="AC706" s="894">
        <v>0.11</v>
      </c>
    </row>
    <row r="707" spans="1:29" ht="45.75">
      <c r="A707" s="856" t="s">
        <v>2257</v>
      </c>
      <c r="B707" s="792" t="s">
        <v>43</v>
      </c>
      <c r="C707" s="857" t="s">
        <v>1750</v>
      </c>
      <c r="D707" s="858" t="s">
        <v>43</v>
      </c>
      <c r="E707" s="843" t="s">
        <v>1750</v>
      </c>
      <c r="F707" s="858" t="s">
        <v>43</v>
      </c>
      <c r="G707" s="804">
        <v>3.0000000000000001E-3</v>
      </c>
      <c r="H707" s="859" t="s">
        <v>281</v>
      </c>
      <c r="I707" s="843" t="s">
        <v>1750</v>
      </c>
      <c r="J707" s="858" t="s">
        <v>43</v>
      </c>
      <c r="K707" s="858" t="s">
        <v>43</v>
      </c>
      <c r="L707" s="858" t="s">
        <v>43</v>
      </c>
      <c r="M707" s="859">
        <v>1</v>
      </c>
      <c r="N707" s="859">
        <v>0.1</v>
      </c>
      <c r="O707" s="860" t="s">
        <v>1750</v>
      </c>
      <c r="P707" s="861">
        <v>190</v>
      </c>
      <c r="Q707" s="862" t="s">
        <v>179</v>
      </c>
      <c r="R707" s="861">
        <v>2500</v>
      </c>
      <c r="S707" s="862" t="s">
        <v>179</v>
      </c>
      <c r="T707" s="863" t="s">
        <v>1750</v>
      </c>
      <c r="U707" s="864" t="s">
        <v>43</v>
      </c>
      <c r="V707" s="863" t="s">
        <v>1750</v>
      </c>
      <c r="W707" s="864" t="s">
        <v>43</v>
      </c>
      <c r="X707" s="861">
        <v>48</v>
      </c>
      <c r="Y707" s="865" t="s">
        <v>179</v>
      </c>
      <c r="Z707" s="866" t="s">
        <v>43</v>
      </c>
      <c r="AA707" s="886" t="s">
        <v>1750</v>
      </c>
      <c r="AB707" s="868" t="s">
        <v>179</v>
      </c>
      <c r="AC707" s="869" t="s">
        <v>1750</v>
      </c>
    </row>
    <row r="708" spans="1:29" ht="15.75">
      <c r="A708" s="856" t="s">
        <v>1908</v>
      </c>
      <c r="B708" s="792" t="s">
        <v>1909</v>
      </c>
      <c r="C708" s="857" t="s">
        <v>1750</v>
      </c>
      <c r="D708" s="858" t="s">
        <v>43</v>
      </c>
      <c r="E708" s="843" t="s">
        <v>1750</v>
      </c>
      <c r="F708" s="858" t="s">
        <v>43</v>
      </c>
      <c r="G708" s="804">
        <v>1E-3</v>
      </c>
      <c r="H708" s="859" t="s">
        <v>281</v>
      </c>
      <c r="I708" s="804">
        <v>2E-3</v>
      </c>
      <c r="J708" s="859" t="s">
        <v>0</v>
      </c>
      <c r="K708" s="858" t="s">
        <v>43</v>
      </c>
      <c r="L708" s="858" t="s">
        <v>43</v>
      </c>
      <c r="M708" s="859">
        <v>1</v>
      </c>
      <c r="N708" s="859">
        <v>0.1</v>
      </c>
      <c r="O708" s="860" t="s">
        <v>1750</v>
      </c>
      <c r="P708" s="861">
        <v>63</v>
      </c>
      <c r="Q708" s="862" t="s">
        <v>179</v>
      </c>
      <c r="R708" s="861">
        <v>820</v>
      </c>
      <c r="S708" s="862" t="s">
        <v>179</v>
      </c>
      <c r="T708" s="861">
        <v>2.1</v>
      </c>
      <c r="U708" s="862" t="s">
        <v>179</v>
      </c>
      <c r="V708" s="861">
        <v>8.8000000000000007</v>
      </c>
      <c r="W708" s="862" t="s">
        <v>179</v>
      </c>
      <c r="X708" s="861">
        <v>20</v>
      </c>
      <c r="Y708" s="865" t="s">
        <v>179</v>
      </c>
      <c r="Z708" s="866" t="s">
        <v>43</v>
      </c>
      <c r="AA708" s="867">
        <v>4.4000000000000003E-3</v>
      </c>
      <c r="AB708" s="868" t="s">
        <v>179</v>
      </c>
      <c r="AC708" s="869" t="s">
        <v>1750</v>
      </c>
    </row>
    <row r="709" spans="1:29" ht="46.5" thickBot="1">
      <c r="A709" s="871" t="s">
        <v>1486</v>
      </c>
      <c r="B709" s="807" t="s">
        <v>1487</v>
      </c>
      <c r="C709" s="872" t="s">
        <v>1750</v>
      </c>
      <c r="D709" s="873" t="s">
        <v>43</v>
      </c>
      <c r="E709" s="847" t="s">
        <v>1750</v>
      </c>
      <c r="F709" s="873" t="s">
        <v>43</v>
      </c>
      <c r="G709" s="819">
        <v>8.0000000000000004E-4</v>
      </c>
      <c r="H709" s="874" t="s">
        <v>281</v>
      </c>
      <c r="I709" s="847" t="s">
        <v>1750</v>
      </c>
      <c r="J709" s="873" t="s">
        <v>43</v>
      </c>
      <c r="K709" s="873" t="s">
        <v>43</v>
      </c>
      <c r="L709" s="873" t="s">
        <v>43</v>
      </c>
      <c r="M709" s="874">
        <v>1</v>
      </c>
      <c r="N709" s="874">
        <v>0.1</v>
      </c>
      <c r="O709" s="875" t="s">
        <v>1750</v>
      </c>
      <c r="P709" s="876">
        <v>51</v>
      </c>
      <c r="Q709" s="877" t="s">
        <v>179</v>
      </c>
      <c r="R709" s="876">
        <v>660</v>
      </c>
      <c r="S709" s="877" t="s">
        <v>179</v>
      </c>
      <c r="T709" s="878" t="s">
        <v>1750</v>
      </c>
      <c r="U709" s="879" t="s">
        <v>43</v>
      </c>
      <c r="V709" s="878" t="s">
        <v>1750</v>
      </c>
      <c r="W709" s="879" t="s">
        <v>43</v>
      </c>
      <c r="X709" s="876">
        <v>11</v>
      </c>
      <c r="Y709" s="880" t="s">
        <v>179</v>
      </c>
      <c r="Z709" s="881" t="s">
        <v>43</v>
      </c>
      <c r="AA709" s="882">
        <v>6.5000000000000002E-2</v>
      </c>
      <c r="AB709" s="883" t="s">
        <v>179</v>
      </c>
      <c r="AC709" s="884" t="s">
        <v>1750</v>
      </c>
    </row>
    <row r="710" spans="1:29" ht="15.75">
      <c r="A710" s="856" t="s">
        <v>2162</v>
      </c>
      <c r="B710" s="792" t="s">
        <v>2166</v>
      </c>
      <c r="C710" s="857" t="s">
        <v>1750</v>
      </c>
      <c r="D710" s="858" t="s">
        <v>43</v>
      </c>
      <c r="E710" s="843" t="s">
        <v>1750</v>
      </c>
      <c r="F710" s="858" t="s">
        <v>43</v>
      </c>
      <c r="G710" s="843" t="s">
        <v>1750</v>
      </c>
      <c r="H710" s="858" t="s">
        <v>43</v>
      </c>
      <c r="I710" s="804">
        <v>1E-3</v>
      </c>
      <c r="J710" s="859" t="s">
        <v>3</v>
      </c>
      <c r="K710" s="859" t="s">
        <v>1634</v>
      </c>
      <c r="L710" s="858" t="s">
        <v>43</v>
      </c>
      <c r="M710" s="859">
        <v>1</v>
      </c>
      <c r="N710" s="870" t="s">
        <v>1750</v>
      </c>
      <c r="O710" s="860" t="s">
        <v>1750</v>
      </c>
      <c r="P710" s="861">
        <v>1400000</v>
      </c>
      <c r="Q710" s="862" t="s">
        <v>2281</v>
      </c>
      <c r="R710" s="861">
        <v>6000000</v>
      </c>
      <c r="S710" s="862" t="s">
        <v>2281</v>
      </c>
      <c r="T710" s="861">
        <v>1</v>
      </c>
      <c r="U710" s="862" t="s">
        <v>179</v>
      </c>
      <c r="V710" s="861">
        <v>4.4000000000000004</v>
      </c>
      <c r="W710" s="862" t="s">
        <v>179</v>
      </c>
      <c r="X710" s="861">
        <v>2.1</v>
      </c>
      <c r="Y710" s="865" t="s">
        <v>179</v>
      </c>
      <c r="Z710" s="866" t="s">
        <v>43</v>
      </c>
      <c r="AA710" s="886" t="s">
        <v>1750</v>
      </c>
      <c r="AB710" s="868" t="s">
        <v>179</v>
      </c>
      <c r="AC710" s="869" t="s">
        <v>1750</v>
      </c>
    </row>
    <row r="711" spans="1:29" ht="15.75">
      <c r="A711" s="856" t="s">
        <v>1488</v>
      </c>
      <c r="B711" s="792" t="s">
        <v>1489</v>
      </c>
      <c r="C711" s="857" t="s">
        <v>1750</v>
      </c>
      <c r="D711" s="858" t="s">
        <v>43</v>
      </c>
      <c r="E711" s="843" t="s">
        <v>1750</v>
      </c>
      <c r="F711" s="858" t="s">
        <v>43</v>
      </c>
      <c r="G711" s="843" t="s">
        <v>1750</v>
      </c>
      <c r="H711" s="858" t="s">
        <v>43</v>
      </c>
      <c r="I711" s="804">
        <v>1E-3</v>
      </c>
      <c r="J711" s="859" t="s">
        <v>3</v>
      </c>
      <c r="K711" s="858" t="s">
        <v>43</v>
      </c>
      <c r="L711" s="858" t="s">
        <v>43</v>
      </c>
      <c r="M711" s="859">
        <v>1</v>
      </c>
      <c r="N711" s="870" t="s">
        <v>1750</v>
      </c>
      <c r="O711" s="860" t="s">
        <v>1750</v>
      </c>
      <c r="P711" s="861">
        <v>1400000</v>
      </c>
      <c r="Q711" s="862" t="s">
        <v>2281</v>
      </c>
      <c r="R711" s="861">
        <v>6000000</v>
      </c>
      <c r="S711" s="862" t="s">
        <v>2281</v>
      </c>
      <c r="T711" s="861">
        <v>1</v>
      </c>
      <c r="U711" s="862" t="s">
        <v>179</v>
      </c>
      <c r="V711" s="861">
        <v>4.4000000000000004</v>
      </c>
      <c r="W711" s="862" t="s">
        <v>179</v>
      </c>
      <c r="X711" s="863" t="s">
        <v>1750</v>
      </c>
      <c r="Y711" s="885" t="s">
        <v>43</v>
      </c>
      <c r="Z711" s="866" t="s">
        <v>43</v>
      </c>
      <c r="AA711" s="886" t="s">
        <v>1750</v>
      </c>
      <c r="AB711" s="887" t="s">
        <v>43</v>
      </c>
      <c r="AC711" s="869" t="s">
        <v>1750</v>
      </c>
    </row>
    <row r="712" spans="1:29" ht="91.5" thickBot="1">
      <c r="A712" s="871" t="s">
        <v>2258</v>
      </c>
      <c r="B712" s="807" t="s">
        <v>420</v>
      </c>
      <c r="C712" s="890">
        <v>2.5000000000000001E-2</v>
      </c>
      <c r="D712" s="874" t="s">
        <v>280</v>
      </c>
      <c r="E712" s="819">
        <v>7.0999999999999998E-6</v>
      </c>
      <c r="F712" s="874" t="s">
        <v>280</v>
      </c>
      <c r="G712" s="819">
        <v>0.05</v>
      </c>
      <c r="H712" s="874" t="s">
        <v>13</v>
      </c>
      <c r="I712" s="847" t="s">
        <v>1750</v>
      </c>
      <c r="J712" s="873" t="s">
        <v>43</v>
      </c>
      <c r="K712" s="873" t="s">
        <v>43</v>
      </c>
      <c r="L712" s="873" t="s">
        <v>43</v>
      </c>
      <c r="M712" s="874">
        <v>1</v>
      </c>
      <c r="N712" s="874">
        <v>0.1</v>
      </c>
      <c r="O712" s="875" t="s">
        <v>1750</v>
      </c>
      <c r="P712" s="876">
        <v>22</v>
      </c>
      <c r="Q712" s="877" t="s">
        <v>2283</v>
      </c>
      <c r="R712" s="876">
        <v>92</v>
      </c>
      <c r="S712" s="877" t="s">
        <v>2283</v>
      </c>
      <c r="T712" s="876">
        <v>0.4</v>
      </c>
      <c r="U712" s="877" t="s">
        <v>2283</v>
      </c>
      <c r="V712" s="876">
        <v>1.7</v>
      </c>
      <c r="W712" s="877" t="s">
        <v>2283</v>
      </c>
      <c r="X712" s="876">
        <v>1.3</v>
      </c>
      <c r="Y712" s="880" t="s">
        <v>2283</v>
      </c>
      <c r="Z712" s="881" t="s">
        <v>43</v>
      </c>
      <c r="AA712" s="882">
        <v>1.4999999999999999E-2</v>
      </c>
      <c r="AB712" s="883" t="s">
        <v>2283</v>
      </c>
      <c r="AC712" s="884" t="s">
        <v>1750</v>
      </c>
    </row>
    <row r="713" spans="1:29" ht="30.75">
      <c r="A713" s="856" t="s">
        <v>1491</v>
      </c>
      <c r="B713" s="792" t="s">
        <v>1492</v>
      </c>
      <c r="C713" s="857" t="s">
        <v>1750</v>
      </c>
      <c r="D713" s="858" t="s">
        <v>43</v>
      </c>
      <c r="E713" s="843" t="s">
        <v>1750</v>
      </c>
      <c r="F713" s="858" t="s">
        <v>43</v>
      </c>
      <c r="G713" s="804">
        <v>0.03</v>
      </c>
      <c r="H713" s="859" t="s">
        <v>13</v>
      </c>
      <c r="I713" s="843" t="s">
        <v>1750</v>
      </c>
      <c r="J713" s="858" t="s">
        <v>43</v>
      </c>
      <c r="K713" s="858" t="s">
        <v>43</v>
      </c>
      <c r="L713" s="858" t="s">
        <v>43</v>
      </c>
      <c r="M713" s="859">
        <v>1</v>
      </c>
      <c r="N713" s="859">
        <v>0.1</v>
      </c>
      <c r="O713" s="860" t="s">
        <v>1750</v>
      </c>
      <c r="P713" s="861">
        <v>1900</v>
      </c>
      <c r="Q713" s="862" t="s">
        <v>179</v>
      </c>
      <c r="R713" s="861">
        <v>25000</v>
      </c>
      <c r="S713" s="862" t="s">
        <v>179</v>
      </c>
      <c r="T713" s="863" t="s">
        <v>1750</v>
      </c>
      <c r="U713" s="864" t="s">
        <v>43</v>
      </c>
      <c r="V713" s="863" t="s">
        <v>1750</v>
      </c>
      <c r="W713" s="864" t="s">
        <v>43</v>
      </c>
      <c r="X713" s="861">
        <v>480</v>
      </c>
      <c r="Y713" s="865" t="s">
        <v>179</v>
      </c>
      <c r="Z713" s="866" t="s">
        <v>43</v>
      </c>
      <c r="AA713" s="867">
        <v>3.3</v>
      </c>
      <c r="AB713" s="868" t="s">
        <v>179</v>
      </c>
      <c r="AC713" s="869" t="s">
        <v>1750</v>
      </c>
    </row>
    <row r="714" spans="1:29" ht="30.75">
      <c r="A714" s="856" t="s">
        <v>1493</v>
      </c>
      <c r="B714" s="792" t="s">
        <v>1494</v>
      </c>
      <c r="C714" s="857" t="s">
        <v>1750</v>
      </c>
      <c r="D714" s="858" t="s">
        <v>43</v>
      </c>
      <c r="E714" s="843" t="s">
        <v>1750</v>
      </c>
      <c r="F714" s="858" t="s">
        <v>43</v>
      </c>
      <c r="G714" s="804">
        <v>7.0000000000000007E-2</v>
      </c>
      <c r="H714" s="859" t="s">
        <v>280</v>
      </c>
      <c r="I714" s="843" t="s">
        <v>1750</v>
      </c>
      <c r="J714" s="858" t="s">
        <v>43</v>
      </c>
      <c r="K714" s="858" t="s">
        <v>43</v>
      </c>
      <c r="L714" s="858" t="s">
        <v>43</v>
      </c>
      <c r="M714" s="859">
        <v>1</v>
      </c>
      <c r="N714" s="859">
        <v>0.1</v>
      </c>
      <c r="O714" s="860" t="s">
        <v>1750</v>
      </c>
      <c r="P714" s="861">
        <v>4400</v>
      </c>
      <c r="Q714" s="862" t="s">
        <v>179</v>
      </c>
      <c r="R714" s="861">
        <v>57000</v>
      </c>
      <c r="S714" s="862" t="s">
        <v>179</v>
      </c>
      <c r="T714" s="863" t="s">
        <v>1750</v>
      </c>
      <c r="U714" s="864" t="s">
        <v>43</v>
      </c>
      <c r="V714" s="863" t="s">
        <v>1750</v>
      </c>
      <c r="W714" s="864" t="s">
        <v>43</v>
      </c>
      <c r="X714" s="861">
        <v>1400</v>
      </c>
      <c r="Y714" s="865" t="s">
        <v>179</v>
      </c>
      <c r="Z714" s="866" t="s">
        <v>43</v>
      </c>
      <c r="AA714" s="867">
        <v>0.39</v>
      </c>
      <c r="AB714" s="868" t="s">
        <v>179</v>
      </c>
      <c r="AC714" s="869" t="s">
        <v>1750</v>
      </c>
    </row>
    <row r="715" spans="1:29" ht="16.5" thickBot="1">
      <c r="A715" s="871" t="s">
        <v>1495</v>
      </c>
      <c r="B715" s="807" t="s">
        <v>1496</v>
      </c>
      <c r="C715" s="872" t="s">
        <v>1750</v>
      </c>
      <c r="D715" s="873" t="s">
        <v>43</v>
      </c>
      <c r="E715" s="847" t="s">
        <v>1750</v>
      </c>
      <c r="F715" s="873" t="s">
        <v>43</v>
      </c>
      <c r="G715" s="819">
        <v>0.02</v>
      </c>
      <c r="H715" s="874" t="s">
        <v>13</v>
      </c>
      <c r="I715" s="847" t="s">
        <v>1750</v>
      </c>
      <c r="J715" s="873" t="s">
        <v>43</v>
      </c>
      <c r="K715" s="873" t="s">
        <v>43</v>
      </c>
      <c r="L715" s="873" t="s">
        <v>43</v>
      </c>
      <c r="M715" s="874">
        <v>1</v>
      </c>
      <c r="N715" s="874">
        <v>0.1</v>
      </c>
      <c r="O715" s="875" t="s">
        <v>1750</v>
      </c>
      <c r="P715" s="876">
        <v>1300</v>
      </c>
      <c r="Q715" s="877" t="s">
        <v>179</v>
      </c>
      <c r="R715" s="876">
        <v>16000</v>
      </c>
      <c r="S715" s="877" t="s">
        <v>179</v>
      </c>
      <c r="T715" s="878" t="s">
        <v>1750</v>
      </c>
      <c r="U715" s="879" t="s">
        <v>43</v>
      </c>
      <c r="V715" s="878" t="s">
        <v>1750</v>
      </c>
      <c r="W715" s="879" t="s">
        <v>43</v>
      </c>
      <c r="X715" s="876">
        <v>400</v>
      </c>
      <c r="Y715" s="880" t="s">
        <v>179</v>
      </c>
      <c r="Z715" s="881" t="s">
        <v>43</v>
      </c>
      <c r="AA715" s="882">
        <v>76</v>
      </c>
      <c r="AB715" s="883" t="s">
        <v>179</v>
      </c>
      <c r="AC715" s="884" t="s">
        <v>1750</v>
      </c>
    </row>
    <row r="716" spans="1:29" ht="15.75">
      <c r="A716" s="856" t="s">
        <v>1497</v>
      </c>
      <c r="B716" s="792" t="s">
        <v>1498</v>
      </c>
      <c r="C716" s="857" t="s">
        <v>1750</v>
      </c>
      <c r="D716" s="858" t="s">
        <v>43</v>
      </c>
      <c r="E716" s="843" t="s">
        <v>1750</v>
      </c>
      <c r="F716" s="858" t="s">
        <v>43</v>
      </c>
      <c r="G716" s="804">
        <v>1.2999999999999999E-2</v>
      </c>
      <c r="H716" s="859" t="s">
        <v>280</v>
      </c>
      <c r="I716" s="843" t="s">
        <v>1750</v>
      </c>
      <c r="J716" s="858" t="s">
        <v>43</v>
      </c>
      <c r="K716" s="858" t="s">
        <v>43</v>
      </c>
      <c r="L716" s="858" t="s">
        <v>43</v>
      </c>
      <c r="M716" s="859">
        <v>1</v>
      </c>
      <c r="N716" s="859">
        <v>0.1</v>
      </c>
      <c r="O716" s="860" t="s">
        <v>1750</v>
      </c>
      <c r="P716" s="861">
        <v>820</v>
      </c>
      <c r="Q716" s="862" t="s">
        <v>179</v>
      </c>
      <c r="R716" s="861">
        <v>11000</v>
      </c>
      <c r="S716" s="862" t="s">
        <v>179</v>
      </c>
      <c r="T716" s="863" t="s">
        <v>1750</v>
      </c>
      <c r="U716" s="864" t="s">
        <v>43</v>
      </c>
      <c r="V716" s="863" t="s">
        <v>1750</v>
      </c>
      <c r="W716" s="864" t="s">
        <v>43</v>
      </c>
      <c r="X716" s="861">
        <v>250</v>
      </c>
      <c r="Y716" s="865" t="s">
        <v>179</v>
      </c>
      <c r="Z716" s="866" t="s">
        <v>43</v>
      </c>
      <c r="AA716" s="867">
        <v>7.4999999999999997E-2</v>
      </c>
      <c r="AB716" s="868" t="s">
        <v>179</v>
      </c>
      <c r="AC716" s="869" t="s">
        <v>1750</v>
      </c>
    </row>
    <row r="717" spans="1:29" ht="30.75">
      <c r="A717" s="856" t="s">
        <v>1499</v>
      </c>
      <c r="B717" s="792" t="s">
        <v>1500</v>
      </c>
      <c r="C717" s="857" t="s">
        <v>1750</v>
      </c>
      <c r="D717" s="858" t="s">
        <v>43</v>
      </c>
      <c r="E717" s="843" t="s">
        <v>1750</v>
      </c>
      <c r="F717" s="858" t="s">
        <v>43</v>
      </c>
      <c r="G717" s="804">
        <v>2.5000000000000001E-5</v>
      </c>
      <c r="H717" s="859" t="s">
        <v>13</v>
      </c>
      <c r="I717" s="843" t="s">
        <v>1750</v>
      </c>
      <c r="J717" s="858" t="s">
        <v>43</v>
      </c>
      <c r="K717" s="859" t="s">
        <v>1634</v>
      </c>
      <c r="L717" s="858" t="s">
        <v>43</v>
      </c>
      <c r="M717" s="859">
        <v>1</v>
      </c>
      <c r="N717" s="870" t="s">
        <v>1750</v>
      </c>
      <c r="O717" s="805">
        <v>30.9</v>
      </c>
      <c r="P717" s="861">
        <v>2</v>
      </c>
      <c r="Q717" s="862" t="s">
        <v>179</v>
      </c>
      <c r="R717" s="861">
        <v>29</v>
      </c>
      <c r="S717" s="862" t="s">
        <v>179</v>
      </c>
      <c r="T717" s="863" t="s">
        <v>1750</v>
      </c>
      <c r="U717" s="864" t="s">
        <v>43</v>
      </c>
      <c r="V717" s="863" t="s">
        <v>1750</v>
      </c>
      <c r="W717" s="864" t="s">
        <v>43</v>
      </c>
      <c r="X717" s="861">
        <v>0.24</v>
      </c>
      <c r="Y717" s="865" t="s">
        <v>179</v>
      </c>
      <c r="Z717" s="866" t="s">
        <v>43</v>
      </c>
      <c r="AA717" s="867">
        <v>5.1999999999999995E-4</v>
      </c>
      <c r="AB717" s="868" t="s">
        <v>179</v>
      </c>
      <c r="AC717" s="869" t="s">
        <v>1750</v>
      </c>
    </row>
    <row r="718" spans="1:29" ht="16.5" thickBot="1">
      <c r="A718" s="871" t="s">
        <v>1501</v>
      </c>
      <c r="B718" s="807" t="s">
        <v>1502</v>
      </c>
      <c r="C718" s="872" t="s">
        <v>1750</v>
      </c>
      <c r="D718" s="873" t="s">
        <v>43</v>
      </c>
      <c r="E718" s="847" t="s">
        <v>1750</v>
      </c>
      <c r="F718" s="873" t="s">
        <v>43</v>
      </c>
      <c r="G718" s="819">
        <v>1E-3</v>
      </c>
      <c r="H718" s="874" t="s">
        <v>280</v>
      </c>
      <c r="I718" s="847" t="s">
        <v>1750</v>
      </c>
      <c r="J718" s="873" t="s">
        <v>43</v>
      </c>
      <c r="K718" s="873" t="s">
        <v>43</v>
      </c>
      <c r="L718" s="873" t="s">
        <v>43</v>
      </c>
      <c r="M718" s="874">
        <v>1</v>
      </c>
      <c r="N718" s="874">
        <v>0.1</v>
      </c>
      <c r="O718" s="875" t="s">
        <v>1750</v>
      </c>
      <c r="P718" s="876">
        <v>63</v>
      </c>
      <c r="Q718" s="877" t="s">
        <v>179</v>
      </c>
      <c r="R718" s="876">
        <v>820</v>
      </c>
      <c r="S718" s="877" t="s">
        <v>179</v>
      </c>
      <c r="T718" s="878" t="s">
        <v>1750</v>
      </c>
      <c r="U718" s="879" t="s">
        <v>43</v>
      </c>
      <c r="V718" s="878" t="s">
        <v>1750</v>
      </c>
      <c r="W718" s="879" t="s">
        <v>43</v>
      </c>
      <c r="X718" s="876">
        <v>13</v>
      </c>
      <c r="Y718" s="880" t="s">
        <v>179</v>
      </c>
      <c r="Z718" s="881" t="s">
        <v>43</v>
      </c>
      <c r="AA718" s="882">
        <v>1.9E-2</v>
      </c>
      <c r="AB718" s="883" t="s">
        <v>179</v>
      </c>
      <c r="AC718" s="884" t="s">
        <v>1750</v>
      </c>
    </row>
    <row r="719" spans="1:29" ht="45.75">
      <c r="A719" s="856" t="s">
        <v>1503</v>
      </c>
      <c r="B719" s="792" t="s">
        <v>1504</v>
      </c>
      <c r="C719" s="857" t="s">
        <v>1750</v>
      </c>
      <c r="D719" s="858" t="s">
        <v>43</v>
      </c>
      <c r="E719" s="843" t="s">
        <v>1750</v>
      </c>
      <c r="F719" s="858" t="s">
        <v>43</v>
      </c>
      <c r="G719" s="804">
        <v>1E-4</v>
      </c>
      <c r="H719" s="859" t="s">
        <v>280</v>
      </c>
      <c r="I719" s="843" t="s">
        <v>1750</v>
      </c>
      <c r="J719" s="858" t="s">
        <v>43</v>
      </c>
      <c r="K719" s="858" t="s">
        <v>43</v>
      </c>
      <c r="L719" s="858" t="s">
        <v>43</v>
      </c>
      <c r="M719" s="859">
        <v>1</v>
      </c>
      <c r="N719" s="859">
        <v>0.1</v>
      </c>
      <c r="O719" s="860" t="s">
        <v>1750</v>
      </c>
      <c r="P719" s="861">
        <v>6.3</v>
      </c>
      <c r="Q719" s="862" t="s">
        <v>179</v>
      </c>
      <c r="R719" s="861">
        <v>82</v>
      </c>
      <c r="S719" s="862" t="s">
        <v>179</v>
      </c>
      <c r="T719" s="863" t="s">
        <v>1750</v>
      </c>
      <c r="U719" s="864" t="s">
        <v>43</v>
      </c>
      <c r="V719" s="863" t="s">
        <v>1750</v>
      </c>
      <c r="W719" s="864" t="s">
        <v>43</v>
      </c>
      <c r="X719" s="861">
        <v>2</v>
      </c>
      <c r="Y719" s="865" t="s">
        <v>179</v>
      </c>
      <c r="Z719" s="866" t="s">
        <v>43</v>
      </c>
      <c r="AA719" s="867">
        <v>5.2999999999999999E-2</v>
      </c>
      <c r="AB719" s="868" t="s">
        <v>179</v>
      </c>
      <c r="AC719" s="869" t="s">
        <v>1750</v>
      </c>
    </row>
    <row r="720" spans="1:29" ht="30.75">
      <c r="A720" s="856" t="s">
        <v>1505</v>
      </c>
      <c r="B720" s="792" t="s">
        <v>1506</v>
      </c>
      <c r="C720" s="857" t="s">
        <v>1750</v>
      </c>
      <c r="D720" s="858" t="s">
        <v>43</v>
      </c>
      <c r="E720" s="843" t="s">
        <v>1750</v>
      </c>
      <c r="F720" s="858" t="s">
        <v>43</v>
      </c>
      <c r="G720" s="804">
        <v>2.9999999999999997E-4</v>
      </c>
      <c r="H720" s="859" t="s">
        <v>280</v>
      </c>
      <c r="I720" s="843" t="s">
        <v>1750</v>
      </c>
      <c r="J720" s="858" t="s">
        <v>43</v>
      </c>
      <c r="K720" s="859" t="s">
        <v>1634</v>
      </c>
      <c r="L720" s="858" t="s">
        <v>43</v>
      </c>
      <c r="M720" s="859">
        <v>1</v>
      </c>
      <c r="N720" s="870" t="s">
        <v>1750</v>
      </c>
      <c r="O720" s="860" t="s">
        <v>1750</v>
      </c>
      <c r="P720" s="861">
        <v>23</v>
      </c>
      <c r="Q720" s="862" t="s">
        <v>179</v>
      </c>
      <c r="R720" s="861">
        <v>350</v>
      </c>
      <c r="S720" s="862" t="s">
        <v>179</v>
      </c>
      <c r="T720" s="863" t="s">
        <v>1750</v>
      </c>
      <c r="U720" s="864" t="s">
        <v>43</v>
      </c>
      <c r="V720" s="863" t="s">
        <v>1750</v>
      </c>
      <c r="W720" s="864" t="s">
        <v>43</v>
      </c>
      <c r="X720" s="861">
        <v>1.7</v>
      </c>
      <c r="Y720" s="865" t="s">
        <v>179</v>
      </c>
      <c r="Z720" s="866" t="s">
        <v>43</v>
      </c>
      <c r="AA720" s="867">
        <v>7.9000000000000008E-3</v>
      </c>
      <c r="AB720" s="868" t="s">
        <v>179</v>
      </c>
      <c r="AC720" s="869" t="s">
        <v>1750</v>
      </c>
    </row>
    <row r="721" spans="1:29" ht="31.5" thickBot="1">
      <c r="A721" s="871" t="s">
        <v>150</v>
      </c>
      <c r="B721" s="807" t="s">
        <v>1507</v>
      </c>
      <c r="C721" s="890">
        <v>2.5999999999999999E-2</v>
      </c>
      <c r="D721" s="874" t="s">
        <v>280</v>
      </c>
      <c r="E721" s="819">
        <v>7.4000000000000003E-6</v>
      </c>
      <c r="F721" s="874" t="s">
        <v>280</v>
      </c>
      <c r="G721" s="819">
        <v>0.03</v>
      </c>
      <c r="H721" s="874" t="s">
        <v>280</v>
      </c>
      <c r="I721" s="847" t="s">
        <v>1750</v>
      </c>
      <c r="J721" s="873" t="s">
        <v>43</v>
      </c>
      <c r="K721" s="874" t="s">
        <v>1634</v>
      </c>
      <c r="L721" s="873" t="s">
        <v>43</v>
      </c>
      <c r="M721" s="874">
        <v>1</v>
      </c>
      <c r="N721" s="888" t="s">
        <v>1750</v>
      </c>
      <c r="O721" s="820">
        <v>680</v>
      </c>
      <c r="P721" s="876">
        <v>2</v>
      </c>
      <c r="Q721" s="877" t="s">
        <v>2283</v>
      </c>
      <c r="R721" s="876">
        <v>8.8000000000000007</v>
      </c>
      <c r="S721" s="877" t="s">
        <v>2283</v>
      </c>
      <c r="T721" s="876">
        <v>0.38</v>
      </c>
      <c r="U721" s="877" t="s">
        <v>2283</v>
      </c>
      <c r="V721" s="876">
        <v>1.7</v>
      </c>
      <c r="W721" s="877" t="s">
        <v>2283</v>
      </c>
      <c r="X721" s="876">
        <v>0.56999999999999995</v>
      </c>
      <c r="Y721" s="880" t="s">
        <v>2283</v>
      </c>
      <c r="Z721" s="881" t="s">
        <v>43</v>
      </c>
      <c r="AA721" s="882">
        <v>2.2000000000000001E-4</v>
      </c>
      <c r="AB721" s="883" t="s">
        <v>2283</v>
      </c>
      <c r="AC721" s="884" t="s">
        <v>1750</v>
      </c>
    </row>
    <row r="722" spans="1:29" ht="30.75">
      <c r="A722" s="856" t="s">
        <v>152</v>
      </c>
      <c r="B722" s="792" t="s">
        <v>1508</v>
      </c>
      <c r="C722" s="889">
        <v>0.2</v>
      </c>
      <c r="D722" s="859" t="s">
        <v>280</v>
      </c>
      <c r="E722" s="804">
        <v>5.8E-5</v>
      </c>
      <c r="F722" s="859" t="s">
        <v>3</v>
      </c>
      <c r="G722" s="804">
        <v>0.02</v>
      </c>
      <c r="H722" s="859" t="s">
        <v>280</v>
      </c>
      <c r="I722" s="843" t="s">
        <v>1750</v>
      </c>
      <c r="J722" s="858" t="s">
        <v>43</v>
      </c>
      <c r="K722" s="859" t="s">
        <v>1634</v>
      </c>
      <c r="L722" s="858" t="s">
        <v>43</v>
      </c>
      <c r="M722" s="859">
        <v>1</v>
      </c>
      <c r="N722" s="870" t="s">
        <v>1750</v>
      </c>
      <c r="O722" s="805">
        <v>1900</v>
      </c>
      <c r="P722" s="861">
        <v>0.6</v>
      </c>
      <c r="Q722" s="862" t="s">
        <v>2283</v>
      </c>
      <c r="R722" s="861">
        <v>2.7</v>
      </c>
      <c r="S722" s="862" t="s">
        <v>2283</v>
      </c>
      <c r="T722" s="861">
        <v>4.8000000000000001E-2</v>
      </c>
      <c r="U722" s="862" t="s">
        <v>2283</v>
      </c>
      <c r="V722" s="861">
        <v>0.21</v>
      </c>
      <c r="W722" s="862" t="s">
        <v>2283</v>
      </c>
      <c r="X722" s="861">
        <v>7.5999999999999998E-2</v>
      </c>
      <c r="Y722" s="865" t="s">
        <v>2283</v>
      </c>
      <c r="Z722" s="866" t="s">
        <v>43</v>
      </c>
      <c r="AA722" s="867">
        <v>3.0000000000000001E-5</v>
      </c>
      <c r="AB722" s="868" t="s">
        <v>2283</v>
      </c>
      <c r="AC722" s="869" t="s">
        <v>1750</v>
      </c>
    </row>
    <row r="723" spans="1:29" ht="30.75">
      <c r="A723" s="856" t="s">
        <v>105</v>
      </c>
      <c r="B723" s="792" t="s">
        <v>1509</v>
      </c>
      <c r="C723" s="889">
        <v>2.0999999999999999E-3</v>
      </c>
      <c r="D723" s="859" t="s">
        <v>280</v>
      </c>
      <c r="E723" s="804">
        <v>2.6E-7</v>
      </c>
      <c r="F723" s="859" t="s">
        <v>280</v>
      </c>
      <c r="G723" s="804">
        <v>6.0000000000000001E-3</v>
      </c>
      <c r="H723" s="859" t="s">
        <v>280</v>
      </c>
      <c r="I723" s="804">
        <v>0.04</v>
      </c>
      <c r="J723" s="859" t="s">
        <v>280</v>
      </c>
      <c r="K723" s="859" t="s">
        <v>1634</v>
      </c>
      <c r="L723" s="858" t="s">
        <v>43</v>
      </c>
      <c r="M723" s="859">
        <v>1</v>
      </c>
      <c r="N723" s="870" t="s">
        <v>1750</v>
      </c>
      <c r="O723" s="805">
        <v>166</v>
      </c>
      <c r="P723" s="861">
        <v>24</v>
      </c>
      <c r="Q723" s="862" t="s">
        <v>2278</v>
      </c>
      <c r="R723" s="861">
        <v>100</v>
      </c>
      <c r="S723" s="862" t="s">
        <v>2278</v>
      </c>
      <c r="T723" s="861">
        <v>11</v>
      </c>
      <c r="U723" s="862" t="s">
        <v>2278</v>
      </c>
      <c r="V723" s="861">
        <v>47</v>
      </c>
      <c r="W723" s="862" t="s">
        <v>2278</v>
      </c>
      <c r="X723" s="861">
        <v>11</v>
      </c>
      <c r="Y723" s="865" t="s">
        <v>2278</v>
      </c>
      <c r="Z723" s="891">
        <v>5</v>
      </c>
      <c r="AA723" s="867">
        <v>5.1000000000000004E-3</v>
      </c>
      <c r="AB723" s="868" t="s">
        <v>2278</v>
      </c>
      <c r="AC723" s="892">
        <v>2.3E-3</v>
      </c>
    </row>
    <row r="724" spans="1:29" ht="31.5" thickBot="1">
      <c r="A724" s="871" t="s">
        <v>1510</v>
      </c>
      <c r="B724" s="807" t="s">
        <v>1511</v>
      </c>
      <c r="C724" s="872" t="s">
        <v>1750</v>
      </c>
      <c r="D724" s="873" t="s">
        <v>43</v>
      </c>
      <c r="E724" s="847" t="s">
        <v>1750</v>
      </c>
      <c r="F724" s="873" t="s">
        <v>43</v>
      </c>
      <c r="G724" s="819">
        <v>0.03</v>
      </c>
      <c r="H724" s="874" t="s">
        <v>280</v>
      </c>
      <c r="I724" s="847" t="s">
        <v>1750</v>
      </c>
      <c r="J724" s="873" t="s">
        <v>43</v>
      </c>
      <c r="K724" s="873" t="s">
        <v>43</v>
      </c>
      <c r="L724" s="873" t="s">
        <v>43</v>
      </c>
      <c r="M724" s="874">
        <v>1</v>
      </c>
      <c r="N724" s="874">
        <v>0.1</v>
      </c>
      <c r="O724" s="875" t="s">
        <v>1750</v>
      </c>
      <c r="P724" s="876">
        <v>1900</v>
      </c>
      <c r="Q724" s="877" t="s">
        <v>179</v>
      </c>
      <c r="R724" s="876">
        <v>25000</v>
      </c>
      <c r="S724" s="877" t="s">
        <v>179</v>
      </c>
      <c r="T724" s="878" t="s">
        <v>1750</v>
      </c>
      <c r="U724" s="879" t="s">
        <v>43</v>
      </c>
      <c r="V724" s="878" t="s">
        <v>1750</v>
      </c>
      <c r="W724" s="879" t="s">
        <v>43</v>
      </c>
      <c r="X724" s="876">
        <v>240</v>
      </c>
      <c r="Y724" s="880" t="s">
        <v>179</v>
      </c>
      <c r="Z724" s="881" t="s">
        <v>43</v>
      </c>
      <c r="AA724" s="882">
        <v>0.18</v>
      </c>
      <c r="AB724" s="883" t="s">
        <v>179</v>
      </c>
      <c r="AC724" s="884" t="s">
        <v>1750</v>
      </c>
    </row>
    <row r="725" spans="1:29" ht="45.75">
      <c r="A725" s="856" t="s">
        <v>1512</v>
      </c>
      <c r="B725" s="792" t="s">
        <v>1513</v>
      </c>
      <c r="C725" s="889">
        <v>20</v>
      </c>
      <c r="D725" s="859" t="s">
        <v>13</v>
      </c>
      <c r="E725" s="843" t="s">
        <v>1750</v>
      </c>
      <c r="F725" s="858" t="s">
        <v>43</v>
      </c>
      <c r="G725" s="843" t="s">
        <v>1750</v>
      </c>
      <c r="H725" s="858" t="s">
        <v>43</v>
      </c>
      <c r="I725" s="843" t="s">
        <v>1750</v>
      </c>
      <c r="J725" s="858" t="s">
        <v>43</v>
      </c>
      <c r="K725" s="859" t="s">
        <v>1634</v>
      </c>
      <c r="L725" s="858" t="s">
        <v>43</v>
      </c>
      <c r="M725" s="859">
        <v>1</v>
      </c>
      <c r="N725" s="870" t="s">
        <v>1750</v>
      </c>
      <c r="O725" s="860" t="s">
        <v>1750</v>
      </c>
      <c r="P725" s="861">
        <v>3.5000000000000003E-2</v>
      </c>
      <c r="Q725" s="862" t="s">
        <v>2283</v>
      </c>
      <c r="R725" s="861">
        <v>0.16</v>
      </c>
      <c r="S725" s="862" t="s">
        <v>2283</v>
      </c>
      <c r="T725" s="863" t="s">
        <v>1750</v>
      </c>
      <c r="U725" s="864" t="s">
        <v>43</v>
      </c>
      <c r="V725" s="863" t="s">
        <v>1750</v>
      </c>
      <c r="W725" s="864" t="s">
        <v>43</v>
      </c>
      <c r="X725" s="861">
        <v>1.2999999999999999E-3</v>
      </c>
      <c r="Y725" s="865" t="s">
        <v>2283</v>
      </c>
      <c r="Z725" s="866" t="s">
        <v>43</v>
      </c>
      <c r="AA725" s="867">
        <v>4.5000000000000001E-6</v>
      </c>
      <c r="AB725" s="868" t="s">
        <v>2283</v>
      </c>
      <c r="AC725" s="869" t="s">
        <v>1750</v>
      </c>
    </row>
    <row r="726" spans="1:29" ht="45.75">
      <c r="A726" s="856" t="s">
        <v>1514</v>
      </c>
      <c r="B726" s="792" t="s">
        <v>1515</v>
      </c>
      <c r="C726" s="857" t="s">
        <v>1750</v>
      </c>
      <c r="D726" s="858" t="s">
        <v>43</v>
      </c>
      <c r="E726" s="843" t="s">
        <v>1750</v>
      </c>
      <c r="F726" s="858" t="s">
        <v>43</v>
      </c>
      <c r="G726" s="804">
        <v>5.0000000000000001E-4</v>
      </c>
      <c r="H726" s="859" t="s">
        <v>280</v>
      </c>
      <c r="I726" s="843" t="s">
        <v>1750</v>
      </c>
      <c r="J726" s="858" t="s">
        <v>43</v>
      </c>
      <c r="K726" s="858" t="s">
        <v>43</v>
      </c>
      <c r="L726" s="858" t="s">
        <v>43</v>
      </c>
      <c r="M726" s="859">
        <v>1</v>
      </c>
      <c r="N726" s="859">
        <v>0.1</v>
      </c>
      <c r="O726" s="860" t="s">
        <v>1750</v>
      </c>
      <c r="P726" s="861">
        <v>32</v>
      </c>
      <c r="Q726" s="862" t="s">
        <v>179</v>
      </c>
      <c r="R726" s="861">
        <v>410</v>
      </c>
      <c r="S726" s="862" t="s">
        <v>179</v>
      </c>
      <c r="T726" s="863" t="s">
        <v>1750</v>
      </c>
      <c r="U726" s="864" t="s">
        <v>43</v>
      </c>
      <c r="V726" s="863" t="s">
        <v>1750</v>
      </c>
      <c r="W726" s="864" t="s">
        <v>43</v>
      </c>
      <c r="X726" s="861">
        <v>7.1</v>
      </c>
      <c r="Y726" s="865" t="s">
        <v>179</v>
      </c>
      <c r="Z726" s="866" t="s">
        <v>43</v>
      </c>
      <c r="AA726" s="867">
        <v>5.1999999999999998E-3</v>
      </c>
      <c r="AB726" s="868" t="s">
        <v>179</v>
      </c>
      <c r="AC726" s="869" t="s">
        <v>1750</v>
      </c>
    </row>
    <row r="727" spans="1:29" ht="31.5" thickBot="1">
      <c r="A727" s="871" t="s">
        <v>1516</v>
      </c>
      <c r="B727" s="807" t="s">
        <v>1517</v>
      </c>
      <c r="C727" s="872" t="s">
        <v>1750</v>
      </c>
      <c r="D727" s="873" t="s">
        <v>43</v>
      </c>
      <c r="E727" s="847" t="s">
        <v>1750</v>
      </c>
      <c r="F727" s="873" t="s">
        <v>43</v>
      </c>
      <c r="G727" s="847" t="s">
        <v>1750</v>
      </c>
      <c r="H727" s="873" t="s">
        <v>43</v>
      </c>
      <c r="I727" s="819">
        <v>80</v>
      </c>
      <c r="J727" s="874" t="s">
        <v>280</v>
      </c>
      <c r="K727" s="874" t="s">
        <v>1634</v>
      </c>
      <c r="L727" s="873" t="s">
        <v>43</v>
      </c>
      <c r="M727" s="874">
        <v>1</v>
      </c>
      <c r="N727" s="888" t="s">
        <v>1750</v>
      </c>
      <c r="O727" s="820">
        <v>2050</v>
      </c>
      <c r="P727" s="876">
        <v>100000</v>
      </c>
      <c r="Q727" s="877" t="s">
        <v>2280</v>
      </c>
      <c r="R727" s="876">
        <v>430000</v>
      </c>
      <c r="S727" s="877" t="s">
        <v>2280</v>
      </c>
      <c r="T727" s="876">
        <v>83000</v>
      </c>
      <c r="U727" s="877" t="s">
        <v>179</v>
      </c>
      <c r="V727" s="876">
        <v>350000</v>
      </c>
      <c r="W727" s="877" t="s">
        <v>179</v>
      </c>
      <c r="X727" s="876">
        <v>170000</v>
      </c>
      <c r="Y727" s="880" t="s">
        <v>179</v>
      </c>
      <c r="Z727" s="881" t="s">
        <v>43</v>
      </c>
      <c r="AA727" s="882">
        <v>93</v>
      </c>
      <c r="AB727" s="883" t="s">
        <v>179</v>
      </c>
      <c r="AC727" s="884" t="s">
        <v>1750</v>
      </c>
    </row>
    <row r="728" spans="1:29" ht="45.75">
      <c r="A728" s="856" t="s">
        <v>1518</v>
      </c>
      <c r="B728" s="792" t="s">
        <v>1519</v>
      </c>
      <c r="C728" s="857" t="s">
        <v>1750</v>
      </c>
      <c r="D728" s="858" t="s">
        <v>43</v>
      </c>
      <c r="E728" s="843" t="s">
        <v>1750</v>
      </c>
      <c r="F728" s="858" t="s">
        <v>43</v>
      </c>
      <c r="G728" s="804">
        <v>2E-3</v>
      </c>
      <c r="H728" s="859" t="s">
        <v>281</v>
      </c>
      <c r="I728" s="843" t="s">
        <v>1750</v>
      </c>
      <c r="J728" s="858" t="s">
        <v>43</v>
      </c>
      <c r="K728" s="858" t="s">
        <v>43</v>
      </c>
      <c r="L728" s="858" t="s">
        <v>43</v>
      </c>
      <c r="M728" s="859">
        <v>1</v>
      </c>
      <c r="N728" s="859">
        <v>6.4999999999999997E-4</v>
      </c>
      <c r="O728" s="860" t="s">
        <v>1750</v>
      </c>
      <c r="P728" s="861">
        <v>160</v>
      </c>
      <c r="Q728" s="862" t="s">
        <v>179</v>
      </c>
      <c r="R728" s="861">
        <v>2300</v>
      </c>
      <c r="S728" s="862" t="s">
        <v>179</v>
      </c>
      <c r="T728" s="863" t="s">
        <v>1750</v>
      </c>
      <c r="U728" s="864" t="s">
        <v>43</v>
      </c>
      <c r="V728" s="863" t="s">
        <v>1750</v>
      </c>
      <c r="W728" s="864" t="s">
        <v>43</v>
      </c>
      <c r="X728" s="861">
        <v>39</v>
      </c>
      <c r="Y728" s="865" t="s">
        <v>179</v>
      </c>
      <c r="Z728" s="866" t="s">
        <v>43</v>
      </c>
      <c r="AA728" s="867">
        <v>0.37</v>
      </c>
      <c r="AB728" s="868" t="s">
        <v>179</v>
      </c>
      <c r="AC728" s="869" t="s">
        <v>1750</v>
      </c>
    </row>
    <row r="729" spans="1:29" ht="15.75">
      <c r="A729" s="856" t="s">
        <v>2434</v>
      </c>
      <c r="B729" s="792" t="s">
        <v>2435</v>
      </c>
      <c r="C729" s="857" t="s">
        <v>1750</v>
      </c>
      <c r="D729" s="858" t="s">
        <v>43</v>
      </c>
      <c r="E729" s="843" t="s">
        <v>1750</v>
      </c>
      <c r="F729" s="858" t="s">
        <v>43</v>
      </c>
      <c r="G729" s="804">
        <v>2.0000000000000002E-5</v>
      </c>
      <c r="H729" s="859" t="s">
        <v>14</v>
      </c>
      <c r="I729" s="843" t="s">
        <v>1750</v>
      </c>
      <c r="J729" s="858" t="s">
        <v>43</v>
      </c>
      <c r="K729" s="858" t="s">
        <v>43</v>
      </c>
      <c r="L729" s="858" t="s">
        <v>43</v>
      </c>
      <c r="M729" s="859">
        <v>1</v>
      </c>
      <c r="N729" s="870" t="s">
        <v>1750</v>
      </c>
      <c r="O729" s="860" t="s">
        <v>1750</v>
      </c>
      <c r="P729" s="861">
        <v>1.6</v>
      </c>
      <c r="Q729" s="862" t="s">
        <v>179</v>
      </c>
      <c r="R729" s="861">
        <v>23</v>
      </c>
      <c r="S729" s="862" t="s">
        <v>179</v>
      </c>
      <c r="T729" s="863" t="s">
        <v>1750</v>
      </c>
      <c r="U729" s="864" t="s">
        <v>43</v>
      </c>
      <c r="V729" s="863" t="s">
        <v>1750</v>
      </c>
      <c r="W729" s="864" t="s">
        <v>43</v>
      </c>
      <c r="X729" s="861">
        <v>0.4</v>
      </c>
      <c r="Y729" s="865" t="s">
        <v>179</v>
      </c>
      <c r="Z729" s="866" t="s">
        <v>43</v>
      </c>
      <c r="AA729" s="886" t="s">
        <v>1750</v>
      </c>
      <c r="AB729" s="868" t="s">
        <v>179</v>
      </c>
      <c r="AC729" s="869" t="s">
        <v>1750</v>
      </c>
    </row>
    <row r="730" spans="1:29" ht="31.5" thickBot="1">
      <c r="A730" s="871" t="s">
        <v>1910</v>
      </c>
      <c r="B730" s="807" t="s">
        <v>1911</v>
      </c>
      <c r="C730" s="872" t="s">
        <v>1750</v>
      </c>
      <c r="D730" s="873" t="s">
        <v>43</v>
      </c>
      <c r="E730" s="847" t="s">
        <v>1750</v>
      </c>
      <c r="F730" s="873" t="s">
        <v>43</v>
      </c>
      <c r="G730" s="819">
        <v>1.0000000000000001E-5</v>
      </c>
      <c r="H730" s="874" t="s">
        <v>0</v>
      </c>
      <c r="I730" s="847" t="s">
        <v>1750</v>
      </c>
      <c r="J730" s="873" t="s">
        <v>43</v>
      </c>
      <c r="K730" s="873" t="s">
        <v>43</v>
      </c>
      <c r="L730" s="873" t="s">
        <v>43</v>
      </c>
      <c r="M730" s="874">
        <v>1</v>
      </c>
      <c r="N730" s="888" t="s">
        <v>1750</v>
      </c>
      <c r="O730" s="875" t="s">
        <v>1750</v>
      </c>
      <c r="P730" s="876">
        <v>0.78</v>
      </c>
      <c r="Q730" s="877" t="s">
        <v>179</v>
      </c>
      <c r="R730" s="876">
        <v>12</v>
      </c>
      <c r="S730" s="877" t="s">
        <v>179</v>
      </c>
      <c r="T730" s="878" t="s">
        <v>1750</v>
      </c>
      <c r="U730" s="879" t="s">
        <v>43</v>
      </c>
      <c r="V730" s="878" t="s">
        <v>1750</v>
      </c>
      <c r="W730" s="879" t="s">
        <v>43</v>
      </c>
      <c r="X730" s="876">
        <v>0.2</v>
      </c>
      <c r="Y730" s="880" t="s">
        <v>179</v>
      </c>
      <c r="Z730" s="881" t="s">
        <v>43</v>
      </c>
      <c r="AA730" s="895" t="s">
        <v>1750</v>
      </c>
      <c r="AB730" s="883" t="s">
        <v>179</v>
      </c>
      <c r="AC730" s="884" t="s">
        <v>1750</v>
      </c>
    </row>
    <row r="731" spans="1:29" ht="30.75">
      <c r="A731" s="856" t="s">
        <v>1520</v>
      </c>
      <c r="B731" s="792" t="s">
        <v>1521</v>
      </c>
      <c r="C731" s="857" t="s">
        <v>1750</v>
      </c>
      <c r="D731" s="858" t="s">
        <v>43</v>
      </c>
      <c r="E731" s="843" t="s">
        <v>1750</v>
      </c>
      <c r="F731" s="858" t="s">
        <v>43</v>
      </c>
      <c r="G731" s="804">
        <v>1.0000000000000001E-5</v>
      </c>
      <c r="H731" s="859" t="s">
        <v>0</v>
      </c>
      <c r="I731" s="843" t="s">
        <v>1750</v>
      </c>
      <c r="J731" s="858" t="s">
        <v>43</v>
      </c>
      <c r="K731" s="858" t="s">
        <v>43</v>
      </c>
      <c r="L731" s="858" t="s">
        <v>43</v>
      </c>
      <c r="M731" s="859">
        <v>1</v>
      </c>
      <c r="N731" s="870" t="s">
        <v>1750</v>
      </c>
      <c r="O731" s="860" t="s">
        <v>1750</v>
      </c>
      <c r="P731" s="861">
        <v>0.78</v>
      </c>
      <c r="Q731" s="862" t="s">
        <v>179</v>
      </c>
      <c r="R731" s="861">
        <v>12</v>
      </c>
      <c r="S731" s="862" t="s">
        <v>179</v>
      </c>
      <c r="T731" s="863" t="s">
        <v>1750</v>
      </c>
      <c r="U731" s="864" t="s">
        <v>43</v>
      </c>
      <c r="V731" s="863" t="s">
        <v>1750</v>
      </c>
      <c r="W731" s="864" t="s">
        <v>43</v>
      </c>
      <c r="X731" s="861">
        <v>0.2</v>
      </c>
      <c r="Y731" s="865" t="s">
        <v>179</v>
      </c>
      <c r="Z731" s="891">
        <v>2</v>
      </c>
      <c r="AA731" s="867">
        <v>1.4E-2</v>
      </c>
      <c r="AB731" s="868" t="s">
        <v>179</v>
      </c>
      <c r="AC731" s="892">
        <v>0.14000000000000001</v>
      </c>
    </row>
    <row r="732" spans="1:29" ht="15.75">
      <c r="A732" s="856" t="s">
        <v>1912</v>
      </c>
      <c r="B732" s="792" t="s">
        <v>1913</v>
      </c>
      <c r="C732" s="857" t="s">
        <v>1750</v>
      </c>
      <c r="D732" s="858" t="s">
        <v>43</v>
      </c>
      <c r="E732" s="843" t="s">
        <v>1750</v>
      </c>
      <c r="F732" s="858" t="s">
        <v>43</v>
      </c>
      <c r="G732" s="804">
        <v>1.0000000000000001E-5</v>
      </c>
      <c r="H732" s="859" t="s">
        <v>0</v>
      </c>
      <c r="I732" s="843" t="s">
        <v>1750</v>
      </c>
      <c r="J732" s="858" t="s">
        <v>43</v>
      </c>
      <c r="K732" s="859" t="s">
        <v>1634</v>
      </c>
      <c r="L732" s="858" t="s">
        <v>43</v>
      </c>
      <c r="M732" s="859">
        <v>1</v>
      </c>
      <c r="N732" s="870" t="s">
        <v>1750</v>
      </c>
      <c r="O732" s="860" t="s">
        <v>1750</v>
      </c>
      <c r="P732" s="861">
        <v>0.78</v>
      </c>
      <c r="Q732" s="862" t="s">
        <v>179</v>
      </c>
      <c r="R732" s="861">
        <v>12</v>
      </c>
      <c r="S732" s="862" t="s">
        <v>179</v>
      </c>
      <c r="T732" s="863" t="s">
        <v>1750</v>
      </c>
      <c r="U732" s="864" t="s">
        <v>43</v>
      </c>
      <c r="V732" s="863" t="s">
        <v>1750</v>
      </c>
      <c r="W732" s="864" t="s">
        <v>43</v>
      </c>
      <c r="X732" s="861">
        <v>0.2</v>
      </c>
      <c r="Y732" s="865" t="s">
        <v>179</v>
      </c>
      <c r="Z732" s="866" t="s">
        <v>43</v>
      </c>
      <c r="AA732" s="867">
        <v>4.1E-5</v>
      </c>
      <c r="AB732" s="868" t="s">
        <v>179</v>
      </c>
      <c r="AC732" s="869" t="s">
        <v>1750</v>
      </c>
    </row>
    <row r="733" spans="1:29" ht="31.5" thickBot="1">
      <c r="A733" s="871" t="s">
        <v>1914</v>
      </c>
      <c r="B733" s="807" t="s">
        <v>1915</v>
      </c>
      <c r="C733" s="872" t="s">
        <v>1750</v>
      </c>
      <c r="D733" s="873" t="s">
        <v>43</v>
      </c>
      <c r="E733" s="847" t="s">
        <v>1750</v>
      </c>
      <c r="F733" s="873" t="s">
        <v>43</v>
      </c>
      <c r="G733" s="819">
        <v>2.0000000000000002E-5</v>
      </c>
      <c r="H733" s="874" t="s">
        <v>0</v>
      </c>
      <c r="I733" s="847" t="s">
        <v>1750</v>
      </c>
      <c r="J733" s="873" t="s">
        <v>43</v>
      </c>
      <c r="K733" s="874" t="s">
        <v>1634</v>
      </c>
      <c r="L733" s="873" t="s">
        <v>43</v>
      </c>
      <c r="M733" s="874">
        <v>1</v>
      </c>
      <c r="N733" s="888" t="s">
        <v>1750</v>
      </c>
      <c r="O733" s="875" t="s">
        <v>1750</v>
      </c>
      <c r="P733" s="876">
        <v>1.6</v>
      </c>
      <c r="Q733" s="877" t="s">
        <v>179</v>
      </c>
      <c r="R733" s="876">
        <v>23</v>
      </c>
      <c r="S733" s="877" t="s">
        <v>179</v>
      </c>
      <c r="T733" s="878" t="s">
        <v>1750</v>
      </c>
      <c r="U733" s="879" t="s">
        <v>43</v>
      </c>
      <c r="V733" s="878" t="s">
        <v>1750</v>
      </c>
      <c r="W733" s="879" t="s">
        <v>43</v>
      </c>
      <c r="X733" s="876">
        <v>0.4</v>
      </c>
      <c r="Y733" s="880" t="s">
        <v>179</v>
      </c>
      <c r="Z733" s="881" t="s">
        <v>43</v>
      </c>
      <c r="AA733" s="882">
        <v>8.2999999999999998E-5</v>
      </c>
      <c r="AB733" s="883" t="s">
        <v>179</v>
      </c>
      <c r="AC733" s="884" t="s">
        <v>1750</v>
      </c>
    </row>
    <row r="734" spans="1:29" ht="15.75">
      <c r="A734" s="856" t="s">
        <v>1916</v>
      </c>
      <c r="B734" s="792" t="s">
        <v>1917</v>
      </c>
      <c r="C734" s="857" t="s">
        <v>1750</v>
      </c>
      <c r="D734" s="858" t="s">
        <v>43</v>
      </c>
      <c r="E734" s="843" t="s">
        <v>1750</v>
      </c>
      <c r="F734" s="858" t="s">
        <v>43</v>
      </c>
      <c r="G734" s="804">
        <v>1.0000000000000001E-5</v>
      </c>
      <c r="H734" s="859" t="s">
        <v>0</v>
      </c>
      <c r="I734" s="843" t="s">
        <v>1750</v>
      </c>
      <c r="J734" s="858" t="s">
        <v>43</v>
      </c>
      <c r="K734" s="858" t="s">
        <v>43</v>
      </c>
      <c r="L734" s="858" t="s">
        <v>43</v>
      </c>
      <c r="M734" s="859">
        <v>1</v>
      </c>
      <c r="N734" s="870" t="s">
        <v>1750</v>
      </c>
      <c r="O734" s="860" t="s">
        <v>1750</v>
      </c>
      <c r="P734" s="861">
        <v>0.78</v>
      </c>
      <c r="Q734" s="862" t="s">
        <v>179</v>
      </c>
      <c r="R734" s="861">
        <v>12</v>
      </c>
      <c r="S734" s="862" t="s">
        <v>179</v>
      </c>
      <c r="T734" s="863" t="s">
        <v>1750</v>
      </c>
      <c r="U734" s="864" t="s">
        <v>43</v>
      </c>
      <c r="V734" s="863" t="s">
        <v>1750</v>
      </c>
      <c r="W734" s="864" t="s">
        <v>43</v>
      </c>
      <c r="X734" s="861">
        <v>0.2</v>
      </c>
      <c r="Y734" s="865" t="s">
        <v>179</v>
      </c>
      <c r="Z734" s="866" t="s">
        <v>43</v>
      </c>
      <c r="AA734" s="886" t="s">
        <v>1750</v>
      </c>
      <c r="AB734" s="868" t="s">
        <v>179</v>
      </c>
      <c r="AC734" s="869" t="s">
        <v>1750</v>
      </c>
    </row>
    <row r="735" spans="1:29" ht="30.75">
      <c r="A735" s="856" t="s">
        <v>2436</v>
      </c>
      <c r="B735" s="792" t="s">
        <v>2437</v>
      </c>
      <c r="C735" s="857" t="s">
        <v>1750</v>
      </c>
      <c r="D735" s="858" t="s">
        <v>43</v>
      </c>
      <c r="E735" s="843" t="s">
        <v>1750</v>
      </c>
      <c r="F735" s="858" t="s">
        <v>43</v>
      </c>
      <c r="G735" s="804">
        <v>1.0000000000000001E-5</v>
      </c>
      <c r="H735" s="859" t="s">
        <v>14</v>
      </c>
      <c r="I735" s="843" t="s">
        <v>1750</v>
      </c>
      <c r="J735" s="858" t="s">
        <v>43</v>
      </c>
      <c r="K735" s="858" t="s">
        <v>43</v>
      </c>
      <c r="L735" s="858" t="s">
        <v>43</v>
      </c>
      <c r="M735" s="859">
        <v>1</v>
      </c>
      <c r="N735" s="870" t="s">
        <v>1750</v>
      </c>
      <c r="O735" s="860" t="s">
        <v>1750</v>
      </c>
      <c r="P735" s="861">
        <v>0.78</v>
      </c>
      <c r="Q735" s="862" t="s">
        <v>179</v>
      </c>
      <c r="R735" s="861">
        <v>12</v>
      </c>
      <c r="S735" s="862" t="s">
        <v>179</v>
      </c>
      <c r="T735" s="863" t="s">
        <v>1750</v>
      </c>
      <c r="U735" s="864" t="s">
        <v>43</v>
      </c>
      <c r="V735" s="863" t="s">
        <v>1750</v>
      </c>
      <c r="W735" s="864" t="s">
        <v>43</v>
      </c>
      <c r="X735" s="861">
        <v>0.2</v>
      </c>
      <c r="Y735" s="865" t="s">
        <v>179</v>
      </c>
      <c r="Z735" s="866" t="s">
        <v>43</v>
      </c>
      <c r="AA735" s="886" t="s">
        <v>1750</v>
      </c>
      <c r="AB735" s="868" t="s">
        <v>179</v>
      </c>
      <c r="AC735" s="869" t="s">
        <v>1750</v>
      </c>
    </row>
    <row r="736" spans="1:29" ht="16.5" thickBot="1">
      <c r="A736" s="871" t="s">
        <v>1918</v>
      </c>
      <c r="B736" s="807" t="s">
        <v>1919</v>
      </c>
      <c r="C736" s="872" t="s">
        <v>1750</v>
      </c>
      <c r="D736" s="873" t="s">
        <v>43</v>
      </c>
      <c r="E736" s="847" t="s">
        <v>1750</v>
      </c>
      <c r="F736" s="873" t="s">
        <v>43</v>
      </c>
      <c r="G736" s="819">
        <v>2.0000000000000002E-5</v>
      </c>
      <c r="H736" s="874" t="s">
        <v>0</v>
      </c>
      <c r="I736" s="847" t="s">
        <v>1750</v>
      </c>
      <c r="J736" s="873" t="s">
        <v>43</v>
      </c>
      <c r="K736" s="873" t="s">
        <v>43</v>
      </c>
      <c r="L736" s="873" t="s">
        <v>43</v>
      </c>
      <c r="M736" s="874">
        <v>1</v>
      </c>
      <c r="N736" s="888" t="s">
        <v>1750</v>
      </c>
      <c r="O736" s="875" t="s">
        <v>1750</v>
      </c>
      <c r="P736" s="876">
        <v>1.6</v>
      </c>
      <c r="Q736" s="877" t="s">
        <v>179</v>
      </c>
      <c r="R736" s="876">
        <v>23</v>
      </c>
      <c r="S736" s="877" t="s">
        <v>179</v>
      </c>
      <c r="T736" s="878" t="s">
        <v>1750</v>
      </c>
      <c r="U736" s="879" t="s">
        <v>43</v>
      </c>
      <c r="V736" s="878" t="s">
        <v>1750</v>
      </c>
      <c r="W736" s="879" t="s">
        <v>43</v>
      </c>
      <c r="X736" s="876">
        <v>0.4</v>
      </c>
      <c r="Y736" s="880" t="s">
        <v>179</v>
      </c>
      <c r="Z736" s="881" t="s">
        <v>43</v>
      </c>
      <c r="AA736" s="895" t="s">
        <v>1750</v>
      </c>
      <c r="AB736" s="883" t="s">
        <v>179</v>
      </c>
      <c r="AC736" s="884" t="s">
        <v>1750</v>
      </c>
    </row>
    <row r="737" spans="1:29" ht="30.75">
      <c r="A737" s="856" t="s">
        <v>2259</v>
      </c>
      <c r="B737" s="792" t="s">
        <v>962</v>
      </c>
      <c r="C737" s="857" t="s">
        <v>1750</v>
      </c>
      <c r="D737" s="858" t="s">
        <v>43</v>
      </c>
      <c r="E737" s="843" t="s">
        <v>1750</v>
      </c>
      <c r="F737" s="858" t="s">
        <v>43</v>
      </c>
      <c r="G737" s="804">
        <v>4.2999999999999997E-2</v>
      </c>
      <c r="H737" s="859" t="s">
        <v>2463</v>
      </c>
      <c r="I737" s="843" t="s">
        <v>1750</v>
      </c>
      <c r="J737" s="858" t="s">
        <v>43</v>
      </c>
      <c r="K737" s="858" t="s">
        <v>43</v>
      </c>
      <c r="L737" s="858" t="s">
        <v>43</v>
      </c>
      <c r="M737" s="859">
        <v>1</v>
      </c>
      <c r="N737" s="859">
        <v>0.1</v>
      </c>
      <c r="O737" s="860" t="s">
        <v>1750</v>
      </c>
      <c r="P737" s="861">
        <v>2700</v>
      </c>
      <c r="Q737" s="862" t="s">
        <v>179</v>
      </c>
      <c r="R737" s="861">
        <v>35000</v>
      </c>
      <c r="S737" s="862" t="s">
        <v>179</v>
      </c>
      <c r="T737" s="863" t="s">
        <v>1750</v>
      </c>
      <c r="U737" s="864" t="s">
        <v>43</v>
      </c>
      <c r="V737" s="863" t="s">
        <v>1750</v>
      </c>
      <c r="W737" s="864" t="s">
        <v>43</v>
      </c>
      <c r="X737" s="861">
        <v>860</v>
      </c>
      <c r="Y737" s="865" t="s">
        <v>179</v>
      </c>
      <c r="Z737" s="866" t="s">
        <v>43</v>
      </c>
      <c r="AA737" s="867">
        <v>0.26</v>
      </c>
      <c r="AB737" s="868" t="s">
        <v>179</v>
      </c>
      <c r="AC737" s="869" t="s">
        <v>1750</v>
      </c>
    </row>
    <row r="738" spans="1:29" ht="30.75">
      <c r="A738" s="856" t="s">
        <v>1522</v>
      </c>
      <c r="B738" s="792" t="s">
        <v>1523</v>
      </c>
      <c r="C738" s="857" t="s">
        <v>1750</v>
      </c>
      <c r="D738" s="858" t="s">
        <v>43</v>
      </c>
      <c r="E738" s="843" t="s">
        <v>1750</v>
      </c>
      <c r="F738" s="858" t="s">
        <v>43</v>
      </c>
      <c r="G738" s="804">
        <v>0.01</v>
      </c>
      <c r="H738" s="859" t="s">
        <v>280</v>
      </c>
      <c r="I738" s="843" t="s">
        <v>1750</v>
      </c>
      <c r="J738" s="858" t="s">
        <v>43</v>
      </c>
      <c r="K738" s="858" t="s">
        <v>43</v>
      </c>
      <c r="L738" s="858" t="s">
        <v>43</v>
      </c>
      <c r="M738" s="859">
        <v>1</v>
      </c>
      <c r="N738" s="859">
        <v>0.1</v>
      </c>
      <c r="O738" s="860" t="s">
        <v>1750</v>
      </c>
      <c r="P738" s="861">
        <v>630</v>
      </c>
      <c r="Q738" s="862" t="s">
        <v>179</v>
      </c>
      <c r="R738" s="861">
        <v>8200</v>
      </c>
      <c r="S738" s="862" t="s">
        <v>179</v>
      </c>
      <c r="T738" s="863" t="s">
        <v>1750</v>
      </c>
      <c r="U738" s="864" t="s">
        <v>43</v>
      </c>
      <c r="V738" s="863" t="s">
        <v>1750</v>
      </c>
      <c r="W738" s="864" t="s">
        <v>43</v>
      </c>
      <c r="X738" s="861">
        <v>160</v>
      </c>
      <c r="Y738" s="865" t="s">
        <v>179</v>
      </c>
      <c r="Z738" s="866" t="s">
        <v>43</v>
      </c>
      <c r="AA738" s="867">
        <v>0.55000000000000004</v>
      </c>
      <c r="AB738" s="868" t="s">
        <v>179</v>
      </c>
      <c r="AC738" s="869" t="s">
        <v>1750</v>
      </c>
    </row>
    <row r="739" spans="1:29" ht="16.5" thickBot="1">
      <c r="A739" s="871" t="s">
        <v>1524</v>
      </c>
      <c r="B739" s="807" t="s">
        <v>1525</v>
      </c>
      <c r="C739" s="872" t="s">
        <v>1750</v>
      </c>
      <c r="D739" s="873" t="s">
        <v>43</v>
      </c>
      <c r="E739" s="847" t="s">
        <v>1750</v>
      </c>
      <c r="F739" s="873" t="s">
        <v>43</v>
      </c>
      <c r="G739" s="819">
        <v>7.0000000000000007E-2</v>
      </c>
      <c r="H739" s="874" t="s">
        <v>0</v>
      </c>
      <c r="I739" s="847" t="s">
        <v>1750</v>
      </c>
      <c r="J739" s="873" t="s">
        <v>43</v>
      </c>
      <c r="K739" s="873" t="s">
        <v>43</v>
      </c>
      <c r="L739" s="873" t="s">
        <v>43</v>
      </c>
      <c r="M739" s="874">
        <v>1</v>
      </c>
      <c r="N739" s="874">
        <v>7.4999999999999997E-3</v>
      </c>
      <c r="O739" s="875" t="s">
        <v>1750</v>
      </c>
      <c r="P739" s="876">
        <v>5400</v>
      </c>
      <c r="Q739" s="877" t="s">
        <v>179</v>
      </c>
      <c r="R739" s="876">
        <v>79000</v>
      </c>
      <c r="S739" s="877" t="s">
        <v>179</v>
      </c>
      <c r="T739" s="878" t="s">
        <v>1750</v>
      </c>
      <c r="U739" s="879" t="s">
        <v>43</v>
      </c>
      <c r="V739" s="878" t="s">
        <v>1750</v>
      </c>
      <c r="W739" s="879" t="s">
        <v>43</v>
      </c>
      <c r="X739" s="876">
        <v>1400</v>
      </c>
      <c r="Y739" s="880" t="s">
        <v>179</v>
      </c>
      <c r="Z739" s="881" t="s">
        <v>43</v>
      </c>
      <c r="AA739" s="882">
        <v>0.28000000000000003</v>
      </c>
      <c r="AB739" s="883" t="s">
        <v>179</v>
      </c>
      <c r="AC739" s="884" t="s">
        <v>1750</v>
      </c>
    </row>
    <row r="740" spans="1:29" ht="30.75">
      <c r="A740" s="856" t="s">
        <v>1526</v>
      </c>
      <c r="B740" s="792" t="s">
        <v>1527</v>
      </c>
      <c r="C740" s="857" t="s">
        <v>1750</v>
      </c>
      <c r="D740" s="858" t="s">
        <v>43</v>
      </c>
      <c r="E740" s="843" t="s">
        <v>1750</v>
      </c>
      <c r="F740" s="858" t="s">
        <v>43</v>
      </c>
      <c r="G740" s="804">
        <v>2.9999999999999997E-4</v>
      </c>
      <c r="H740" s="859" t="s">
        <v>13</v>
      </c>
      <c r="I740" s="843" t="s">
        <v>1750</v>
      </c>
      <c r="J740" s="858" t="s">
        <v>43</v>
      </c>
      <c r="K740" s="858" t="s">
        <v>43</v>
      </c>
      <c r="L740" s="858" t="s">
        <v>43</v>
      </c>
      <c r="M740" s="859">
        <v>1</v>
      </c>
      <c r="N740" s="859">
        <v>0.1</v>
      </c>
      <c r="O740" s="860" t="s">
        <v>1750</v>
      </c>
      <c r="P740" s="861">
        <v>19</v>
      </c>
      <c r="Q740" s="862" t="s">
        <v>179</v>
      </c>
      <c r="R740" s="861">
        <v>250</v>
      </c>
      <c r="S740" s="862" t="s">
        <v>179</v>
      </c>
      <c r="T740" s="863" t="s">
        <v>1750</v>
      </c>
      <c r="U740" s="864" t="s">
        <v>43</v>
      </c>
      <c r="V740" s="863" t="s">
        <v>1750</v>
      </c>
      <c r="W740" s="864" t="s">
        <v>43</v>
      </c>
      <c r="X740" s="861">
        <v>5.3</v>
      </c>
      <c r="Y740" s="865" t="s">
        <v>179</v>
      </c>
      <c r="Z740" s="866" t="s">
        <v>43</v>
      </c>
      <c r="AA740" s="867">
        <v>1.8E-3</v>
      </c>
      <c r="AB740" s="868" t="s">
        <v>179</v>
      </c>
      <c r="AC740" s="869" t="s">
        <v>1750</v>
      </c>
    </row>
    <row r="741" spans="1:29" ht="30.75">
      <c r="A741" s="856" t="s">
        <v>1528</v>
      </c>
      <c r="B741" s="792" t="s">
        <v>1529</v>
      </c>
      <c r="C741" s="889">
        <v>1.2E-2</v>
      </c>
      <c r="D741" s="859" t="s">
        <v>2463</v>
      </c>
      <c r="E741" s="843" t="s">
        <v>1750</v>
      </c>
      <c r="F741" s="858" t="s">
        <v>43</v>
      </c>
      <c r="G741" s="804">
        <v>2.7E-2</v>
      </c>
      <c r="H741" s="859" t="s">
        <v>2463</v>
      </c>
      <c r="I741" s="843" t="s">
        <v>1750</v>
      </c>
      <c r="J741" s="858" t="s">
        <v>43</v>
      </c>
      <c r="K741" s="858" t="s">
        <v>43</v>
      </c>
      <c r="L741" s="858" t="s">
        <v>43</v>
      </c>
      <c r="M741" s="859">
        <v>1</v>
      </c>
      <c r="N741" s="859">
        <v>0.1</v>
      </c>
      <c r="O741" s="860" t="s">
        <v>1750</v>
      </c>
      <c r="P741" s="861">
        <v>47</v>
      </c>
      <c r="Q741" s="862" t="s">
        <v>2279</v>
      </c>
      <c r="R741" s="861">
        <v>200</v>
      </c>
      <c r="S741" s="862" t="s">
        <v>2283</v>
      </c>
      <c r="T741" s="863" t="s">
        <v>1750</v>
      </c>
      <c r="U741" s="864" t="s">
        <v>43</v>
      </c>
      <c r="V741" s="863" t="s">
        <v>1750</v>
      </c>
      <c r="W741" s="864" t="s">
        <v>43</v>
      </c>
      <c r="X741" s="861">
        <v>6.7</v>
      </c>
      <c r="Y741" s="865" t="s">
        <v>2279</v>
      </c>
      <c r="Z741" s="866" t="s">
        <v>43</v>
      </c>
      <c r="AA741" s="867">
        <v>5.7000000000000002E-3</v>
      </c>
      <c r="AB741" s="868" t="s">
        <v>2279</v>
      </c>
      <c r="AC741" s="869" t="s">
        <v>1750</v>
      </c>
    </row>
    <row r="742" spans="1:29" ht="16.5" thickBot="1">
      <c r="A742" s="871" t="s">
        <v>1530</v>
      </c>
      <c r="B742" s="807" t="s">
        <v>1531</v>
      </c>
      <c r="C742" s="872" t="s">
        <v>1750</v>
      </c>
      <c r="D742" s="873" t="s">
        <v>43</v>
      </c>
      <c r="E742" s="847" t="s">
        <v>1750</v>
      </c>
      <c r="F742" s="873" t="s">
        <v>43</v>
      </c>
      <c r="G742" s="819">
        <v>1.4999999999999999E-2</v>
      </c>
      <c r="H742" s="874" t="s">
        <v>2463</v>
      </c>
      <c r="I742" s="847" t="s">
        <v>1750</v>
      </c>
      <c r="J742" s="873" t="s">
        <v>43</v>
      </c>
      <c r="K742" s="873" t="s">
        <v>43</v>
      </c>
      <c r="L742" s="873" t="s">
        <v>43</v>
      </c>
      <c r="M742" s="874">
        <v>1</v>
      </c>
      <c r="N742" s="874">
        <v>0.1</v>
      </c>
      <c r="O742" s="875" t="s">
        <v>1750</v>
      </c>
      <c r="P742" s="876">
        <v>950</v>
      </c>
      <c r="Q742" s="877" t="s">
        <v>179</v>
      </c>
      <c r="R742" s="876">
        <v>12000</v>
      </c>
      <c r="S742" s="877" t="s">
        <v>179</v>
      </c>
      <c r="T742" s="878" t="s">
        <v>1750</v>
      </c>
      <c r="U742" s="879" t="s">
        <v>43</v>
      </c>
      <c r="V742" s="878" t="s">
        <v>1750</v>
      </c>
      <c r="W742" s="879" t="s">
        <v>43</v>
      </c>
      <c r="X742" s="876">
        <v>290</v>
      </c>
      <c r="Y742" s="880" t="s">
        <v>179</v>
      </c>
      <c r="Z742" s="881" t="s">
        <v>43</v>
      </c>
      <c r="AA742" s="882">
        <v>0.42</v>
      </c>
      <c r="AB742" s="883" t="s">
        <v>179</v>
      </c>
      <c r="AC742" s="884" t="s">
        <v>1750</v>
      </c>
    </row>
    <row r="743" spans="1:29" ht="15.75">
      <c r="A743" s="856" t="s">
        <v>1532</v>
      </c>
      <c r="B743" s="792" t="s">
        <v>1533</v>
      </c>
      <c r="C743" s="857" t="s">
        <v>1750</v>
      </c>
      <c r="D743" s="858" t="s">
        <v>43</v>
      </c>
      <c r="E743" s="843" t="s">
        <v>1750</v>
      </c>
      <c r="F743" s="858" t="s">
        <v>43</v>
      </c>
      <c r="G743" s="804">
        <v>0.6</v>
      </c>
      <c r="H743" s="859" t="s">
        <v>13</v>
      </c>
      <c r="I743" s="843" t="s">
        <v>1750</v>
      </c>
      <c r="J743" s="858" t="s">
        <v>43</v>
      </c>
      <c r="K743" s="858" t="s">
        <v>43</v>
      </c>
      <c r="L743" s="858" t="s">
        <v>43</v>
      </c>
      <c r="M743" s="859">
        <v>1</v>
      </c>
      <c r="N743" s="870" t="s">
        <v>1750</v>
      </c>
      <c r="O743" s="860" t="s">
        <v>1750</v>
      </c>
      <c r="P743" s="861">
        <v>47000</v>
      </c>
      <c r="Q743" s="862" t="s">
        <v>179</v>
      </c>
      <c r="R743" s="861">
        <v>700000</v>
      </c>
      <c r="S743" s="862" t="s">
        <v>2281</v>
      </c>
      <c r="T743" s="863" t="s">
        <v>1750</v>
      </c>
      <c r="U743" s="864" t="s">
        <v>43</v>
      </c>
      <c r="V743" s="863" t="s">
        <v>1750</v>
      </c>
      <c r="W743" s="864" t="s">
        <v>43</v>
      </c>
      <c r="X743" s="861">
        <v>12000</v>
      </c>
      <c r="Y743" s="865" t="s">
        <v>179</v>
      </c>
      <c r="Z743" s="866" t="s">
        <v>43</v>
      </c>
      <c r="AA743" s="867">
        <v>3000</v>
      </c>
      <c r="AB743" s="868" t="s">
        <v>179</v>
      </c>
      <c r="AC743" s="869" t="s">
        <v>1750</v>
      </c>
    </row>
    <row r="744" spans="1:29" ht="30.75">
      <c r="A744" s="856" t="s">
        <v>1534</v>
      </c>
      <c r="B744" s="792" t="s">
        <v>1535</v>
      </c>
      <c r="C744" s="857" t="s">
        <v>1750</v>
      </c>
      <c r="D744" s="858" t="s">
        <v>43</v>
      </c>
      <c r="E744" s="843" t="s">
        <v>1750</v>
      </c>
      <c r="F744" s="858" t="s">
        <v>43</v>
      </c>
      <c r="G744" s="843" t="s">
        <v>1750</v>
      </c>
      <c r="H744" s="858" t="s">
        <v>43</v>
      </c>
      <c r="I744" s="804">
        <v>1E-4</v>
      </c>
      <c r="J744" s="859" t="s">
        <v>18</v>
      </c>
      <c r="K744" s="859" t="s">
        <v>1634</v>
      </c>
      <c r="L744" s="858" t="s">
        <v>43</v>
      </c>
      <c r="M744" s="859">
        <v>1</v>
      </c>
      <c r="N744" s="870" t="s">
        <v>1750</v>
      </c>
      <c r="O744" s="860" t="s">
        <v>1750</v>
      </c>
      <c r="P744" s="861">
        <v>140000</v>
      </c>
      <c r="Q744" s="862" t="s">
        <v>2281</v>
      </c>
      <c r="R744" s="861">
        <v>600000</v>
      </c>
      <c r="S744" s="862" t="s">
        <v>2281</v>
      </c>
      <c r="T744" s="861">
        <v>0.1</v>
      </c>
      <c r="U744" s="862" t="s">
        <v>179</v>
      </c>
      <c r="V744" s="861">
        <v>0.44</v>
      </c>
      <c r="W744" s="862" t="s">
        <v>179</v>
      </c>
      <c r="X744" s="861">
        <v>0.21</v>
      </c>
      <c r="Y744" s="865" t="s">
        <v>179</v>
      </c>
      <c r="Z744" s="866" t="s">
        <v>43</v>
      </c>
      <c r="AA744" s="886" t="s">
        <v>1750</v>
      </c>
      <c r="AB744" s="868" t="s">
        <v>179</v>
      </c>
      <c r="AC744" s="869" t="s">
        <v>1750</v>
      </c>
    </row>
    <row r="745" spans="1:29" ht="16.5" thickBot="1">
      <c r="A745" s="871" t="s">
        <v>95</v>
      </c>
      <c r="B745" s="807" t="s">
        <v>1536</v>
      </c>
      <c r="C745" s="872" t="s">
        <v>1750</v>
      </c>
      <c r="D745" s="873" t="s">
        <v>43</v>
      </c>
      <c r="E745" s="847" t="s">
        <v>1750</v>
      </c>
      <c r="F745" s="873" t="s">
        <v>43</v>
      </c>
      <c r="G745" s="819">
        <v>0.08</v>
      </c>
      <c r="H745" s="874" t="s">
        <v>280</v>
      </c>
      <c r="I745" s="819">
        <v>5</v>
      </c>
      <c r="J745" s="874" t="s">
        <v>280</v>
      </c>
      <c r="K745" s="874" t="s">
        <v>1634</v>
      </c>
      <c r="L745" s="873" t="s">
        <v>43</v>
      </c>
      <c r="M745" s="874">
        <v>1</v>
      </c>
      <c r="N745" s="888" t="s">
        <v>1750</v>
      </c>
      <c r="O745" s="820">
        <v>818</v>
      </c>
      <c r="P745" s="876">
        <v>4900</v>
      </c>
      <c r="Q745" s="877" t="s">
        <v>2282</v>
      </c>
      <c r="R745" s="876">
        <v>47000</v>
      </c>
      <c r="S745" s="877" t="s">
        <v>2282</v>
      </c>
      <c r="T745" s="876">
        <v>5200</v>
      </c>
      <c r="U745" s="877" t="s">
        <v>179</v>
      </c>
      <c r="V745" s="876">
        <v>22000</v>
      </c>
      <c r="W745" s="877" t="s">
        <v>179</v>
      </c>
      <c r="X745" s="876">
        <v>1100</v>
      </c>
      <c r="Y745" s="880" t="s">
        <v>179</v>
      </c>
      <c r="Z745" s="893">
        <v>1000</v>
      </c>
      <c r="AA745" s="882">
        <v>0.76</v>
      </c>
      <c r="AB745" s="883" t="s">
        <v>179</v>
      </c>
      <c r="AC745" s="894">
        <v>0.69</v>
      </c>
    </row>
    <row r="746" spans="1:29" ht="30.75">
      <c r="A746" s="856" t="s">
        <v>2438</v>
      </c>
      <c r="B746" s="792" t="s">
        <v>2439</v>
      </c>
      <c r="C746" s="857" t="s">
        <v>1750</v>
      </c>
      <c r="D746" s="858" t="s">
        <v>43</v>
      </c>
      <c r="E746" s="804">
        <v>1.1E-5</v>
      </c>
      <c r="F746" s="859" t="s">
        <v>3</v>
      </c>
      <c r="G746" s="843" t="s">
        <v>1750</v>
      </c>
      <c r="H746" s="858" t="s">
        <v>43</v>
      </c>
      <c r="I746" s="804">
        <v>7.9999999999999996E-6</v>
      </c>
      <c r="J746" s="859" t="s">
        <v>3</v>
      </c>
      <c r="K746" s="859" t="s">
        <v>1634</v>
      </c>
      <c r="L746" s="858" t="s">
        <v>43</v>
      </c>
      <c r="M746" s="859">
        <v>1</v>
      </c>
      <c r="N746" s="870" t="s">
        <v>1750</v>
      </c>
      <c r="O746" s="860" t="s">
        <v>1750</v>
      </c>
      <c r="P746" s="861">
        <v>6.4</v>
      </c>
      <c r="Q746" s="862" t="s">
        <v>179</v>
      </c>
      <c r="R746" s="861">
        <v>27</v>
      </c>
      <c r="S746" s="862" t="s">
        <v>179</v>
      </c>
      <c r="T746" s="861">
        <v>8.3000000000000001E-3</v>
      </c>
      <c r="U746" s="862" t="s">
        <v>179</v>
      </c>
      <c r="V746" s="861">
        <v>3.5000000000000003E-2</v>
      </c>
      <c r="W746" s="862" t="s">
        <v>179</v>
      </c>
      <c r="X746" s="861">
        <v>1.7000000000000001E-2</v>
      </c>
      <c r="Y746" s="865" t="s">
        <v>179</v>
      </c>
      <c r="Z746" s="866" t="s">
        <v>43</v>
      </c>
      <c r="AA746" s="867">
        <v>2.5000000000000001E-4</v>
      </c>
      <c r="AB746" s="868" t="s">
        <v>179</v>
      </c>
      <c r="AC746" s="869" t="s">
        <v>1750</v>
      </c>
    </row>
    <row r="747" spans="1:29" ht="30.75">
      <c r="A747" s="856" t="s">
        <v>1920</v>
      </c>
      <c r="B747" s="792" t="s">
        <v>1921</v>
      </c>
      <c r="C747" s="889">
        <v>0.18</v>
      </c>
      <c r="D747" s="859" t="s">
        <v>0</v>
      </c>
      <c r="E747" s="843" t="s">
        <v>1750</v>
      </c>
      <c r="F747" s="858" t="s">
        <v>43</v>
      </c>
      <c r="G747" s="804">
        <v>2.0000000000000001E-4</v>
      </c>
      <c r="H747" s="859" t="s">
        <v>0</v>
      </c>
      <c r="I747" s="843" t="s">
        <v>1750</v>
      </c>
      <c r="J747" s="858" t="s">
        <v>43</v>
      </c>
      <c r="K747" s="858" t="s">
        <v>43</v>
      </c>
      <c r="L747" s="858" t="s">
        <v>43</v>
      </c>
      <c r="M747" s="859">
        <v>1</v>
      </c>
      <c r="N747" s="859">
        <v>0.1</v>
      </c>
      <c r="O747" s="860" t="s">
        <v>1750</v>
      </c>
      <c r="P747" s="861">
        <v>3</v>
      </c>
      <c r="Q747" s="862" t="s">
        <v>2278</v>
      </c>
      <c r="R747" s="861">
        <v>13</v>
      </c>
      <c r="S747" s="862" t="s">
        <v>2279</v>
      </c>
      <c r="T747" s="863" t="s">
        <v>1750</v>
      </c>
      <c r="U747" s="864" t="s">
        <v>43</v>
      </c>
      <c r="V747" s="863" t="s">
        <v>1750</v>
      </c>
      <c r="W747" s="864" t="s">
        <v>43</v>
      </c>
      <c r="X747" s="861">
        <v>0.43</v>
      </c>
      <c r="Y747" s="865" t="s">
        <v>2278</v>
      </c>
      <c r="Z747" s="866" t="s">
        <v>43</v>
      </c>
      <c r="AA747" s="867">
        <v>1.2999999999999999E-4</v>
      </c>
      <c r="AB747" s="868" t="s">
        <v>2278</v>
      </c>
      <c r="AC747" s="869" t="s">
        <v>1750</v>
      </c>
    </row>
    <row r="748" spans="1:29" ht="31.5" thickBot="1">
      <c r="A748" s="871" t="s">
        <v>2440</v>
      </c>
      <c r="B748" s="807" t="s">
        <v>2441</v>
      </c>
      <c r="C748" s="872" t="s">
        <v>1750</v>
      </c>
      <c r="D748" s="873" t="s">
        <v>43</v>
      </c>
      <c r="E748" s="819">
        <v>1.1E-5</v>
      </c>
      <c r="F748" s="874" t="s">
        <v>3</v>
      </c>
      <c r="G748" s="847" t="s">
        <v>1750</v>
      </c>
      <c r="H748" s="873" t="s">
        <v>43</v>
      </c>
      <c r="I748" s="819">
        <v>7.9999999999999996E-6</v>
      </c>
      <c r="J748" s="874" t="s">
        <v>3</v>
      </c>
      <c r="K748" s="874" t="s">
        <v>1634</v>
      </c>
      <c r="L748" s="873" t="s">
        <v>43</v>
      </c>
      <c r="M748" s="874">
        <v>1</v>
      </c>
      <c r="N748" s="888" t="s">
        <v>1750</v>
      </c>
      <c r="O748" s="820">
        <v>1710</v>
      </c>
      <c r="P748" s="876">
        <v>5.3</v>
      </c>
      <c r="Q748" s="877" t="s">
        <v>179</v>
      </c>
      <c r="R748" s="876">
        <v>22</v>
      </c>
      <c r="S748" s="877" t="s">
        <v>179</v>
      </c>
      <c r="T748" s="876">
        <v>8.3000000000000001E-3</v>
      </c>
      <c r="U748" s="877" t="s">
        <v>179</v>
      </c>
      <c r="V748" s="876">
        <v>3.5000000000000003E-2</v>
      </c>
      <c r="W748" s="877" t="s">
        <v>179</v>
      </c>
      <c r="X748" s="876">
        <v>1.7000000000000001E-2</v>
      </c>
      <c r="Y748" s="880" t="s">
        <v>179</v>
      </c>
      <c r="Z748" s="881" t="s">
        <v>43</v>
      </c>
      <c r="AA748" s="882">
        <v>2.5999999999999998E-4</v>
      </c>
      <c r="AB748" s="883" t="s">
        <v>179</v>
      </c>
      <c r="AC748" s="884" t="s">
        <v>1750</v>
      </c>
    </row>
    <row r="749" spans="1:29" ht="30.75">
      <c r="A749" s="856" t="s">
        <v>2442</v>
      </c>
      <c r="B749" s="792" t="s">
        <v>2443</v>
      </c>
      <c r="C749" s="889">
        <v>1.6E-2</v>
      </c>
      <c r="D749" s="859" t="s">
        <v>281</v>
      </c>
      <c r="E749" s="804">
        <v>5.1E-5</v>
      </c>
      <c r="F749" s="859" t="s">
        <v>3</v>
      </c>
      <c r="G749" s="843" t="s">
        <v>1750</v>
      </c>
      <c r="H749" s="858" t="s">
        <v>43</v>
      </c>
      <c r="I749" s="843" t="s">
        <v>1750</v>
      </c>
      <c r="J749" s="858" t="s">
        <v>43</v>
      </c>
      <c r="K749" s="858" t="s">
        <v>43</v>
      </c>
      <c r="L749" s="858" t="s">
        <v>43</v>
      </c>
      <c r="M749" s="859">
        <v>1</v>
      </c>
      <c r="N749" s="859">
        <v>0.1</v>
      </c>
      <c r="O749" s="860" t="s">
        <v>1750</v>
      </c>
      <c r="P749" s="861">
        <v>34</v>
      </c>
      <c r="Q749" s="862" t="s">
        <v>2283</v>
      </c>
      <c r="R749" s="861">
        <v>140</v>
      </c>
      <c r="S749" s="862" t="s">
        <v>2283</v>
      </c>
      <c r="T749" s="861">
        <v>5.5E-2</v>
      </c>
      <c r="U749" s="862" t="s">
        <v>2283</v>
      </c>
      <c r="V749" s="861">
        <v>0.24</v>
      </c>
      <c r="W749" s="862" t="s">
        <v>2283</v>
      </c>
      <c r="X749" s="861">
        <v>4.7</v>
      </c>
      <c r="Y749" s="865" t="s">
        <v>2283</v>
      </c>
      <c r="Z749" s="866" t="s">
        <v>43</v>
      </c>
      <c r="AA749" s="867">
        <v>2E-3</v>
      </c>
      <c r="AB749" s="868" t="s">
        <v>2283</v>
      </c>
      <c r="AC749" s="869" t="s">
        <v>1750</v>
      </c>
    </row>
    <row r="750" spans="1:29" ht="15.75">
      <c r="A750" s="856" t="s">
        <v>1537</v>
      </c>
      <c r="B750" s="792" t="s">
        <v>1538</v>
      </c>
      <c r="C750" s="889">
        <v>0.03</v>
      </c>
      <c r="D750" s="859" t="s">
        <v>281</v>
      </c>
      <c r="E750" s="843" t="s">
        <v>1750</v>
      </c>
      <c r="F750" s="858" t="s">
        <v>43</v>
      </c>
      <c r="G750" s="804">
        <v>4.0000000000000001E-3</v>
      </c>
      <c r="H750" s="859" t="s">
        <v>0</v>
      </c>
      <c r="I750" s="843" t="s">
        <v>1750</v>
      </c>
      <c r="J750" s="858" t="s">
        <v>43</v>
      </c>
      <c r="K750" s="858" t="s">
        <v>43</v>
      </c>
      <c r="L750" s="858" t="s">
        <v>43</v>
      </c>
      <c r="M750" s="859">
        <v>1</v>
      </c>
      <c r="N750" s="859">
        <v>0.1</v>
      </c>
      <c r="O750" s="860" t="s">
        <v>1750</v>
      </c>
      <c r="P750" s="861">
        <v>18</v>
      </c>
      <c r="Q750" s="862" t="s">
        <v>2279</v>
      </c>
      <c r="R750" s="861">
        <v>77</v>
      </c>
      <c r="S750" s="862" t="s">
        <v>2279</v>
      </c>
      <c r="T750" s="863" t="s">
        <v>1750</v>
      </c>
      <c r="U750" s="864" t="s">
        <v>43</v>
      </c>
      <c r="V750" s="863" t="s">
        <v>1750</v>
      </c>
      <c r="W750" s="864" t="s">
        <v>43</v>
      </c>
      <c r="X750" s="861">
        <v>2.5</v>
      </c>
      <c r="Y750" s="865" t="s">
        <v>2279</v>
      </c>
      <c r="Z750" s="866" t="s">
        <v>43</v>
      </c>
      <c r="AA750" s="867">
        <v>1.1000000000000001E-3</v>
      </c>
      <c r="AB750" s="868" t="s">
        <v>2279</v>
      </c>
      <c r="AC750" s="869" t="s">
        <v>1750</v>
      </c>
    </row>
    <row r="751" spans="1:29" ht="46.5" thickBot="1">
      <c r="A751" s="871" t="s">
        <v>2122</v>
      </c>
      <c r="B751" s="807" t="s">
        <v>2444</v>
      </c>
      <c r="C751" s="872" t="s">
        <v>1750</v>
      </c>
      <c r="D751" s="873" t="s">
        <v>43</v>
      </c>
      <c r="E751" s="847" t="s">
        <v>1750</v>
      </c>
      <c r="F751" s="873" t="s">
        <v>43</v>
      </c>
      <c r="G751" s="819">
        <v>3</v>
      </c>
      <c r="H751" s="874" t="s">
        <v>281</v>
      </c>
      <c r="I751" s="847" t="s">
        <v>1750</v>
      </c>
      <c r="J751" s="873" t="s">
        <v>43</v>
      </c>
      <c r="K751" s="874" t="s">
        <v>1634</v>
      </c>
      <c r="L751" s="873" t="s">
        <v>43</v>
      </c>
      <c r="M751" s="874">
        <v>1</v>
      </c>
      <c r="N751" s="888" t="s">
        <v>1750</v>
      </c>
      <c r="O751" s="820">
        <v>0.34200000000000003</v>
      </c>
      <c r="P751" s="876">
        <v>230000</v>
      </c>
      <c r="Q751" s="877" t="s">
        <v>2280</v>
      </c>
      <c r="R751" s="876">
        <v>3500000</v>
      </c>
      <c r="S751" s="877" t="s">
        <v>2280</v>
      </c>
      <c r="T751" s="878" t="s">
        <v>1750</v>
      </c>
      <c r="U751" s="879" t="s">
        <v>43</v>
      </c>
      <c r="V751" s="878" t="s">
        <v>1750</v>
      </c>
      <c r="W751" s="879" t="s">
        <v>43</v>
      </c>
      <c r="X751" s="876">
        <v>60000</v>
      </c>
      <c r="Y751" s="880" t="s">
        <v>179</v>
      </c>
      <c r="Z751" s="881" t="s">
        <v>43</v>
      </c>
      <c r="AA751" s="882">
        <v>2400</v>
      </c>
      <c r="AB751" s="883" t="s">
        <v>179</v>
      </c>
      <c r="AC751" s="884" t="s">
        <v>1750</v>
      </c>
    </row>
    <row r="752" spans="1:29" ht="45.75">
      <c r="A752" s="856" t="s">
        <v>2123</v>
      </c>
      <c r="B752" s="792" t="s">
        <v>2445</v>
      </c>
      <c r="C752" s="857" t="s">
        <v>1750</v>
      </c>
      <c r="D752" s="858" t="s">
        <v>43</v>
      </c>
      <c r="E752" s="843" t="s">
        <v>1750</v>
      </c>
      <c r="F752" s="858" t="s">
        <v>43</v>
      </c>
      <c r="G752" s="843" t="s">
        <v>1750</v>
      </c>
      <c r="H752" s="858" t="s">
        <v>43</v>
      </c>
      <c r="I752" s="804">
        <v>0.6</v>
      </c>
      <c r="J752" s="859" t="s">
        <v>281</v>
      </c>
      <c r="K752" s="859" t="s">
        <v>1634</v>
      </c>
      <c r="L752" s="858" t="s">
        <v>43</v>
      </c>
      <c r="M752" s="859">
        <v>1</v>
      </c>
      <c r="N752" s="870" t="s">
        <v>1750</v>
      </c>
      <c r="O752" s="805">
        <v>141</v>
      </c>
      <c r="P752" s="861">
        <v>520</v>
      </c>
      <c r="Q752" s="862" t="s">
        <v>2282</v>
      </c>
      <c r="R752" s="861">
        <v>2200</v>
      </c>
      <c r="S752" s="862" t="s">
        <v>2282</v>
      </c>
      <c r="T752" s="861">
        <v>630</v>
      </c>
      <c r="U752" s="862" t="s">
        <v>179</v>
      </c>
      <c r="V752" s="861">
        <v>2600</v>
      </c>
      <c r="W752" s="862" t="s">
        <v>179</v>
      </c>
      <c r="X752" s="861">
        <v>1300</v>
      </c>
      <c r="Y752" s="865" t="s">
        <v>179</v>
      </c>
      <c r="Z752" s="866" t="s">
        <v>43</v>
      </c>
      <c r="AA752" s="867">
        <v>8.8000000000000007</v>
      </c>
      <c r="AB752" s="868" t="s">
        <v>179</v>
      </c>
      <c r="AC752" s="869" t="s">
        <v>1750</v>
      </c>
    </row>
    <row r="753" spans="1:29" ht="45.75">
      <c r="A753" s="856" t="s">
        <v>2124</v>
      </c>
      <c r="B753" s="792" t="s">
        <v>2447</v>
      </c>
      <c r="C753" s="857" t="s">
        <v>1750</v>
      </c>
      <c r="D753" s="858" t="s">
        <v>43</v>
      </c>
      <c r="E753" s="843" t="s">
        <v>1750</v>
      </c>
      <c r="F753" s="858" t="s">
        <v>43</v>
      </c>
      <c r="G753" s="804">
        <v>0.01</v>
      </c>
      <c r="H753" s="859" t="s">
        <v>0</v>
      </c>
      <c r="I753" s="804">
        <v>0.1</v>
      </c>
      <c r="J753" s="859" t="s">
        <v>281</v>
      </c>
      <c r="K753" s="859" t="s">
        <v>1634</v>
      </c>
      <c r="L753" s="858" t="s">
        <v>43</v>
      </c>
      <c r="M753" s="859">
        <v>1</v>
      </c>
      <c r="N753" s="870" t="s">
        <v>1750</v>
      </c>
      <c r="O753" s="805">
        <v>6.86</v>
      </c>
      <c r="P753" s="861">
        <v>96</v>
      </c>
      <c r="Q753" s="862" t="s">
        <v>2282</v>
      </c>
      <c r="R753" s="861">
        <v>440</v>
      </c>
      <c r="S753" s="862" t="s">
        <v>2282</v>
      </c>
      <c r="T753" s="861">
        <v>100</v>
      </c>
      <c r="U753" s="862" t="s">
        <v>179</v>
      </c>
      <c r="V753" s="861">
        <v>440</v>
      </c>
      <c r="W753" s="862" t="s">
        <v>179</v>
      </c>
      <c r="X753" s="861">
        <v>100</v>
      </c>
      <c r="Y753" s="865" t="s">
        <v>179</v>
      </c>
      <c r="Z753" s="866" t="s">
        <v>43</v>
      </c>
      <c r="AA753" s="867">
        <v>1.5</v>
      </c>
      <c r="AB753" s="868" t="s">
        <v>179</v>
      </c>
      <c r="AC753" s="869" t="s">
        <v>1750</v>
      </c>
    </row>
    <row r="754" spans="1:29" ht="46.5" thickBot="1">
      <c r="A754" s="871" t="s">
        <v>2125</v>
      </c>
      <c r="B754" s="807" t="s">
        <v>2448</v>
      </c>
      <c r="C754" s="872" t="s">
        <v>1750</v>
      </c>
      <c r="D754" s="873" t="s">
        <v>43</v>
      </c>
      <c r="E754" s="847" t="s">
        <v>1750</v>
      </c>
      <c r="F754" s="873" t="s">
        <v>43</v>
      </c>
      <c r="G754" s="819">
        <v>0.04</v>
      </c>
      <c r="H754" s="874" t="s">
        <v>281</v>
      </c>
      <c r="I754" s="847" t="s">
        <v>1750</v>
      </c>
      <c r="J754" s="873" t="s">
        <v>43</v>
      </c>
      <c r="K754" s="873" t="s">
        <v>43</v>
      </c>
      <c r="L754" s="873" t="s">
        <v>43</v>
      </c>
      <c r="M754" s="874">
        <v>1</v>
      </c>
      <c r="N754" s="874">
        <v>0.1</v>
      </c>
      <c r="O754" s="875" t="s">
        <v>1750</v>
      </c>
      <c r="P754" s="876">
        <v>2500</v>
      </c>
      <c r="Q754" s="877" t="s">
        <v>179</v>
      </c>
      <c r="R754" s="876">
        <v>33000</v>
      </c>
      <c r="S754" s="877" t="s">
        <v>179</v>
      </c>
      <c r="T754" s="878" t="s">
        <v>1750</v>
      </c>
      <c r="U754" s="879" t="s">
        <v>43</v>
      </c>
      <c r="V754" s="878" t="s">
        <v>1750</v>
      </c>
      <c r="W754" s="879" t="s">
        <v>43</v>
      </c>
      <c r="X754" s="876">
        <v>800</v>
      </c>
      <c r="Y754" s="880" t="s">
        <v>179</v>
      </c>
      <c r="Z754" s="881" t="s">
        <v>43</v>
      </c>
      <c r="AA754" s="882">
        <v>89</v>
      </c>
      <c r="AB754" s="883" t="s">
        <v>179</v>
      </c>
      <c r="AC754" s="884" t="s">
        <v>1750</v>
      </c>
    </row>
    <row r="755" spans="1:29" ht="45.75">
      <c r="A755" s="856" t="s">
        <v>2126</v>
      </c>
      <c r="B755" s="792" t="s">
        <v>2449</v>
      </c>
      <c r="C755" s="857" t="s">
        <v>1750</v>
      </c>
      <c r="D755" s="858" t="s">
        <v>43</v>
      </c>
      <c r="E755" s="843" t="s">
        <v>1750</v>
      </c>
      <c r="F755" s="858" t="s">
        <v>43</v>
      </c>
      <c r="G755" s="804">
        <v>4.0000000000000001E-3</v>
      </c>
      <c r="H755" s="859" t="s">
        <v>281</v>
      </c>
      <c r="I755" s="804">
        <v>0.03</v>
      </c>
      <c r="J755" s="859" t="s">
        <v>281</v>
      </c>
      <c r="K755" s="859" t="s">
        <v>1634</v>
      </c>
      <c r="L755" s="858" t="s">
        <v>43</v>
      </c>
      <c r="M755" s="859">
        <v>1</v>
      </c>
      <c r="N755" s="870" t="s">
        <v>1750</v>
      </c>
      <c r="O755" s="805">
        <v>1820</v>
      </c>
      <c r="P755" s="861">
        <v>82</v>
      </c>
      <c r="Q755" s="862" t="s">
        <v>179</v>
      </c>
      <c r="R755" s="861">
        <v>420</v>
      </c>
      <c r="S755" s="862" t="s">
        <v>179</v>
      </c>
      <c r="T755" s="861">
        <v>31</v>
      </c>
      <c r="U755" s="862" t="s">
        <v>179</v>
      </c>
      <c r="V755" s="861">
        <v>130</v>
      </c>
      <c r="W755" s="862" t="s">
        <v>179</v>
      </c>
      <c r="X755" s="861">
        <v>33</v>
      </c>
      <c r="Y755" s="865" t="s">
        <v>179</v>
      </c>
      <c r="Z755" s="866" t="s">
        <v>43</v>
      </c>
      <c r="AA755" s="867">
        <v>1.7000000000000001E-2</v>
      </c>
      <c r="AB755" s="868" t="s">
        <v>179</v>
      </c>
      <c r="AC755" s="869" t="s">
        <v>1750</v>
      </c>
    </row>
    <row r="756" spans="1:29" ht="60.75">
      <c r="A756" s="856" t="s">
        <v>2127</v>
      </c>
      <c r="B756" s="792" t="s">
        <v>2450</v>
      </c>
      <c r="C756" s="857" t="s">
        <v>1750</v>
      </c>
      <c r="D756" s="858" t="s">
        <v>43</v>
      </c>
      <c r="E756" s="843" t="s">
        <v>1750</v>
      </c>
      <c r="F756" s="858" t="s">
        <v>43</v>
      </c>
      <c r="G756" s="804">
        <v>4.0000000000000001E-3</v>
      </c>
      <c r="H756" s="859" t="s">
        <v>281</v>
      </c>
      <c r="I756" s="804">
        <v>3.0000000000000001E-3</v>
      </c>
      <c r="J756" s="859" t="s">
        <v>281</v>
      </c>
      <c r="K756" s="859" t="s">
        <v>1634</v>
      </c>
      <c r="L756" s="858" t="s">
        <v>43</v>
      </c>
      <c r="M756" s="859">
        <v>1</v>
      </c>
      <c r="N756" s="870" t="s">
        <v>1750</v>
      </c>
      <c r="O756" s="860" t="s">
        <v>1750</v>
      </c>
      <c r="P756" s="861">
        <v>110</v>
      </c>
      <c r="Q756" s="862" t="s">
        <v>179</v>
      </c>
      <c r="R756" s="861">
        <v>600</v>
      </c>
      <c r="S756" s="862" t="s">
        <v>179</v>
      </c>
      <c r="T756" s="861">
        <v>3.1</v>
      </c>
      <c r="U756" s="862" t="s">
        <v>179</v>
      </c>
      <c r="V756" s="861">
        <v>13</v>
      </c>
      <c r="W756" s="862" t="s">
        <v>179</v>
      </c>
      <c r="X756" s="861">
        <v>5.5</v>
      </c>
      <c r="Y756" s="865" t="s">
        <v>179</v>
      </c>
      <c r="Z756" s="866" t="s">
        <v>43</v>
      </c>
      <c r="AA756" s="867">
        <v>2.3E-2</v>
      </c>
      <c r="AB756" s="868" t="s">
        <v>179</v>
      </c>
      <c r="AC756" s="869" t="s">
        <v>1750</v>
      </c>
    </row>
    <row r="757" spans="1:29" ht="16.5" thickBot="1">
      <c r="A757" s="871" t="s">
        <v>1539</v>
      </c>
      <c r="B757" s="807" t="s">
        <v>1540</v>
      </c>
      <c r="C757" s="890">
        <v>1.1000000000000001</v>
      </c>
      <c r="D757" s="874" t="s">
        <v>280</v>
      </c>
      <c r="E757" s="819">
        <v>3.2000000000000003E-4</v>
      </c>
      <c r="F757" s="874" t="s">
        <v>280</v>
      </c>
      <c r="G757" s="847" t="s">
        <v>1750</v>
      </c>
      <c r="H757" s="873" t="s">
        <v>43</v>
      </c>
      <c r="I757" s="847" t="s">
        <v>1750</v>
      </c>
      <c r="J757" s="873" t="s">
        <v>43</v>
      </c>
      <c r="K757" s="873" t="s">
        <v>43</v>
      </c>
      <c r="L757" s="873" t="s">
        <v>43</v>
      </c>
      <c r="M757" s="874">
        <v>1</v>
      </c>
      <c r="N757" s="874">
        <v>0.1</v>
      </c>
      <c r="O757" s="875" t="s">
        <v>1750</v>
      </c>
      <c r="P757" s="876">
        <v>0.49</v>
      </c>
      <c r="Q757" s="877" t="s">
        <v>2283</v>
      </c>
      <c r="R757" s="876">
        <v>2.1</v>
      </c>
      <c r="S757" s="877" t="s">
        <v>2283</v>
      </c>
      <c r="T757" s="876">
        <v>8.8000000000000005E-3</v>
      </c>
      <c r="U757" s="877" t="s">
        <v>2283</v>
      </c>
      <c r="V757" s="876">
        <v>3.7999999999999999E-2</v>
      </c>
      <c r="W757" s="877" t="s">
        <v>2283</v>
      </c>
      <c r="X757" s="876">
        <v>7.0999999999999994E-2</v>
      </c>
      <c r="Y757" s="880" t="s">
        <v>2283</v>
      </c>
      <c r="Z757" s="893">
        <v>3</v>
      </c>
      <c r="AA757" s="882">
        <v>1.0999999999999999E-2</v>
      </c>
      <c r="AB757" s="883" t="s">
        <v>2283</v>
      </c>
      <c r="AC757" s="894">
        <v>0.46</v>
      </c>
    </row>
    <row r="758" spans="1:29" ht="30.75">
      <c r="A758" s="856" t="s">
        <v>1541</v>
      </c>
      <c r="B758" s="792" t="s">
        <v>1542</v>
      </c>
      <c r="C758" s="857" t="s">
        <v>1750</v>
      </c>
      <c r="D758" s="858" t="s">
        <v>43</v>
      </c>
      <c r="E758" s="843" t="s">
        <v>1750</v>
      </c>
      <c r="F758" s="858" t="s">
        <v>43</v>
      </c>
      <c r="G758" s="804">
        <v>7.4999999999999997E-3</v>
      </c>
      <c r="H758" s="859" t="s">
        <v>280</v>
      </c>
      <c r="I758" s="843" t="s">
        <v>1750</v>
      </c>
      <c r="J758" s="858" t="s">
        <v>43</v>
      </c>
      <c r="K758" s="858" t="s">
        <v>43</v>
      </c>
      <c r="L758" s="858" t="s">
        <v>43</v>
      </c>
      <c r="M758" s="859">
        <v>1</v>
      </c>
      <c r="N758" s="859">
        <v>0.1</v>
      </c>
      <c r="O758" s="860" t="s">
        <v>1750</v>
      </c>
      <c r="P758" s="861">
        <v>470</v>
      </c>
      <c r="Q758" s="862" t="s">
        <v>179</v>
      </c>
      <c r="R758" s="861">
        <v>6200</v>
      </c>
      <c r="S758" s="862" t="s">
        <v>179</v>
      </c>
      <c r="T758" s="863" t="s">
        <v>1750</v>
      </c>
      <c r="U758" s="864" t="s">
        <v>43</v>
      </c>
      <c r="V758" s="863" t="s">
        <v>1750</v>
      </c>
      <c r="W758" s="864" t="s">
        <v>43</v>
      </c>
      <c r="X758" s="861">
        <v>150</v>
      </c>
      <c r="Y758" s="865" t="s">
        <v>179</v>
      </c>
      <c r="Z758" s="866" t="s">
        <v>43</v>
      </c>
      <c r="AA758" s="867">
        <v>58</v>
      </c>
      <c r="AB758" s="868" t="s">
        <v>179</v>
      </c>
      <c r="AC758" s="869" t="s">
        <v>1750</v>
      </c>
    </row>
    <row r="759" spans="1:29" ht="15.75">
      <c r="A759" s="856" t="s">
        <v>1543</v>
      </c>
      <c r="B759" s="792" t="s">
        <v>1544</v>
      </c>
      <c r="C759" s="857" t="s">
        <v>1750</v>
      </c>
      <c r="D759" s="858" t="s">
        <v>43</v>
      </c>
      <c r="E759" s="843" t="s">
        <v>1750</v>
      </c>
      <c r="F759" s="858" t="s">
        <v>43</v>
      </c>
      <c r="G759" s="804">
        <v>2.9999999999999997E-4</v>
      </c>
      <c r="H759" s="859" t="s">
        <v>18</v>
      </c>
      <c r="I759" s="843" t="s">
        <v>1750</v>
      </c>
      <c r="J759" s="858" t="s">
        <v>43</v>
      </c>
      <c r="K759" s="859" t="s">
        <v>1634</v>
      </c>
      <c r="L759" s="858" t="s">
        <v>43</v>
      </c>
      <c r="M759" s="859">
        <v>1</v>
      </c>
      <c r="N759" s="870" t="s">
        <v>1750</v>
      </c>
      <c r="O759" s="860" t="s">
        <v>1750</v>
      </c>
      <c r="P759" s="861">
        <v>23</v>
      </c>
      <c r="Q759" s="862" t="s">
        <v>179</v>
      </c>
      <c r="R759" s="861">
        <v>350</v>
      </c>
      <c r="S759" s="862" t="s">
        <v>179</v>
      </c>
      <c r="T759" s="863" t="s">
        <v>1750</v>
      </c>
      <c r="U759" s="864" t="s">
        <v>43</v>
      </c>
      <c r="V759" s="863" t="s">
        <v>1750</v>
      </c>
      <c r="W759" s="864" t="s">
        <v>43</v>
      </c>
      <c r="X759" s="861">
        <v>3.7</v>
      </c>
      <c r="Y759" s="865" t="s">
        <v>179</v>
      </c>
      <c r="Z759" s="866" t="s">
        <v>43</v>
      </c>
      <c r="AA759" s="867">
        <v>8.2000000000000003E-2</v>
      </c>
      <c r="AB759" s="868" t="s">
        <v>179</v>
      </c>
      <c r="AC759" s="869" t="s">
        <v>1750</v>
      </c>
    </row>
    <row r="760" spans="1:29" ht="16.5" thickBot="1">
      <c r="A760" s="871" t="s">
        <v>1922</v>
      </c>
      <c r="B760" s="807" t="s">
        <v>1923</v>
      </c>
      <c r="C760" s="872" t="s">
        <v>1750</v>
      </c>
      <c r="D760" s="873" t="s">
        <v>43</v>
      </c>
      <c r="E760" s="847" t="s">
        <v>1750</v>
      </c>
      <c r="F760" s="873" t="s">
        <v>43</v>
      </c>
      <c r="G760" s="819">
        <v>80</v>
      </c>
      <c r="H760" s="874" t="s">
        <v>0</v>
      </c>
      <c r="I760" s="847" t="s">
        <v>1750</v>
      </c>
      <c r="J760" s="873" t="s">
        <v>43</v>
      </c>
      <c r="K760" s="873" t="s">
        <v>43</v>
      </c>
      <c r="L760" s="873" t="s">
        <v>43</v>
      </c>
      <c r="M760" s="874">
        <v>1</v>
      </c>
      <c r="N760" s="874">
        <v>0.1</v>
      </c>
      <c r="O760" s="875" t="s">
        <v>1750</v>
      </c>
      <c r="P760" s="876">
        <v>5100000</v>
      </c>
      <c r="Q760" s="877" t="s">
        <v>2281</v>
      </c>
      <c r="R760" s="876">
        <v>66000000</v>
      </c>
      <c r="S760" s="877" t="s">
        <v>2281</v>
      </c>
      <c r="T760" s="878" t="s">
        <v>1750</v>
      </c>
      <c r="U760" s="879" t="s">
        <v>43</v>
      </c>
      <c r="V760" s="878" t="s">
        <v>1750</v>
      </c>
      <c r="W760" s="879" t="s">
        <v>43</v>
      </c>
      <c r="X760" s="876">
        <v>1600000</v>
      </c>
      <c r="Y760" s="880" t="s">
        <v>179</v>
      </c>
      <c r="Z760" s="881" t="s">
        <v>43</v>
      </c>
      <c r="AA760" s="882">
        <v>450</v>
      </c>
      <c r="AB760" s="883" t="s">
        <v>179</v>
      </c>
      <c r="AC760" s="884" t="s">
        <v>1750</v>
      </c>
    </row>
    <row r="761" spans="1:29" ht="30.75">
      <c r="A761" s="856" t="s">
        <v>2260</v>
      </c>
      <c r="B761" s="792" t="s">
        <v>439</v>
      </c>
      <c r="C761" s="857" t="s">
        <v>1750</v>
      </c>
      <c r="D761" s="858" t="s">
        <v>43</v>
      </c>
      <c r="E761" s="843" t="s">
        <v>1750</v>
      </c>
      <c r="F761" s="858" t="s">
        <v>43</v>
      </c>
      <c r="G761" s="804">
        <v>3.4000000000000002E-2</v>
      </c>
      <c r="H761" s="859" t="s">
        <v>2463</v>
      </c>
      <c r="I761" s="843" t="s">
        <v>1750</v>
      </c>
      <c r="J761" s="858" t="s">
        <v>43</v>
      </c>
      <c r="K761" s="858" t="s">
        <v>43</v>
      </c>
      <c r="L761" s="858" t="s">
        <v>43</v>
      </c>
      <c r="M761" s="859">
        <v>1</v>
      </c>
      <c r="N761" s="859">
        <v>0.1</v>
      </c>
      <c r="O761" s="860" t="s">
        <v>1750</v>
      </c>
      <c r="P761" s="861">
        <v>2100</v>
      </c>
      <c r="Q761" s="862" t="s">
        <v>179</v>
      </c>
      <c r="R761" s="861">
        <v>28000</v>
      </c>
      <c r="S761" s="862" t="s">
        <v>179</v>
      </c>
      <c r="T761" s="863" t="s">
        <v>1750</v>
      </c>
      <c r="U761" s="864" t="s">
        <v>43</v>
      </c>
      <c r="V761" s="863" t="s">
        <v>1750</v>
      </c>
      <c r="W761" s="864" t="s">
        <v>43</v>
      </c>
      <c r="X761" s="861">
        <v>630</v>
      </c>
      <c r="Y761" s="865" t="s">
        <v>179</v>
      </c>
      <c r="Z761" s="866" t="s">
        <v>43</v>
      </c>
      <c r="AA761" s="867">
        <v>0.5</v>
      </c>
      <c r="AB761" s="868" t="s">
        <v>179</v>
      </c>
      <c r="AC761" s="869" t="s">
        <v>1750</v>
      </c>
    </row>
    <row r="762" spans="1:29" ht="15.75">
      <c r="A762" s="856" t="s">
        <v>1545</v>
      </c>
      <c r="B762" s="792" t="s">
        <v>1546</v>
      </c>
      <c r="C762" s="889">
        <v>7.1999999999999995E-2</v>
      </c>
      <c r="D762" s="859" t="s">
        <v>2463</v>
      </c>
      <c r="E762" s="843" t="s">
        <v>1750</v>
      </c>
      <c r="F762" s="858" t="s">
        <v>43</v>
      </c>
      <c r="G762" s="804">
        <v>2.5000000000000001E-2</v>
      </c>
      <c r="H762" s="859" t="s">
        <v>2463</v>
      </c>
      <c r="I762" s="843" t="s">
        <v>1750</v>
      </c>
      <c r="J762" s="858" t="s">
        <v>43</v>
      </c>
      <c r="K762" s="859" t="s">
        <v>1634</v>
      </c>
      <c r="L762" s="858" t="s">
        <v>43</v>
      </c>
      <c r="M762" s="859">
        <v>1</v>
      </c>
      <c r="N762" s="870" t="s">
        <v>1750</v>
      </c>
      <c r="O762" s="860" t="s">
        <v>1750</v>
      </c>
      <c r="P762" s="861">
        <v>9.6999999999999993</v>
      </c>
      <c r="Q762" s="862" t="s">
        <v>2283</v>
      </c>
      <c r="R762" s="861">
        <v>46</v>
      </c>
      <c r="S762" s="862" t="s">
        <v>2283</v>
      </c>
      <c r="T762" s="863" t="s">
        <v>1750</v>
      </c>
      <c r="U762" s="864" t="s">
        <v>43</v>
      </c>
      <c r="V762" s="863" t="s">
        <v>1750</v>
      </c>
      <c r="W762" s="864" t="s">
        <v>43</v>
      </c>
      <c r="X762" s="861">
        <v>0.47</v>
      </c>
      <c r="Y762" s="865" t="s">
        <v>2283</v>
      </c>
      <c r="Z762" s="866" t="s">
        <v>43</v>
      </c>
      <c r="AA762" s="867">
        <v>1E-3</v>
      </c>
      <c r="AB762" s="868" t="s">
        <v>2283</v>
      </c>
      <c r="AC762" s="869" t="s">
        <v>1750</v>
      </c>
    </row>
    <row r="763" spans="1:29" ht="31.5" thickBot="1">
      <c r="A763" s="871" t="s">
        <v>1547</v>
      </c>
      <c r="B763" s="807" t="s">
        <v>1548</v>
      </c>
      <c r="C763" s="872" t="s">
        <v>1750</v>
      </c>
      <c r="D763" s="873" t="s">
        <v>43</v>
      </c>
      <c r="E763" s="847" t="s">
        <v>1750</v>
      </c>
      <c r="F763" s="873" t="s">
        <v>43</v>
      </c>
      <c r="G763" s="819">
        <v>0.01</v>
      </c>
      <c r="H763" s="874" t="s">
        <v>280</v>
      </c>
      <c r="I763" s="847" t="s">
        <v>1750</v>
      </c>
      <c r="J763" s="873" t="s">
        <v>43</v>
      </c>
      <c r="K763" s="873" t="s">
        <v>43</v>
      </c>
      <c r="L763" s="873" t="s">
        <v>43</v>
      </c>
      <c r="M763" s="874">
        <v>1</v>
      </c>
      <c r="N763" s="874">
        <v>0.1</v>
      </c>
      <c r="O763" s="875" t="s">
        <v>1750</v>
      </c>
      <c r="P763" s="876">
        <v>630</v>
      </c>
      <c r="Q763" s="877" t="s">
        <v>179</v>
      </c>
      <c r="R763" s="876">
        <v>8200</v>
      </c>
      <c r="S763" s="877" t="s">
        <v>179</v>
      </c>
      <c r="T763" s="878" t="s">
        <v>1750</v>
      </c>
      <c r="U763" s="879" t="s">
        <v>43</v>
      </c>
      <c r="V763" s="878" t="s">
        <v>1750</v>
      </c>
      <c r="W763" s="879" t="s">
        <v>43</v>
      </c>
      <c r="X763" s="876">
        <v>200</v>
      </c>
      <c r="Y763" s="880" t="s">
        <v>179</v>
      </c>
      <c r="Z763" s="881" t="s">
        <v>43</v>
      </c>
      <c r="AA763" s="882">
        <v>0.21</v>
      </c>
      <c r="AB763" s="883" t="s">
        <v>179</v>
      </c>
      <c r="AC763" s="884" t="s">
        <v>1750</v>
      </c>
    </row>
    <row r="764" spans="1:29" ht="30.75">
      <c r="A764" s="856" t="s">
        <v>2261</v>
      </c>
      <c r="B764" s="792" t="s">
        <v>906</v>
      </c>
      <c r="C764" s="857" t="s">
        <v>1750</v>
      </c>
      <c r="D764" s="858" t="s">
        <v>43</v>
      </c>
      <c r="E764" s="843" t="s">
        <v>1750</v>
      </c>
      <c r="F764" s="858" t="s">
        <v>43</v>
      </c>
      <c r="G764" s="804">
        <v>8.0000000000000002E-3</v>
      </c>
      <c r="H764" s="859" t="s">
        <v>280</v>
      </c>
      <c r="I764" s="843" t="s">
        <v>1750</v>
      </c>
      <c r="J764" s="858" t="s">
        <v>43</v>
      </c>
      <c r="K764" s="858" t="s">
        <v>43</v>
      </c>
      <c r="L764" s="858" t="s">
        <v>43</v>
      </c>
      <c r="M764" s="859">
        <v>1</v>
      </c>
      <c r="N764" s="859">
        <v>0.1</v>
      </c>
      <c r="O764" s="860" t="s">
        <v>1750</v>
      </c>
      <c r="P764" s="861">
        <v>510</v>
      </c>
      <c r="Q764" s="862" t="s">
        <v>179</v>
      </c>
      <c r="R764" s="861">
        <v>6600</v>
      </c>
      <c r="S764" s="862" t="s">
        <v>179</v>
      </c>
      <c r="T764" s="863" t="s">
        <v>1750</v>
      </c>
      <c r="U764" s="864" t="s">
        <v>43</v>
      </c>
      <c r="V764" s="863" t="s">
        <v>1750</v>
      </c>
      <c r="W764" s="864" t="s">
        <v>43</v>
      </c>
      <c r="X764" s="861">
        <v>160</v>
      </c>
      <c r="Y764" s="865" t="s">
        <v>179</v>
      </c>
      <c r="Z764" s="866" t="s">
        <v>43</v>
      </c>
      <c r="AA764" s="867">
        <v>6.0999999999999999E-2</v>
      </c>
      <c r="AB764" s="868" t="s">
        <v>179</v>
      </c>
      <c r="AC764" s="869" t="s">
        <v>1750</v>
      </c>
    </row>
    <row r="765" spans="1:29" ht="30.75">
      <c r="A765" s="856" t="s">
        <v>1549</v>
      </c>
      <c r="B765" s="792" t="s">
        <v>1550</v>
      </c>
      <c r="C765" s="857" t="s">
        <v>1750</v>
      </c>
      <c r="D765" s="858" t="s">
        <v>43</v>
      </c>
      <c r="E765" s="843" t="s">
        <v>1750</v>
      </c>
      <c r="F765" s="858" t="s">
        <v>43</v>
      </c>
      <c r="G765" s="804">
        <v>5.0000000000000001E-3</v>
      </c>
      <c r="H765" s="859" t="s">
        <v>280</v>
      </c>
      <c r="I765" s="843" t="s">
        <v>1750</v>
      </c>
      <c r="J765" s="858" t="s">
        <v>43</v>
      </c>
      <c r="K765" s="859" t="s">
        <v>1634</v>
      </c>
      <c r="L765" s="858" t="s">
        <v>43</v>
      </c>
      <c r="M765" s="859">
        <v>1</v>
      </c>
      <c r="N765" s="870" t="s">
        <v>1750</v>
      </c>
      <c r="O765" s="860" t="s">
        <v>1750</v>
      </c>
      <c r="P765" s="861">
        <v>390</v>
      </c>
      <c r="Q765" s="862" t="s">
        <v>179</v>
      </c>
      <c r="R765" s="861">
        <v>5800</v>
      </c>
      <c r="S765" s="862" t="s">
        <v>179</v>
      </c>
      <c r="T765" s="863" t="s">
        <v>1750</v>
      </c>
      <c r="U765" s="864" t="s">
        <v>43</v>
      </c>
      <c r="V765" s="863" t="s">
        <v>1750</v>
      </c>
      <c r="W765" s="864" t="s">
        <v>43</v>
      </c>
      <c r="X765" s="861">
        <v>45</v>
      </c>
      <c r="Y765" s="865" t="s">
        <v>179</v>
      </c>
      <c r="Z765" s="866" t="s">
        <v>43</v>
      </c>
      <c r="AA765" s="867">
        <v>6.4000000000000001E-2</v>
      </c>
      <c r="AB765" s="868" t="s">
        <v>179</v>
      </c>
      <c r="AC765" s="869" t="s">
        <v>1750</v>
      </c>
    </row>
    <row r="766" spans="1:29" ht="31.5" thickBot="1">
      <c r="A766" s="871" t="s">
        <v>2451</v>
      </c>
      <c r="B766" s="807" t="s">
        <v>2452</v>
      </c>
      <c r="C766" s="872" t="s">
        <v>1750</v>
      </c>
      <c r="D766" s="873" t="s">
        <v>43</v>
      </c>
      <c r="E766" s="847" t="s">
        <v>1750</v>
      </c>
      <c r="F766" s="873" t="s">
        <v>43</v>
      </c>
      <c r="G766" s="819">
        <v>8.9999999999999993E-3</v>
      </c>
      <c r="H766" s="874" t="s">
        <v>0</v>
      </c>
      <c r="I766" s="847" t="s">
        <v>1750</v>
      </c>
      <c r="J766" s="873" t="s">
        <v>43</v>
      </c>
      <c r="K766" s="873" t="s">
        <v>43</v>
      </c>
      <c r="L766" s="873" t="s">
        <v>43</v>
      </c>
      <c r="M766" s="874">
        <v>1</v>
      </c>
      <c r="N766" s="874">
        <v>0.1</v>
      </c>
      <c r="O766" s="875" t="s">
        <v>1750</v>
      </c>
      <c r="P766" s="876">
        <v>570</v>
      </c>
      <c r="Q766" s="877" t="s">
        <v>179</v>
      </c>
      <c r="R766" s="876">
        <v>7400</v>
      </c>
      <c r="S766" s="877" t="s">
        <v>179</v>
      </c>
      <c r="T766" s="878" t="s">
        <v>1750</v>
      </c>
      <c r="U766" s="879" t="s">
        <v>43</v>
      </c>
      <c r="V766" s="878" t="s">
        <v>1750</v>
      </c>
      <c r="W766" s="879" t="s">
        <v>43</v>
      </c>
      <c r="X766" s="876">
        <v>120</v>
      </c>
      <c r="Y766" s="880" t="s">
        <v>179</v>
      </c>
      <c r="Z766" s="881" t="s">
        <v>43</v>
      </c>
      <c r="AA766" s="882">
        <v>0.22</v>
      </c>
      <c r="AB766" s="883" t="s">
        <v>179</v>
      </c>
      <c r="AC766" s="884" t="s">
        <v>1750</v>
      </c>
    </row>
    <row r="767" spans="1:29" ht="15.75">
      <c r="A767" s="856" t="s">
        <v>1551</v>
      </c>
      <c r="B767" s="792" t="s">
        <v>1552</v>
      </c>
      <c r="C767" s="889">
        <v>8.9999999999999993E-3</v>
      </c>
      <c r="D767" s="859" t="s">
        <v>281</v>
      </c>
      <c r="E767" s="843" t="s">
        <v>1750</v>
      </c>
      <c r="F767" s="858" t="s">
        <v>43</v>
      </c>
      <c r="G767" s="804">
        <v>0.01</v>
      </c>
      <c r="H767" s="859" t="s">
        <v>281</v>
      </c>
      <c r="I767" s="843" t="s">
        <v>1750</v>
      </c>
      <c r="J767" s="858" t="s">
        <v>43</v>
      </c>
      <c r="K767" s="858" t="s">
        <v>43</v>
      </c>
      <c r="L767" s="858" t="s">
        <v>43</v>
      </c>
      <c r="M767" s="859">
        <v>1</v>
      </c>
      <c r="N767" s="859">
        <v>0.1</v>
      </c>
      <c r="O767" s="860" t="s">
        <v>1750</v>
      </c>
      <c r="P767" s="861">
        <v>60</v>
      </c>
      <c r="Q767" s="862" t="s">
        <v>2279</v>
      </c>
      <c r="R767" s="861">
        <v>260</v>
      </c>
      <c r="S767" s="862" t="s">
        <v>2279</v>
      </c>
      <c r="T767" s="863" t="s">
        <v>1750</v>
      </c>
      <c r="U767" s="864" t="s">
        <v>43</v>
      </c>
      <c r="V767" s="863" t="s">
        <v>1750</v>
      </c>
      <c r="W767" s="864" t="s">
        <v>43</v>
      </c>
      <c r="X767" s="861">
        <v>5.2</v>
      </c>
      <c r="Y767" s="865" t="s">
        <v>2279</v>
      </c>
      <c r="Z767" s="866" t="s">
        <v>43</v>
      </c>
      <c r="AA767" s="867">
        <v>2.5000000000000001E-2</v>
      </c>
      <c r="AB767" s="868" t="s">
        <v>2279</v>
      </c>
      <c r="AC767" s="869" t="s">
        <v>1750</v>
      </c>
    </row>
    <row r="768" spans="1:29" ht="30.75">
      <c r="A768" s="856" t="s">
        <v>1553</v>
      </c>
      <c r="B768" s="792" t="s">
        <v>2453</v>
      </c>
      <c r="C768" s="857" t="s">
        <v>1750</v>
      </c>
      <c r="D768" s="858" t="s">
        <v>43</v>
      </c>
      <c r="E768" s="843" t="s">
        <v>1750</v>
      </c>
      <c r="F768" s="858" t="s">
        <v>43</v>
      </c>
      <c r="G768" s="804">
        <v>2.9999999999999997E-4</v>
      </c>
      <c r="H768" s="859" t="s">
        <v>281</v>
      </c>
      <c r="I768" s="843" t="s">
        <v>1750</v>
      </c>
      <c r="J768" s="858" t="s">
        <v>43</v>
      </c>
      <c r="K768" s="858" t="s">
        <v>43</v>
      </c>
      <c r="L768" s="858" t="s">
        <v>43</v>
      </c>
      <c r="M768" s="859">
        <v>1</v>
      </c>
      <c r="N768" s="859">
        <v>0.1</v>
      </c>
      <c r="O768" s="860" t="s">
        <v>1750</v>
      </c>
      <c r="P768" s="861">
        <v>19</v>
      </c>
      <c r="Q768" s="862" t="s">
        <v>179</v>
      </c>
      <c r="R768" s="861">
        <v>250</v>
      </c>
      <c r="S768" s="862" t="s">
        <v>179</v>
      </c>
      <c r="T768" s="863" t="s">
        <v>1750</v>
      </c>
      <c r="U768" s="864" t="s">
        <v>43</v>
      </c>
      <c r="V768" s="863" t="s">
        <v>1750</v>
      </c>
      <c r="W768" s="864" t="s">
        <v>43</v>
      </c>
      <c r="X768" s="861">
        <v>6</v>
      </c>
      <c r="Y768" s="865" t="s">
        <v>179</v>
      </c>
      <c r="Z768" s="866" t="s">
        <v>43</v>
      </c>
      <c r="AA768" s="886" t="s">
        <v>1750</v>
      </c>
      <c r="AB768" s="868" t="s">
        <v>179</v>
      </c>
      <c r="AC768" s="869" t="s">
        <v>1750</v>
      </c>
    </row>
    <row r="769" spans="1:29" ht="16.5" thickBot="1">
      <c r="A769" s="871" t="s">
        <v>1554</v>
      </c>
      <c r="B769" s="807" t="s">
        <v>1555</v>
      </c>
      <c r="C769" s="872" t="s">
        <v>1750</v>
      </c>
      <c r="D769" s="873" t="s">
        <v>43</v>
      </c>
      <c r="E769" s="847" t="s">
        <v>1750</v>
      </c>
      <c r="F769" s="873" t="s">
        <v>43</v>
      </c>
      <c r="G769" s="819">
        <v>2.9999999999999997E-4</v>
      </c>
      <c r="H769" s="874" t="s">
        <v>280</v>
      </c>
      <c r="I769" s="847" t="s">
        <v>1750</v>
      </c>
      <c r="J769" s="873" t="s">
        <v>43</v>
      </c>
      <c r="K769" s="873" t="s">
        <v>43</v>
      </c>
      <c r="L769" s="873" t="s">
        <v>43</v>
      </c>
      <c r="M769" s="874">
        <v>1</v>
      </c>
      <c r="N769" s="874">
        <v>0.1</v>
      </c>
      <c r="O769" s="875" t="s">
        <v>1750</v>
      </c>
      <c r="P769" s="876">
        <v>19</v>
      </c>
      <c r="Q769" s="877" t="s">
        <v>179</v>
      </c>
      <c r="R769" s="876">
        <v>250</v>
      </c>
      <c r="S769" s="877" t="s">
        <v>179</v>
      </c>
      <c r="T769" s="878" t="s">
        <v>1750</v>
      </c>
      <c r="U769" s="879" t="s">
        <v>43</v>
      </c>
      <c r="V769" s="878" t="s">
        <v>1750</v>
      </c>
      <c r="W769" s="879" t="s">
        <v>43</v>
      </c>
      <c r="X769" s="876">
        <v>5.7</v>
      </c>
      <c r="Y769" s="880" t="s">
        <v>179</v>
      </c>
      <c r="Z769" s="881" t="s">
        <v>43</v>
      </c>
      <c r="AA769" s="882">
        <v>290</v>
      </c>
      <c r="AB769" s="883" t="s">
        <v>179</v>
      </c>
      <c r="AC769" s="884" t="s">
        <v>1750</v>
      </c>
    </row>
    <row r="770" spans="1:29" ht="45.75">
      <c r="A770" s="856" t="s">
        <v>153</v>
      </c>
      <c r="B770" s="792" t="s">
        <v>1556</v>
      </c>
      <c r="C770" s="857" t="s">
        <v>1750</v>
      </c>
      <c r="D770" s="858" t="s">
        <v>43</v>
      </c>
      <c r="E770" s="843" t="s">
        <v>1750</v>
      </c>
      <c r="F770" s="858" t="s">
        <v>43</v>
      </c>
      <c r="G770" s="804">
        <v>30</v>
      </c>
      <c r="H770" s="859" t="s">
        <v>280</v>
      </c>
      <c r="I770" s="804">
        <v>5</v>
      </c>
      <c r="J770" s="859" t="s">
        <v>281</v>
      </c>
      <c r="K770" s="859" t="s">
        <v>1634</v>
      </c>
      <c r="L770" s="858" t="s">
        <v>43</v>
      </c>
      <c r="M770" s="859">
        <v>1</v>
      </c>
      <c r="N770" s="870" t="s">
        <v>1750</v>
      </c>
      <c r="O770" s="805">
        <v>910</v>
      </c>
      <c r="P770" s="861">
        <v>6700</v>
      </c>
      <c r="Q770" s="862" t="s">
        <v>2282</v>
      </c>
      <c r="R770" s="861">
        <v>28000</v>
      </c>
      <c r="S770" s="862" t="s">
        <v>2282</v>
      </c>
      <c r="T770" s="861">
        <v>5200</v>
      </c>
      <c r="U770" s="862" t="s">
        <v>179</v>
      </c>
      <c r="V770" s="861">
        <v>22000</v>
      </c>
      <c r="W770" s="862" t="s">
        <v>179</v>
      </c>
      <c r="X770" s="861">
        <v>10000</v>
      </c>
      <c r="Y770" s="865" t="s">
        <v>179</v>
      </c>
      <c r="Z770" s="866" t="s">
        <v>43</v>
      </c>
      <c r="AA770" s="867">
        <v>26</v>
      </c>
      <c r="AB770" s="868" t="s">
        <v>179</v>
      </c>
      <c r="AC770" s="869" t="s">
        <v>1750</v>
      </c>
    </row>
    <row r="771" spans="1:29" ht="30.75">
      <c r="A771" s="856" t="s">
        <v>1557</v>
      </c>
      <c r="B771" s="792" t="s">
        <v>1558</v>
      </c>
      <c r="C771" s="889">
        <v>7.0000000000000007E-2</v>
      </c>
      <c r="D771" s="859" t="s">
        <v>280</v>
      </c>
      <c r="E771" s="843" t="s">
        <v>1750</v>
      </c>
      <c r="F771" s="858" t="s">
        <v>43</v>
      </c>
      <c r="G771" s="804">
        <v>0.02</v>
      </c>
      <c r="H771" s="859" t="s">
        <v>280</v>
      </c>
      <c r="I771" s="843" t="s">
        <v>1750</v>
      </c>
      <c r="J771" s="858" t="s">
        <v>43</v>
      </c>
      <c r="K771" s="858" t="s">
        <v>43</v>
      </c>
      <c r="L771" s="858" t="s">
        <v>43</v>
      </c>
      <c r="M771" s="859">
        <v>1</v>
      </c>
      <c r="N771" s="859">
        <v>0.1</v>
      </c>
      <c r="O771" s="860" t="s">
        <v>1750</v>
      </c>
      <c r="P771" s="861">
        <v>7.8</v>
      </c>
      <c r="Q771" s="862" t="s">
        <v>2283</v>
      </c>
      <c r="R771" s="861">
        <v>33</v>
      </c>
      <c r="S771" s="862" t="s">
        <v>2283</v>
      </c>
      <c r="T771" s="863" t="s">
        <v>1750</v>
      </c>
      <c r="U771" s="864" t="s">
        <v>43</v>
      </c>
      <c r="V771" s="863" t="s">
        <v>1750</v>
      </c>
      <c r="W771" s="864" t="s">
        <v>43</v>
      </c>
      <c r="X771" s="861">
        <v>1.1000000000000001</v>
      </c>
      <c r="Y771" s="865" t="s">
        <v>2283</v>
      </c>
      <c r="Z771" s="891">
        <v>60</v>
      </c>
      <c r="AA771" s="867">
        <v>2.2000000000000001E-4</v>
      </c>
      <c r="AB771" s="868" t="s">
        <v>2283</v>
      </c>
      <c r="AC771" s="892">
        <v>1.2E-2</v>
      </c>
    </row>
    <row r="772" spans="1:29" ht="31.5" thickBot="1">
      <c r="A772" s="871" t="s">
        <v>1559</v>
      </c>
      <c r="B772" s="807" t="s">
        <v>1560</v>
      </c>
      <c r="C772" s="890">
        <v>2.9000000000000001E-2</v>
      </c>
      <c r="D772" s="874" t="s">
        <v>13</v>
      </c>
      <c r="E772" s="847" t="s">
        <v>1750</v>
      </c>
      <c r="F772" s="873" t="s">
        <v>43</v>
      </c>
      <c r="G772" s="847" t="s">
        <v>1750</v>
      </c>
      <c r="H772" s="873" t="s">
        <v>43</v>
      </c>
      <c r="I772" s="847" t="s">
        <v>1750</v>
      </c>
      <c r="J772" s="873" t="s">
        <v>43</v>
      </c>
      <c r="K772" s="873" t="s">
        <v>43</v>
      </c>
      <c r="L772" s="873" t="s">
        <v>43</v>
      </c>
      <c r="M772" s="874">
        <v>1</v>
      </c>
      <c r="N772" s="874">
        <v>0.1</v>
      </c>
      <c r="O772" s="875" t="s">
        <v>1750</v>
      </c>
      <c r="P772" s="876">
        <v>19</v>
      </c>
      <c r="Q772" s="877" t="s">
        <v>2283</v>
      </c>
      <c r="R772" s="876">
        <v>79</v>
      </c>
      <c r="S772" s="877" t="s">
        <v>2283</v>
      </c>
      <c r="T772" s="878" t="s">
        <v>1750</v>
      </c>
      <c r="U772" s="879" t="s">
        <v>43</v>
      </c>
      <c r="V772" s="878" t="s">
        <v>1750</v>
      </c>
      <c r="W772" s="879" t="s">
        <v>43</v>
      </c>
      <c r="X772" s="876">
        <v>2.7</v>
      </c>
      <c r="Y772" s="880" t="s">
        <v>2283</v>
      </c>
      <c r="Z772" s="881" t="s">
        <v>43</v>
      </c>
      <c r="AA772" s="882">
        <v>7.4000000000000003E-3</v>
      </c>
      <c r="AB772" s="883" t="s">
        <v>2283</v>
      </c>
      <c r="AC772" s="884" t="s">
        <v>1750</v>
      </c>
    </row>
    <row r="773" spans="1:29" ht="30.75">
      <c r="A773" s="856" t="s">
        <v>1561</v>
      </c>
      <c r="B773" s="792" t="s">
        <v>1562</v>
      </c>
      <c r="C773" s="889">
        <v>7.0000000000000001E-3</v>
      </c>
      <c r="D773" s="859" t="s">
        <v>0</v>
      </c>
      <c r="E773" s="843" t="s">
        <v>1750</v>
      </c>
      <c r="F773" s="858" t="s">
        <v>43</v>
      </c>
      <c r="G773" s="804">
        <v>3.0000000000000001E-5</v>
      </c>
      <c r="H773" s="859" t="s">
        <v>0</v>
      </c>
      <c r="I773" s="843" t="s">
        <v>1750</v>
      </c>
      <c r="J773" s="858" t="s">
        <v>43</v>
      </c>
      <c r="K773" s="858" t="s">
        <v>43</v>
      </c>
      <c r="L773" s="858" t="s">
        <v>43</v>
      </c>
      <c r="M773" s="859">
        <v>1</v>
      </c>
      <c r="N773" s="859">
        <v>0.1</v>
      </c>
      <c r="O773" s="860" t="s">
        <v>1750</v>
      </c>
      <c r="P773" s="861">
        <v>1.9</v>
      </c>
      <c r="Q773" s="862" t="s">
        <v>179</v>
      </c>
      <c r="R773" s="861">
        <v>25</v>
      </c>
      <c r="S773" s="862" t="s">
        <v>179</v>
      </c>
      <c r="T773" s="863" t="s">
        <v>1750</v>
      </c>
      <c r="U773" s="864" t="s">
        <v>43</v>
      </c>
      <c r="V773" s="863" t="s">
        <v>1750</v>
      </c>
      <c r="W773" s="864" t="s">
        <v>43</v>
      </c>
      <c r="X773" s="861">
        <v>0.4</v>
      </c>
      <c r="Y773" s="865" t="s">
        <v>179</v>
      </c>
      <c r="Z773" s="866" t="s">
        <v>43</v>
      </c>
      <c r="AA773" s="867">
        <v>3.5999999999999999E-3</v>
      </c>
      <c r="AB773" s="868" t="s">
        <v>179</v>
      </c>
      <c r="AC773" s="869" t="s">
        <v>1750</v>
      </c>
    </row>
    <row r="774" spans="1:29" ht="30.75">
      <c r="A774" s="856" t="s">
        <v>1563</v>
      </c>
      <c r="B774" s="792" t="s">
        <v>1564</v>
      </c>
      <c r="C774" s="857" t="s">
        <v>1750</v>
      </c>
      <c r="D774" s="858" t="s">
        <v>43</v>
      </c>
      <c r="E774" s="843" t="s">
        <v>1750</v>
      </c>
      <c r="F774" s="858" t="s">
        <v>43</v>
      </c>
      <c r="G774" s="804">
        <v>8.0000000000000004E-4</v>
      </c>
      <c r="H774" s="859" t="s">
        <v>0</v>
      </c>
      <c r="I774" s="843" t="s">
        <v>1750</v>
      </c>
      <c r="J774" s="858" t="s">
        <v>43</v>
      </c>
      <c r="K774" s="859" t="s">
        <v>1634</v>
      </c>
      <c r="L774" s="858" t="s">
        <v>43</v>
      </c>
      <c r="M774" s="859">
        <v>1</v>
      </c>
      <c r="N774" s="870" t="s">
        <v>1750</v>
      </c>
      <c r="O774" s="860" t="s">
        <v>1750</v>
      </c>
      <c r="P774" s="861">
        <v>63</v>
      </c>
      <c r="Q774" s="862" t="s">
        <v>179</v>
      </c>
      <c r="R774" s="861">
        <v>930</v>
      </c>
      <c r="S774" s="862" t="s">
        <v>179</v>
      </c>
      <c r="T774" s="863" t="s">
        <v>1750</v>
      </c>
      <c r="U774" s="864" t="s">
        <v>43</v>
      </c>
      <c r="V774" s="863" t="s">
        <v>1750</v>
      </c>
      <c r="W774" s="864" t="s">
        <v>43</v>
      </c>
      <c r="X774" s="861">
        <v>7</v>
      </c>
      <c r="Y774" s="865" t="s">
        <v>179</v>
      </c>
      <c r="Z774" s="866" t="s">
        <v>43</v>
      </c>
      <c r="AA774" s="867">
        <v>2.1000000000000001E-2</v>
      </c>
      <c r="AB774" s="868" t="s">
        <v>179</v>
      </c>
      <c r="AC774" s="869" t="s">
        <v>1750</v>
      </c>
    </row>
    <row r="775" spans="1:29" ht="31.5" thickBot="1">
      <c r="A775" s="871" t="s">
        <v>158</v>
      </c>
      <c r="B775" s="807" t="s">
        <v>1565</v>
      </c>
      <c r="C775" s="890">
        <v>2.9000000000000001E-2</v>
      </c>
      <c r="D775" s="874" t="s">
        <v>281</v>
      </c>
      <c r="E775" s="847" t="s">
        <v>1750</v>
      </c>
      <c r="F775" s="873" t="s">
        <v>43</v>
      </c>
      <c r="G775" s="819">
        <v>0.01</v>
      </c>
      <c r="H775" s="874" t="s">
        <v>280</v>
      </c>
      <c r="I775" s="819">
        <v>2E-3</v>
      </c>
      <c r="J775" s="874" t="s">
        <v>281</v>
      </c>
      <c r="K775" s="874" t="s">
        <v>1634</v>
      </c>
      <c r="L775" s="873" t="s">
        <v>43</v>
      </c>
      <c r="M775" s="874">
        <v>1</v>
      </c>
      <c r="N775" s="888" t="s">
        <v>1750</v>
      </c>
      <c r="O775" s="820">
        <v>404</v>
      </c>
      <c r="P775" s="876">
        <v>24</v>
      </c>
      <c r="Q775" s="877" t="s">
        <v>2278</v>
      </c>
      <c r="R775" s="876">
        <v>110</v>
      </c>
      <c r="S775" s="877" t="s">
        <v>2278</v>
      </c>
      <c r="T775" s="876">
        <v>2.1</v>
      </c>
      <c r="U775" s="877" t="s">
        <v>179</v>
      </c>
      <c r="V775" s="876">
        <v>8.8000000000000007</v>
      </c>
      <c r="W775" s="877" t="s">
        <v>179</v>
      </c>
      <c r="X775" s="876">
        <v>1.2</v>
      </c>
      <c r="Y775" s="880" t="s">
        <v>2278</v>
      </c>
      <c r="Z775" s="893">
        <v>70</v>
      </c>
      <c r="AA775" s="882">
        <v>3.3999999999999998E-3</v>
      </c>
      <c r="AB775" s="883" t="s">
        <v>2278</v>
      </c>
      <c r="AC775" s="894">
        <v>0.2</v>
      </c>
    </row>
    <row r="776" spans="1:29" ht="30.75">
      <c r="A776" s="856" t="s">
        <v>151</v>
      </c>
      <c r="B776" s="792" t="s">
        <v>1566</v>
      </c>
      <c r="C776" s="857" t="s">
        <v>1750</v>
      </c>
      <c r="D776" s="858" t="s">
        <v>43</v>
      </c>
      <c r="E776" s="843" t="s">
        <v>1750</v>
      </c>
      <c r="F776" s="858" t="s">
        <v>43</v>
      </c>
      <c r="G776" s="804">
        <v>2</v>
      </c>
      <c r="H776" s="859" t="s">
        <v>280</v>
      </c>
      <c r="I776" s="804">
        <v>5</v>
      </c>
      <c r="J776" s="859" t="s">
        <v>280</v>
      </c>
      <c r="K776" s="859" t="s">
        <v>1634</v>
      </c>
      <c r="L776" s="858" t="s">
        <v>43</v>
      </c>
      <c r="M776" s="859">
        <v>1</v>
      </c>
      <c r="N776" s="870" t="s">
        <v>1750</v>
      </c>
      <c r="O776" s="805">
        <v>640</v>
      </c>
      <c r="P776" s="861">
        <v>8100</v>
      </c>
      <c r="Q776" s="862" t="s">
        <v>2282</v>
      </c>
      <c r="R776" s="861">
        <v>36000</v>
      </c>
      <c r="S776" s="862" t="s">
        <v>2282</v>
      </c>
      <c r="T776" s="861">
        <v>5200</v>
      </c>
      <c r="U776" s="862" t="s">
        <v>179</v>
      </c>
      <c r="V776" s="861">
        <v>22000</v>
      </c>
      <c r="W776" s="862" t="s">
        <v>179</v>
      </c>
      <c r="X776" s="861">
        <v>8000</v>
      </c>
      <c r="Y776" s="865" t="s">
        <v>179</v>
      </c>
      <c r="Z776" s="891">
        <v>200</v>
      </c>
      <c r="AA776" s="867">
        <v>2.8</v>
      </c>
      <c r="AB776" s="868" t="s">
        <v>179</v>
      </c>
      <c r="AC776" s="892">
        <v>7.0000000000000007E-2</v>
      </c>
    </row>
    <row r="777" spans="1:29" ht="30.75">
      <c r="A777" s="856" t="s">
        <v>154</v>
      </c>
      <c r="B777" s="792" t="s">
        <v>1567</v>
      </c>
      <c r="C777" s="889">
        <v>5.7000000000000002E-2</v>
      </c>
      <c r="D777" s="859" t="s">
        <v>280</v>
      </c>
      <c r="E777" s="804">
        <v>1.5999999999999999E-5</v>
      </c>
      <c r="F777" s="859" t="s">
        <v>280</v>
      </c>
      <c r="G777" s="804">
        <v>4.0000000000000001E-3</v>
      </c>
      <c r="H777" s="859" t="s">
        <v>280</v>
      </c>
      <c r="I777" s="804">
        <v>2.0000000000000001E-4</v>
      </c>
      <c r="J777" s="859" t="s">
        <v>0</v>
      </c>
      <c r="K777" s="859" t="s">
        <v>1634</v>
      </c>
      <c r="L777" s="858" t="s">
        <v>43</v>
      </c>
      <c r="M777" s="859">
        <v>1</v>
      </c>
      <c r="N777" s="870" t="s">
        <v>1750</v>
      </c>
      <c r="O777" s="805">
        <v>2160</v>
      </c>
      <c r="P777" s="861">
        <v>1.1000000000000001</v>
      </c>
      <c r="Q777" s="862" t="s">
        <v>2278</v>
      </c>
      <c r="R777" s="861">
        <v>5</v>
      </c>
      <c r="S777" s="862" t="s">
        <v>2278</v>
      </c>
      <c r="T777" s="861">
        <v>0.18</v>
      </c>
      <c r="U777" s="862" t="s">
        <v>2278</v>
      </c>
      <c r="V777" s="861">
        <v>0.77</v>
      </c>
      <c r="W777" s="862" t="s">
        <v>2278</v>
      </c>
      <c r="X777" s="861">
        <v>0.28000000000000003</v>
      </c>
      <c r="Y777" s="865" t="s">
        <v>2278</v>
      </c>
      <c r="Z777" s="891">
        <v>5</v>
      </c>
      <c r="AA777" s="867">
        <v>8.8999999999999995E-5</v>
      </c>
      <c r="AB777" s="868" t="s">
        <v>2278</v>
      </c>
      <c r="AC777" s="892">
        <v>1.6000000000000001E-3</v>
      </c>
    </row>
    <row r="778" spans="1:29" ht="16.5" thickBot="1">
      <c r="A778" s="871" t="s">
        <v>68</v>
      </c>
      <c r="B778" s="807" t="s">
        <v>1568</v>
      </c>
      <c r="C778" s="890">
        <v>4.5999999999999999E-2</v>
      </c>
      <c r="D778" s="874" t="s">
        <v>280</v>
      </c>
      <c r="E778" s="819">
        <v>4.0999999999999997E-6</v>
      </c>
      <c r="F778" s="874" t="s">
        <v>280</v>
      </c>
      <c r="G778" s="819">
        <v>5.0000000000000001E-4</v>
      </c>
      <c r="H778" s="874" t="s">
        <v>280</v>
      </c>
      <c r="I778" s="819">
        <v>2E-3</v>
      </c>
      <c r="J778" s="874" t="s">
        <v>280</v>
      </c>
      <c r="K778" s="874" t="s">
        <v>1634</v>
      </c>
      <c r="L778" s="874" t="s">
        <v>247</v>
      </c>
      <c r="M778" s="874">
        <v>1</v>
      </c>
      <c r="N778" s="888" t="s">
        <v>1750</v>
      </c>
      <c r="O778" s="820">
        <v>692</v>
      </c>
      <c r="P778" s="876">
        <v>0.94</v>
      </c>
      <c r="Q778" s="877" t="s">
        <v>2278</v>
      </c>
      <c r="R778" s="876">
        <v>6</v>
      </c>
      <c r="S778" s="877" t="s">
        <v>2278</v>
      </c>
      <c r="T778" s="876">
        <v>0.48</v>
      </c>
      <c r="U778" s="877" t="s">
        <v>2278</v>
      </c>
      <c r="V778" s="876">
        <v>3</v>
      </c>
      <c r="W778" s="877" t="s">
        <v>2278</v>
      </c>
      <c r="X778" s="876">
        <v>0.49</v>
      </c>
      <c r="Y778" s="880" t="s">
        <v>2278</v>
      </c>
      <c r="Z778" s="893">
        <v>5</v>
      </c>
      <c r="AA778" s="882">
        <v>1.8000000000000001E-4</v>
      </c>
      <c r="AB778" s="883" t="s">
        <v>2278</v>
      </c>
      <c r="AC778" s="894">
        <v>1.8E-3</v>
      </c>
    </row>
    <row r="779" spans="1:29" ht="30.75">
      <c r="A779" s="856" t="s">
        <v>61</v>
      </c>
      <c r="B779" s="792" t="s">
        <v>1569</v>
      </c>
      <c r="C779" s="857" t="s">
        <v>1750</v>
      </c>
      <c r="D779" s="858" t="s">
        <v>43</v>
      </c>
      <c r="E779" s="843" t="s">
        <v>1750</v>
      </c>
      <c r="F779" s="858" t="s">
        <v>43</v>
      </c>
      <c r="G779" s="804">
        <v>0.3</v>
      </c>
      <c r="H779" s="859" t="s">
        <v>280</v>
      </c>
      <c r="I779" s="843" t="s">
        <v>1750</v>
      </c>
      <c r="J779" s="858" t="s">
        <v>43</v>
      </c>
      <c r="K779" s="859" t="s">
        <v>1634</v>
      </c>
      <c r="L779" s="858" t="s">
        <v>43</v>
      </c>
      <c r="M779" s="859">
        <v>1</v>
      </c>
      <c r="N779" s="870" t="s">
        <v>1750</v>
      </c>
      <c r="O779" s="805">
        <v>1230</v>
      </c>
      <c r="P779" s="861">
        <v>23000</v>
      </c>
      <c r="Q779" s="862" t="s">
        <v>2282</v>
      </c>
      <c r="R779" s="861">
        <v>350000</v>
      </c>
      <c r="S779" s="862" t="s">
        <v>2280</v>
      </c>
      <c r="T779" s="863" t="s">
        <v>1750</v>
      </c>
      <c r="U779" s="864" t="s">
        <v>43</v>
      </c>
      <c r="V779" s="863" t="s">
        <v>1750</v>
      </c>
      <c r="W779" s="864" t="s">
        <v>43</v>
      </c>
      <c r="X779" s="861">
        <v>5200</v>
      </c>
      <c r="Y779" s="865" t="s">
        <v>179</v>
      </c>
      <c r="Z779" s="866" t="s">
        <v>43</v>
      </c>
      <c r="AA779" s="867">
        <v>3.3</v>
      </c>
      <c r="AB779" s="868" t="s">
        <v>179</v>
      </c>
      <c r="AC779" s="869" t="s">
        <v>1750</v>
      </c>
    </row>
    <row r="780" spans="1:29" ht="30.75">
      <c r="A780" s="856" t="s">
        <v>1570</v>
      </c>
      <c r="B780" s="792" t="s">
        <v>1571</v>
      </c>
      <c r="C780" s="857" t="s">
        <v>1750</v>
      </c>
      <c r="D780" s="858" t="s">
        <v>43</v>
      </c>
      <c r="E780" s="843" t="s">
        <v>1750</v>
      </c>
      <c r="F780" s="858" t="s">
        <v>43</v>
      </c>
      <c r="G780" s="804">
        <v>0.1</v>
      </c>
      <c r="H780" s="859" t="s">
        <v>280</v>
      </c>
      <c r="I780" s="843" t="s">
        <v>1750</v>
      </c>
      <c r="J780" s="858" t="s">
        <v>43</v>
      </c>
      <c r="K780" s="858" t="s">
        <v>43</v>
      </c>
      <c r="L780" s="858" t="s">
        <v>43</v>
      </c>
      <c r="M780" s="859">
        <v>1</v>
      </c>
      <c r="N780" s="859">
        <v>0.1</v>
      </c>
      <c r="O780" s="860" t="s">
        <v>1750</v>
      </c>
      <c r="P780" s="861">
        <v>6300</v>
      </c>
      <c r="Q780" s="862" t="s">
        <v>179</v>
      </c>
      <c r="R780" s="861">
        <v>82000</v>
      </c>
      <c r="S780" s="862" t="s">
        <v>179</v>
      </c>
      <c r="T780" s="863" t="s">
        <v>1750</v>
      </c>
      <c r="U780" s="864" t="s">
        <v>43</v>
      </c>
      <c r="V780" s="863" t="s">
        <v>1750</v>
      </c>
      <c r="W780" s="864" t="s">
        <v>43</v>
      </c>
      <c r="X780" s="861">
        <v>1200</v>
      </c>
      <c r="Y780" s="865" t="s">
        <v>179</v>
      </c>
      <c r="Z780" s="866" t="s">
        <v>43</v>
      </c>
      <c r="AA780" s="867">
        <v>4</v>
      </c>
      <c r="AB780" s="868" t="s">
        <v>179</v>
      </c>
      <c r="AC780" s="869" t="s">
        <v>1750</v>
      </c>
    </row>
    <row r="781" spans="1:29" ht="31.5" thickBot="1">
      <c r="A781" s="871" t="s">
        <v>1572</v>
      </c>
      <c r="B781" s="807" t="s">
        <v>1573</v>
      </c>
      <c r="C781" s="890">
        <v>1.0999999999999999E-2</v>
      </c>
      <c r="D781" s="874" t="s">
        <v>280</v>
      </c>
      <c r="E781" s="819">
        <v>3.1E-6</v>
      </c>
      <c r="F781" s="874" t="s">
        <v>280</v>
      </c>
      <c r="G781" s="819">
        <v>1E-3</v>
      </c>
      <c r="H781" s="874" t="s">
        <v>281</v>
      </c>
      <c r="I781" s="847" t="s">
        <v>1750</v>
      </c>
      <c r="J781" s="873" t="s">
        <v>43</v>
      </c>
      <c r="K781" s="873" t="s">
        <v>43</v>
      </c>
      <c r="L781" s="873" t="s">
        <v>43</v>
      </c>
      <c r="M781" s="874">
        <v>1</v>
      </c>
      <c r="N781" s="874">
        <v>0.1</v>
      </c>
      <c r="O781" s="875" t="s">
        <v>1750</v>
      </c>
      <c r="P781" s="876">
        <v>49</v>
      </c>
      <c r="Q781" s="877" t="s">
        <v>2278</v>
      </c>
      <c r="R781" s="876">
        <v>210</v>
      </c>
      <c r="S781" s="877" t="s">
        <v>2278</v>
      </c>
      <c r="T781" s="876">
        <v>0.91</v>
      </c>
      <c r="U781" s="877" t="s">
        <v>2283</v>
      </c>
      <c r="V781" s="876">
        <v>4</v>
      </c>
      <c r="W781" s="877" t="s">
        <v>2283</v>
      </c>
      <c r="X781" s="876">
        <v>4.0999999999999996</v>
      </c>
      <c r="Y781" s="880" t="s">
        <v>2278</v>
      </c>
      <c r="Z781" s="881" t="s">
        <v>43</v>
      </c>
      <c r="AA781" s="882">
        <v>4.0000000000000001E-3</v>
      </c>
      <c r="AB781" s="883" t="s">
        <v>2278</v>
      </c>
      <c r="AC781" s="884" t="s">
        <v>1750</v>
      </c>
    </row>
    <row r="782" spans="1:29" ht="30.75">
      <c r="A782" s="856" t="s">
        <v>1574</v>
      </c>
      <c r="B782" s="792" t="s">
        <v>1575</v>
      </c>
      <c r="C782" s="857" t="s">
        <v>1750</v>
      </c>
      <c r="D782" s="858" t="s">
        <v>43</v>
      </c>
      <c r="E782" s="843" t="s">
        <v>1750</v>
      </c>
      <c r="F782" s="858" t="s">
        <v>43</v>
      </c>
      <c r="G782" s="804">
        <v>0.01</v>
      </c>
      <c r="H782" s="859" t="s">
        <v>280</v>
      </c>
      <c r="I782" s="843" t="s">
        <v>1750</v>
      </c>
      <c r="J782" s="858" t="s">
        <v>43</v>
      </c>
      <c r="K782" s="858" t="s">
        <v>43</v>
      </c>
      <c r="L782" s="858" t="s">
        <v>43</v>
      </c>
      <c r="M782" s="859">
        <v>1</v>
      </c>
      <c r="N782" s="859">
        <v>0.1</v>
      </c>
      <c r="O782" s="860" t="s">
        <v>1750</v>
      </c>
      <c r="P782" s="861">
        <v>630</v>
      </c>
      <c r="Q782" s="862" t="s">
        <v>179</v>
      </c>
      <c r="R782" s="861">
        <v>8200</v>
      </c>
      <c r="S782" s="862" t="s">
        <v>179</v>
      </c>
      <c r="T782" s="863" t="s">
        <v>1750</v>
      </c>
      <c r="U782" s="864" t="s">
        <v>43</v>
      </c>
      <c r="V782" s="863" t="s">
        <v>1750</v>
      </c>
      <c r="W782" s="864" t="s">
        <v>43</v>
      </c>
      <c r="X782" s="861">
        <v>160</v>
      </c>
      <c r="Y782" s="865" t="s">
        <v>179</v>
      </c>
      <c r="Z782" s="866" t="s">
        <v>43</v>
      </c>
      <c r="AA782" s="867">
        <v>6.8000000000000005E-2</v>
      </c>
      <c r="AB782" s="868" t="s">
        <v>179</v>
      </c>
      <c r="AC782" s="869" t="s">
        <v>1750</v>
      </c>
    </row>
    <row r="783" spans="1:29" ht="45.75">
      <c r="A783" s="856" t="s">
        <v>1576</v>
      </c>
      <c r="B783" s="792" t="s">
        <v>1577</v>
      </c>
      <c r="C783" s="857" t="s">
        <v>1750</v>
      </c>
      <c r="D783" s="858" t="s">
        <v>43</v>
      </c>
      <c r="E783" s="843" t="s">
        <v>1750</v>
      </c>
      <c r="F783" s="858" t="s">
        <v>43</v>
      </c>
      <c r="G783" s="804">
        <v>8.0000000000000002E-3</v>
      </c>
      <c r="H783" s="859" t="s">
        <v>280</v>
      </c>
      <c r="I783" s="843" t="s">
        <v>1750</v>
      </c>
      <c r="J783" s="858" t="s">
        <v>43</v>
      </c>
      <c r="K783" s="858" t="s">
        <v>43</v>
      </c>
      <c r="L783" s="858" t="s">
        <v>43</v>
      </c>
      <c r="M783" s="859">
        <v>1</v>
      </c>
      <c r="N783" s="859">
        <v>0.1</v>
      </c>
      <c r="O783" s="860" t="s">
        <v>1750</v>
      </c>
      <c r="P783" s="861">
        <v>510</v>
      </c>
      <c r="Q783" s="862" t="s">
        <v>179</v>
      </c>
      <c r="R783" s="861">
        <v>6600</v>
      </c>
      <c r="S783" s="862" t="s">
        <v>179</v>
      </c>
      <c r="T783" s="863" t="s">
        <v>1750</v>
      </c>
      <c r="U783" s="864" t="s">
        <v>43</v>
      </c>
      <c r="V783" s="863" t="s">
        <v>1750</v>
      </c>
      <c r="W783" s="864" t="s">
        <v>43</v>
      </c>
      <c r="X783" s="861">
        <v>110</v>
      </c>
      <c r="Y783" s="865" t="s">
        <v>179</v>
      </c>
      <c r="Z783" s="891">
        <v>50</v>
      </c>
      <c r="AA783" s="867">
        <v>6.0999999999999999E-2</v>
      </c>
      <c r="AB783" s="868" t="s">
        <v>179</v>
      </c>
      <c r="AC783" s="892">
        <v>2.8000000000000001E-2</v>
      </c>
    </row>
    <row r="784" spans="1:29" ht="31.5" thickBot="1">
      <c r="A784" s="871" t="s">
        <v>1578</v>
      </c>
      <c r="B784" s="807" t="s">
        <v>1579</v>
      </c>
      <c r="C784" s="872" t="s">
        <v>1750</v>
      </c>
      <c r="D784" s="873" t="s">
        <v>43</v>
      </c>
      <c r="E784" s="847" t="s">
        <v>1750</v>
      </c>
      <c r="F784" s="873" t="s">
        <v>43</v>
      </c>
      <c r="G784" s="819">
        <v>5.0000000000000001E-3</v>
      </c>
      <c r="H784" s="874" t="s">
        <v>280</v>
      </c>
      <c r="I784" s="847" t="s">
        <v>1750</v>
      </c>
      <c r="J784" s="873" t="s">
        <v>43</v>
      </c>
      <c r="K784" s="874" t="s">
        <v>1634</v>
      </c>
      <c r="L784" s="873" t="s">
        <v>43</v>
      </c>
      <c r="M784" s="874">
        <v>1</v>
      </c>
      <c r="N784" s="888" t="s">
        <v>1750</v>
      </c>
      <c r="O784" s="820">
        <v>1280</v>
      </c>
      <c r="P784" s="876">
        <v>390</v>
      </c>
      <c r="Q784" s="877" t="s">
        <v>179</v>
      </c>
      <c r="R784" s="876">
        <v>5800</v>
      </c>
      <c r="S784" s="877" t="s">
        <v>2282</v>
      </c>
      <c r="T784" s="878" t="s">
        <v>1750</v>
      </c>
      <c r="U784" s="879" t="s">
        <v>43</v>
      </c>
      <c r="V784" s="878" t="s">
        <v>1750</v>
      </c>
      <c r="W784" s="879" t="s">
        <v>43</v>
      </c>
      <c r="X784" s="876">
        <v>88</v>
      </c>
      <c r="Y784" s="880" t="s">
        <v>179</v>
      </c>
      <c r="Z784" s="881" t="s">
        <v>43</v>
      </c>
      <c r="AA784" s="882">
        <v>3.5000000000000003E-2</v>
      </c>
      <c r="AB784" s="883" t="s">
        <v>179</v>
      </c>
      <c r="AC784" s="884" t="s">
        <v>1750</v>
      </c>
    </row>
    <row r="785" spans="1:29" ht="30.75">
      <c r="A785" s="856" t="s">
        <v>157</v>
      </c>
      <c r="B785" s="792" t="s">
        <v>1580</v>
      </c>
      <c r="C785" s="889">
        <v>30</v>
      </c>
      <c r="D785" s="859" t="s">
        <v>280</v>
      </c>
      <c r="E785" s="843" t="s">
        <v>1750</v>
      </c>
      <c r="F785" s="858" t="s">
        <v>43</v>
      </c>
      <c r="G785" s="804">
        <v>4.0000000000000001E-3</v>
      </c>
      <c r="H785" s="859" t="s">
        <v>280</v>
      </c>
      <c r="I785" s="804">
        <v>2.9999999999999997E-4</v>
      </c>
      <c r="J785" s="859" t="s">
        <v>280</v>
      </c>
      <c r="K785" s="859" t="s">
        <v>1634</v>
      </c>
      <c r="L785" s="859" t="s">
        <v>247</v>
      </c>
      <c r="M785" s="859">
        <v>1</v>
      </c>
      <c r="N785" s="870" t="s">
        <v>1750</v>
      </c>
      <c r="O785" s="805">
        <v>1400</v>
      </c>
      <c r="P785" s="861">
        <v>5.1000000000000004E-3</v>
      </c>
      <c r="Q785" s="862" t="s">
        <v>2283</v>
      </c>
      <c r="R785" s="861">
        <v>0.11</v>
      </c>
      <c r="S785" s="862" t="s">
        <v>2283</v>
      </c>
      <c r="T785" s="861">
        <v>0.31</v>
      </c>
      <c r="U785" s="862" t="s">
        <v>179</v>
      </c>
      <c r="V785" s="861">
        <v>1.3</v>
      </c>
      <c r="W785" s="862" t="s">
        <v>179</v>
      </c>
      <c r="X785" s="861">
        <v>7.5000000000000002E-4</v>
      </c>
      <c r="Y785" s="865" t="s">
        <v>2283</v>
      </c>
      <c r="Z785" s="866" t="s">
        <v>43</v>
      </c>
      <c r="AA785" s="867">
        <v>3.2000000000000001E-7</v>
      </c>
      <c r="AB785" s="868" t="s">
        <v>2283</v>
      </c>
      <c r="AC785" s="869" t="s">
        <v>1750</v>
      </c>
    </row>
    <row r="786" spans="1:29" ht="30.75">
      <c r="A786" s="856" t="s">
        <v>1581</v>
      </c>
      <c r="B786" s="792" t="s">
        <v>1582</v>
      </c>
      <c r="C786" s="857" t="s">
        <v>1750</v>
      </c>
      <c r="D786" s="858" t="s">
        <v>43</v>
      </c>
      <c r="E786" s="843" t="s">
        <v>1750</v>
      </c>
      <c r="F786" s="858" t="s">
        <v>43</v>
      </c>
      <c r="G786" s="804">
        <v>3.0000000000000001E-3</v>
      </c>
      <c r="H786" s="859" t="s">
        <v>0</v>
      </c>
      <c r="I786" s="804">
        <v>2.9999999999999997E-4</v>
      </c>
      <c r="J786" s="859" t="s">
        <v>281</v>
      </c>
      <c r="K786" s="859" t="s">
        <v>1634</v>
      </c>
      <c r="L786" s="858" t="s">
        <v>43</v>
      </c>
      <c r="M786" s="859">
        <v>1</v>
      </c>
      <c r="N786" s="870" t="s">
        <v>1750</v>
      </c>
      <c r="O786" s="805">
        <v>311</v>
      </c>
      <c r="P786" s="861">
        <v>0.73</v>
      </c>
      <c r="Q786" s="862" t="s">
        <v>179</v>
      </c>
      <c r="R786" s="861">
        <v>3.1</v>
      </c>
      <c r="S786" s="862" t="s">
        <v>179</v>
      </c>
      <c r="T786" s="861">
        <v>0.31</v>
      </c>
      <c r="U786" s="862" t="s">
        <v>179</v>
      </c>
      <c r="V786" s="861">
        <v>1.3</v>
      </c>
      <c r="W786" s="862" t="s">
        <v>179</v>
      </c>
      <c r="X786" s="861">
        <v>0.62</v>
      </c>
      <c r="Y786" s="865" t="s">
        <v>179</v>
      </c>
      <c r="Z786" s="866" t="s">
        <v>43</v>
      </c>
      <c r="AA786" s="867">
        <v>3.1E-4</v>
      </c>
      <c r="AB786" s="868" t="s">
        <v>179</v>
      </c>
      <c r="AC786" s="869" t="s">
        <v>1750</v>
      </c>
    </row>
    <row r="787" spans="1:29" ht="31.5" thickBot="1">
      <c r="A787" s="871" t="s">
        <v>2056</v>
      </c>
      <c r="B787" s="807" t="s">
        <v>2057</v>
      </c>
      <c r="C787" s="872" t="s">
        <v>1750</v>
      </c>
      <c r="D787" s="873" t="s">
        <v>43</v>
      </c>
      <c r="E787" s="847" t="s">
        <v>1750</v>
      </c>
      <c r="F787" s="873" t="s">
        <v>43</v>
      </c>
      <c r="G787" s="819">
        <v>0.02</v>
      </c>
      <c r="H787" s="874" t="s">
        <v>18</v>
      </c>
      <c r="I787" s="847" t="s">
        <v>1750</v>
      </c>
      <c r="J787" s="873" t="s">
        <v>43</v>
      </c>
      <c r="K787" s="873" t="s">
        <v>43</v>
      </c>
      <c r="L787" s="873" t="s">
        <v>43</v>
      </c>
      <c r="M787" s="874">
        <v>1</v>
      </c>
      <c r="N787" s="874">
        <v>0.1</v>
      </c>
      <c r="O787" s="875" t="s">
        <v>1750</v>
      </c>
      <c r="P787" s="876">
        <v>1300</v>
      </c>
      <c r="Q787" s="877" t="s">
        <v>179</v>
      </c>
      <c r="R787" s="876">
        <v>16000</v>
      </c>
      <c r="S787" s="877" t="s">
        <v>179</v>
      </c>
      <c r="T787" s="878" t="s">
        <v>1750</v>
      </c>
      <c r="U787" s="879" t="s">
        <v>43</v>
      </c>
      <c r="V787" s="878" t="s">
        <v>1750</v>
      </c>
      <c r="W787" s="879" t="s">
        <v>43</v>
      </c>
      <c r="X787" s="876">
        <v>160</v>
      </c>
      <c r="Y787" s="880" t="s">
        <v>179</v>
      </c>
      <c r="Z787" s="881" t="s">
        <v>43</v>
      </c>
      <c r="AA787" s="882">
        <v>15</v>
      </c>
      <c r="AB787" s="883" t="s">
        <v>179</v>
      </c>
      <c r="AC787" s="884" t="s">
        <v>1750</v>
      </c>
    </row>
    <row r="788" spans="1:29" ht="30.75">
      <c r="A788" s="856" t="s">
        <v>1583</v>
      </c>
      <c r="B788" s="792" t="s">
        <v>1584</v>
      </c>
      <c r="C788" s="857" t="s">
        <v>1750</v>
      </c>
      <c r="D788" s="858" t="s">
        <v>43</v>
      </c>
      <c r="E788" s="843" t="s">
        <v>1750</v>
      </c>
      <c r="F788" s="858" t="s">
        <v>43</v>
      </c>
      <c r="G788" s="804">
        <v>3.0000000000000001E-3</v>
      </c>
      <c r="H788" s="859" t="s">
        <v>280</v>
      </c>
      <c r="I788" s="843" t="s">
        <v>1750</v>
      </c>
      <c r="J788" s="858" t="s">
        <v>43</v>
      </c>
      <c r="K788" s="858" t="s">
        <v>43</v>
      </c>
      <c r="L788" s="858" t="s">
        <v>43</v>
      </c>
      <c r="M788" s="859">
        <v>1</v>
      </c>
      <c r="N788" s="859">
        <v>0.1</v>
      </c>
      <c r="O788" s="860" t="s">
        <v>1750</v>
      </c>
      <c r="P788" s="861">
        <v>190</v>
      </c>
      <c r="Q788" s="862" t="s">
        <v>179</v>
      </c>
      <c r="R788" s="861">
        <v>2500</v>
      </c>
      <c r="S788" s="862" t="s">
        <v>179</v>
      </c>
      <c r="T788" s="863" t="s">
        <v>1750</v>
      </c>
      <c r="U788" s="864" t="s">
        <v>43</v>
      </c>
      <c r="V788" s="863" t="s">
        <v>1750</v>
      </c>
      <c r="W788" s="864" t="s">
        <v>43</v>
      </c>
      <c r="X788" s="861">
        <v>18</v>
      </c>
      <c r="Y788" s="865" t="s">
        <v>179</v>
      </c>
      <c r="Z788" s="866" t="s">
        <v>43</v>
      </c>
      <c r="AA788" s="867">
        <v>0.13</v>
      </c>
      <c r="AB788" s="868" t="s">
        <v>179</v>
      </c>
      <c r="AC788" s="869" t="s">
        <v>1750</v>
      </c>
    </row>
    <row r="789" spans="1:29" ht="15.75">
      <c r="A789" s="856" t="s">
        <v>1585</v>
      </c>
      <c r="B789" s="792" t="s">
        <v>1586</v>
      </c>
      <c r="C789" s="857" t="s">
        <v>1750</v>
      </c>
      <c r="D789" s="858" t="s">
        <v>43</v>
      </c>
      <c r="E789" s="843" t="s">
        <v>1750</v>
      </c>
      <c r="F789" s="858" t="s">
        <v>43</v>
      </c>
      <c r="G789" s="843" t="s">
        <v>1750</v>
      </c>
      <c r="H789" s="858" t="s">
        <v>43</v>
      </c>
      <c r="I789" s="804">
        <v>7.0000000000000001E-3</v>
      </c>
      <c r="J789" s="859" t="s">
        <v>280</v>
      </c>
      <c r="K789" s="859" t="s">
        <v>1634</v>
      </c>
      <c r="L789" s="858" t="s">
        <v>43</v>
      </c>
      <c r="M789" s="859">
        <v>1</v>
      </c>
      <c r="N789" s="870" t="s">
        <v>1750</v>
      </c>
      <c r="O789" s="805">
        <v>27900</v>
      </c>
      <c r="P789" s="861">
        <v>120</v>
      </c>
      <c r="Q789" s="862" t="s">
        <v>179</v>
      </c>
      <c r="R789" s="861">
        <v>480</v>
      </c>
      <c r="S789" s="862" t="s">
        <v>179</v>
      </c>
      <c r="T789" s="861">
        <v>7.3</v>
      </c>
      <c r="U789" s="862" t="s">
        <v>179</v>
      </c>
      <c r="V789" s="861">
        <v>31</v>
      </c>
      <c r="W789" s="862" t="s">
        <v>179</v>
      </c>
      <c r="X789" s="861">
        <v>15</v>
      </c>
      <c r="Y789" s="865" t="s">
        <v>179</v>
      </c>
      <c r="Z789" s="866" t="s">
        <v>43</v>
      </c>
      <c r="AA789" s="867">
        <v>4.4000000000000003E-3</v>
      </c>
      <c r="AB789" s="868" t="s">
        <v>179</v>
      </c>
      <c r="AC789" s="869" t="s">
        <v>1750</v>
      </c>
    </row>
    <row r="790" spans="1:29" ht="16.5" thickBot="1">
      <c r="A790" s="871" t="s">
        <v>2262</v>
      </c>
      <c r="B790" s="807" t="s">
        <v>2263</v>
      </c>
      <c r="C790" s="872" t="s">
        <v>1750</v>
      </c>
      <c r="D790" s="873" t="s">
        <v>43</v>
      </c>
      <c r="E790" s="847" t="s">
        <v>1750</v>
      </c>
      <c r="F790" s="873" t="s">
        <v>43</v>
      </c>
      <c r="G790" s="819">
        <v>2</v>
      </c>
      <c r="H790" s="874" t="s">
        <v>281</v>
      </c>
      <c r="I790" s="847" t="s">
        <v>1750</v>
      </c>
      <c r="J790" s="873" t="s">
        <v>43</v>
      </c>
      <c r="K790" s="873" t="s">
        <v>43</v>
      </c>
      <c r="L790" s="873" t="s">
        <v>43</v>
      </c>
      <c r="M790" s="874">
        <v>1</v>
      </c>
      <c r="N790" s="874">
        <v>0.1</v>
      </c>
      <c r="O790" s="875" t="s">
        <v>1750</v>
      </c>
      <c r="P790" s="876">
        <v>130000</v>
      </c>
      <c r="Q790" s="877" t="s">
        <v>2281</v>
      </c>
      <c r="R790" s="876">
        <v>1600000</v>
      </c>
      <c r="S790" s="877" t="s">
        <v>2281</v>
      </c>
      <c r="T790" s="878" t="s">
        <v>1750</v>
      </c>
      <c r="U790" s="879" t="s">
        <v>43</v>
      </c>
      <c r="V790" s="878" t="s">
        <v>1750</v>
      </c>
      <c r="W790" s="879" t="s">
        <v>43</v>
      </c>
      <c r="X790" s="876">
        <v>40000</v>
      </c>
      <c r="Y790" s="880" t="s">
        <v>179</v>
      </c>
      <c r="Z790" s="881" t="s">
        <v>43</v>
      </c>
      <c r="AA790" s="882">
        <v>8.8000000000000007</v>
      </c>
      <c r="AB790" s="883" t="s">
        <v>179</v>
      </c>
      <c r="AC790" s="884" t="s">
        <v>1750</v>
      </c>
    </row>
    <row r="791" spans="1:29" ht="30.75">
      <c r="A791" s="856" t="s">
        <v>2195</v>
      </c>
      <c r="B791" s="792" t="s">
        <v>2200</v>
      </c>
      <c r="C791" s="857" t="s">
        <v>1750</v>
      </c>
      <c r="D791" s="858" t="s">
        <v>43</v>
      </c>
      <c r="E791" s="843" t="s">
        <v>1750</v>
      </c>
      <c r="F791" s="858" t="s">
        <v>43</v>
      </c>
      <c r="G791" s="843" t="s">
        <v>1750</v>
      </c>
      <c r="H791" s="858" t="s">
        <v>43</v>
      </c>
      <c r="I791" s="804">
        <v>20</v>
      </c>
      <c r="J791" s="859" t="s">
        <v>281</v>
      </c>
      <c r="K791" s="859" t="s">
        <v>1634</v>
      </c>
      <c r="L791" s="858" t="s">
        <v>43</v>
      </c>
      <c r="M791" s="859">
        <v>1</v>
      </c>
      <c r="N791" s="870" t="s">
        <v>1750</v>
      </c>
      <c r="O791" s="805">
        <v>4810</v>
      </c>
      <c r="P791" s="861">
        <v>15000</v>
      </c>
      <c r="Q791" s="862" t="s">
        <v>2282</v>
      </c>
      <c r="R791" s="861">
        <v>62000</v>
      </c>
      <c r="S791" s="862" t="s">
        <v>2282</v>
      </c>
      <c r="T791" s="861">
        <v>21000</v>
      </c>
      <c r="U791" s="862" t="s">
        <v>179</v>
      </c>
      <c r="V791" s="861">
        <v>88000</v>
      </c>
      <c r="W791" s="862" t="s">
        <v>179</v>
      </c>
      <c r="X791" s="861">
        <v>42000</v>
      </c>
      <c r="Y791" s="865" t="s">
        <v>179</v>
      </c>
      <c r="Z791" s="866" t="s">
        <v>43</v>
      </c>
      <c r="AA791" s="867">
        <v>130</v>
      </c>
      <c r="AB791" s="868" t="s">
        <v>179</v>
      </c>
      <c r="AC791" s="869" t="s">
        <v>1750</v>
      </c>
    </row>
    <row r="792" spans="1:29" ht="15.75">
      <c r="A792" s="856" t="s">
        <v>1587</v>
      </c>
      <c r="B792" s="792" t="s">
        <v>1588</v>
      </c>
      <c r="C792" s="889">
        <v>7.7000000000000002E-3</v>
      </c>
      <c r="D792" s="859" t="s">
        <v>280</v>
      </c>
      <c r="E792" s="843" t="s">
        <v>1750</v>
      </c>
      <c r="F792" s="858" t="s">
        <v>43</v>
      </c>
      <c r="G792" s="804">
        <v>7.4999999999999997E-3</v>
      </c>
      <c r="H792" s="859" t="s">
        <v>280</v>
      </c>
      <c r="I792" s="843" t="s">
        <v>1750</v>
      </c>
      <c r="J792" s="858" t="s">
        <v>43</v>
      </c>
      <c r="K792" s="859" t="s">
        <v>1634</v>
      </c>
      <c r="L792" s="858" t="s">
        <v>43</v>
      </c>
      <c r="M792" s="859">
        <v>1</v>
      </c>
      <c r="N792" s="870" t="s">
        <v>1750</v>
      </c>
      <c r="O792" s="860" t="s">
        <v>1750</v>
      </c>
      <c r="P792" s="861">
        <v>90</v>
      </c>
      <c r="Q792" s="862" t="s">
        <v>2278</v>
      </c>
      <c r="R792" s="861">
        <v>420</v>
      </c>
      <c r="S792" s="862" t="s">
        <v>2279</v>
      </c>
      <c r="T792" s="863" t="s">
        <v>1750</v>
      </c>
      <c r="U792" s="864" t="s">
        <v>43</v>
      </c>
      <c r="V792" s="863" t="s">
        <v>1750</v>
      </c>
      <c r="W792" s="864" t="s">
        <v>43</v>
      </c>
      <c r="X792" s="861">
        <v>2.6</v>
      </c>
      <c r="Y792" s="865" t="s">
        <v>2279</v>
      </c>
      <c r="Z792" s="866" t="s">
        <v>43</v>
      </c>
      <c r="AA792" s="867">
        <v>8.4000000000000005E-2</v>
      </c>
      <c r="AB792" s="868" t="s">
        <v>2279</v>
      </c>
      <c r="AC792" s="869" t="s">
        <v>1750</v>
      </c>
    </row>
    <row r="793" spans="1:29" ht="31.5" thickBot="1">
      <c r="A793" s="871" t="s">
        <v>1589</v>
      </c>
      <c r="B793" s="807" t="s">
        <v>1590</v>
      </c>
      <c r="C793" s="890">
        <v>0.02</v>
      </c>
      <c r="D793" s="874" t="s">
        <v>281</v>
      </c>
      <c r="E793" s="847" t="s">
        <v>1750</v>
      </c>
      <c r="F793" s="873" t="s">
        <v>43</v>
      </c>
      <c r="G793" s="819">
        <v>0.01</v>
      </c>
      <c r="H793" s="874" t="s">
        <v>281</v>
      </c>
      <c r="I793" s="847" t="s">
        <v>1750</v>
      </c>
      <c r="J793" s="873" t="s">
        <v>43</v>
      </c>
      <c r="K793" s="873" t="s">
        <v>43</v>
      </c>
      <c r="L793" s="873" t="s">
        <v>43</v>
      </c>
      <c r="M793" s="874">
        <v>1</v>
      </c>
      <c r="N793" s="874">
        <v>0.1</v>
      </c>
      <c r="O793" s="875" t="s">
        <v>1750</v>
      </c>
      <c r="P793" s="876">
        <v>27</v>
      </c>
      <c r="Q793" s="877" t="s">
        <v>2279</v>
      </c>
      <c r="R793" s="876">
        <v>110</v>
      </c>
      <c r="S793" s="877" t="s">
        <v>2279</v>
      </c>
      <c r="T793" s="878" t="s">
        <v>1750</v>
      </c>
      <c r="U793" s="879" t="s">
        <v>43</v>
      </c>
      <c r="V793" s="878" t="s">
        <v>1750</v>
      </c>
      <c r="W793" s="879" t="s">
        <v>43</v>
      </c>
      <c r="X793" s="876">
        <v>3.9</v>
      </c>
      <c r="Y793" s="880" t="s">
        <v>2279</v>
      </c>
      <c r="Z793" s="881" t="s">
        <v>43</v>
      </c>
      <c r="AA793" s="882">
        <v>8.5999999999999998E-4</v>
      </c>
      <c r="AB793" s="883" t="s">
        <v>2279</v>
      </c>
      <c r="AC793" s="884" t="s">
        <v>1750</v>
      </c>
    </row>
    <row r="794" spans="1:29" ht="30.75">
      <c r="A794" s="856" t="s">
        <v>1924</v>
      </c>
      <c r="B794" s="792" t="s">
        <v>1925</v>
      </c>
      <c r="C794" s="857" t="s">
        <v>1750</v>
      </c>
      <c r="D794" s="858" t="s">
        <v>43</v>
      </c>
      <c r="E794" s="843" t="s">
        <v>1750</v>
      </c>
      <c r="F794" s="858" t="s">
        <v>43</v>
      </c>
      <c r="G794" s="804">
        <v>0.01</v>
      </c>
      <c r="H794" s="859" t="s">
        <v>280</v>
      </c>
      <c r="I794" s="804">
        <v>0.06</v>
      </c>
      <c r="J794" s="859" t="s">
        <v>280</v>
      </c>
      <c r="K794" s="859" t="s">
        <v>1634</v>
      </c>
      <c r="L794" s="858" t="s">
        <v>43</v>
      </c>
      <c r="M794" s="859">
        <v>1</v>
      </c>
      <c r="N794" s="870" t="s">
        <v>1750</v>
      </c>
      <c r="O794" s="805">
        <v>293</v>
      </c>
      <c r="P794" s="861">
        <v>340</v>
      </c>
      <c r="Q794" s="862" t="s">
        <v>2282</v>
      </c>
      <c r="R794" s="861">
        <v>2000</v>
      </c>
      <c r="S794" s="862" t="s">
        <v>2282</v>
      </c>
      <c r="T794" s="861">
        <v>63</v>
      </c>
      <c r="U794" s="862" t="s">
        <v>179</v>
      </c>
      <c r="V794" s="861">
        <v>260</v>
      </c>
      <c r="W794" s="862" t="s">
        <v>179</v>
      </c>
      <c r="X794" s="861">
        <v>55</v>
      </c>
      <c r="Y794" s="865" t="s">
        <v>179</v>
      </c>
      <c r="Z794" s="866" t="s">
        <v>43</v>
      </c>
      <c r="AA794" s="867">
        <v>8.1000000000000003E-2</v>
      </c>
      <c r="AB794" s="868" t="s">
        <v>179</v>
      </c>
      <c r="AC794" s="869" t="s">
        <v>1750</v>
      </c>
    </row>
    <row r="795" spans="1:29" ht="30.75">
      <c r="A795" s="856" t="s">
        <v>159</v>
      </c>
      <c r="B795" s="792" t="s">
        <v>1591</v>
      </c>
      <c r="C795" s="857" t="s">
        <v>1750</v>
      </c>
      <c r="D795" s="858" t="s">
        <v>43</v>
      </c>
      <c r="E795" s="843" t="s">
        <v>1750</v>
      </c>
      <c r="F795" s="858" t="s">
        <v>43</v>
      </c>
      <c r="G795" s="804">
        <v>0.01</v>
      </c>
      <c r="H795" s="859" t="s">
        <v>280</v>
      </c>
      <c r="I795" s="804">
        <v>0.06</v>
      </c>
      <c r="J795" s="859" t="s">
        <v>280</v>
      </c>
      <c r="K795" s="859" t="s">
        <v>1634</v>
      </c>
      <c r="L795" s="858" t="s">
        <v>43</v>
      </c>
      <c r="M795" s="859">
        <v>1</v>
      </c>
      <c r="N795" s="870" t="s">
        <v>1750</v>
      </c>
      <c r="O795" s="805">
        <v>219</v>
      </c>
      <c r="P795" s="861">
        <v>300</v>
      </c>
      <c r="Q795" s="862" t="s">
        <v>2282</v>
      </c>
      <c r="R795" s="861">
        <v>1800</v>
      </c>
      <c r="S795" s="862" t="s">
        <v>2282</v>
      </c>
      <c r="T795" s="861">
        <v>63</v>
      </c>
      <c r="U795" s="862" t="s">
        <v>179</v>
      </c>
      <c r="V795" s="861">
        <v>260</v>
      </c>
      <c r="W795" s="862" t="s">
        <v>179</v>
      </c>
      <c r="X795" s="861">
        <v>56</v>
      </c>
      <c r="Y795" s="865" t="s">
        <v>179</v>
      </c>
      <c r="Z795" s="866" t="s">
        <v>43</v>
      </c>
      <c r="AA795" s="867">
        <v>8.1000000000000003E-2</v>
      </c>
      <c r="AB795" s="868" t="s">
        <v>179</v>
      </c>
      <c r="AC795" s="869" t="s">
        <v>1750</v>
      </c>
    </row>
    <row r="796" spans="1:29" ht="31.5" thickBot="1">
      <c r="A796" s="871" t="s">
        <v>163</v>
      </c>
      <c r="B796" s="807" t="s">
        <v>1592</v>
      </c>
      <c r="C796" s="872" t="s">
        <v>1750</v>
      </c>
      <c r="D796" s="873" t="s">
        <v>43</v>
      </c>
      <c r="E796" s="847" t="s">
        <v>1750</v>
      </c>
      <c r="F796" s="873" t="s">
        <v>43</v>
      </c>
      <c r="G796" s="819">
        <v>0.01</v>
      </c>
      <c r="H796" s="874" t="s">
        <v>280</v>
      </c>
      <c r="I796" s="819">
        <v>0.06</v>
      </c>
      <c r="J796" s="874" t="s">
        <v>280</v>
      </c>
      <c r="K796" s="874" t="s">
        <v>1634</v>
      </c>
      <c r="L796" s="873" t="s">
        <v>43</v>
      </c>
      <c r="M796" s="874">
        <v>1</v>
      </c>
      <c r="N796" s="888" t="s">
        <v>1750</v>
      </c>
      <c r="O796" s="820">
        <v>182</v>
      </c>
      <c r="P796" s="876">
        <v>270</v>
      </c>
      <c r="Q796" s="877" t="s">
        <v>2282</v>
      </c>
      <c r="R796" s="876">
        <v>1500</v>
      </c>
      <c r="S796" s="877" t="s">
        <v>2282</v>
      </c>
      <c r="T796" s="876">
        <v>63</v>
      </c>
      <c r="U796" s="877" t="s">
        <v>179</v>
      </c>
      <c r="V796" s="876">
        <v>260</v>
      </c>
      <c r="W796" s="877" t="s">
        <v>179</v>
      </c>
      <c r="X796" s="876">
        <v>60</v>
      </c>
      <c r="Y796" s="880" t="s">
        <v>179</v>
      </c>
      <c r="Z796" s="881" t="s">
        <v>43</v>
      </c>
      <c r="AA796" s="882">
        <v>8.6999999999999994E-2</v>
      </c>
      <c r="AB796" s="883" t="s">
        <v>179</v>
      </c>
      <c r="AC796" s="884" t="s">
        <v>1750</v>
      </c>
    </row>
    <row r="797" spans="1:29" ht="30.75">
      <c r="A797" s="856" t="s">
        <v>2196</v>
      </c>
      <c r="B797" s="792" t="s">
        <v>2201</v>
      </c>
      <c r="C797" s="857" t="s">
        <v>1750</v>
      </c>
      <c r="D797" s="858" t="s">
        <v>43</v>
      </c>
      <c r="E797" s="843" t="s">
        <v>1750</v>
      </c>
      <c r="F797" s="858" t="s">
        <v>43</v>
      </c>
      <c r="G797" s="804">
        <v>0.01</v>
      </c>
      <c r="H797" s="859" t="s">
        <v>0</v>
      </c>
      <c r="I797" s="843" t="s">
        <v>1750</v>
      </c>
      <c r="J797" s="858" t="s">
        <v>43</v>
      </c>
      <c r="K797" s="859" t="s">
        <v>1634</v>
      </c>
      <c r="L797" s="858" t="s">
        <v>43</v>
      </c>
      <c r="M797" s="859">
        <v>1</v>
      </c>
      <c r="N797" s="870" t="s">
        <v>1750</v>
      </c>
      <c r="O797" s="805">
        <v>29.6</v>
      </c>
      <c r="P797" s="861">
        <v>780</v>
      </c>
      <c r="Q797" s="862" t="s">
        <v>2282</v>
      </c>
      <c r="R797" s="861">
        <v>12000</v>
      </c>
      <c r="S797" s="862" t="s">
        <v>2282</v>
      </c>
      <c r="T797" s="863" t="s">
        <v>1750</v>
      </c>
      <c r="U797" s="864" t="s">
        <v>43</v>
      </c>
      <c r="V797" s="863" t="s">
        <v>1750</v>
      </c>
      <c r="W797" s="864" t="s">
        <v>43</v>
      </c>
      <c r="X797" s="861">
        <v>65</v>
      </c>
      <c r="Y797" s="865" t="s">
        <v>179</v>
      </c>
      <c r="Z797" s="866" t="s">
        <v>43</v>
      </c>
      <c r="AA797" s="867">
        <v>0.22</v>
      </c>
      <c r="AB797" s="868" t="s">
        <v>179</v>
      </c>
      <c r="AC797" s="869" t="s">
        <v>1750</v>
      </c>
    </row>
    <row r="798" spans="1:29" ht="30.75">
      <c r="A798" s="856" t="s">
        <v>1593</v>
      </c>
      <c r="B798" s="792" t="s">
        <v>1594</v>
      </c>
      <c r="C798" s="857" t="s">
        <v>1750</v>
      </c>
      <c r="D798" s="858" t="s">
        <v>43</v>
      </c>
      <c r="E798" s="843" t="s">
        <v>1750</v>
      </c>
      <c r="F798" s="858" t="s">
        <v>43</v>
      </c>
      <c r="G798" s="804">
        <v>0.03</v>
      </c>
      <c r="H798" s="859" t="s">
        <v>280</v>
      </c>
      <c r="I798" s="843" t="s">
        <v>1750</v>
      </c>
      <c r="J798" s="858" t="s">
        <v>43</v>
      </c>
      <c r="K798" s="858" t="s">
        <v>43</v>
      </c>
      <c r="L798" s="858" t="s">
        <v>43</v>
      </c>
      <c r="M798" s="859">
        <v>1</v>
      </c>
      <c r="N798" s="859">
        <v>1.9E-2</v>
      </c>
      <c r="O798" s="860" t="s">
        <v>1750</v>
      </c>
      <c r="P798" s="861">
        <v>2200</v>
      </c>
      <c r="Q798" s="862" t="s">
        <v>179</v>
      </c>
      <c r="R798" s="861">
        <v>32000</v>
      </c>
      <c r="S798" s="862" t="s">
        <v>179</v>
      </c>
      <c r="T798" s="863" t="s">
        <v>1750</v>
      </c>
      <c r="U798" s="864" t="s">
        <v>43</v>
      </c>
      <c r="V798" s="863" t="s">
        <v>1750</v>
      </c>
      <c r="W798" s="864" t="s">
        <v>43</v>
      </c>
      <c r="X798" s="861">
        <v>590</v>
      </c>
      <c r="Y798" s="865" t="s">
        <v>179</v>
      </c>
      <c r="Z798" s="866" t="s">
        <v>43</v>
      </c>
      <c r="AA798" s="867">
        <v>2.1</v>
      </c>
      <c r="AB798" s="868" t="s">
        <v>179</v>
      </c>
      <c r="AC798" s="869" t="s">
        <v>1750</v>
      </c>
    </row>
    <row r="799" spans="1:29" ht="31.5" thickBot="1">
      <c r="A799" s="871" t="s">
        <v>1595</v>
      </c>
      <c r="B799" s="807" t="s">
        <v>1596</v>
      </c>
      <c r="C799" s="890">
        <v>0.03</v>
      </c>
      <c r="D799" s="874" t="s">
        <v>280</v>
      </c>
      <c r="E799" s="847" t="s">
        <v>1750</v>
      </c>
      <c r="F799" s="873" t="s">
        <v>43</v>
      </c>
      <c r="G799" s="819">
        <v>5.0000000000000001E-4</v>
      </c>
      <c r="H799" s="874" t="s">
        <v>280</v>
      </c>
      <c r="I799" s="847" t="s">
        <v>1750</v>
      </c>
      <c r="J799" s="873" t="s">
        <v>43</v>
      </c>
      <c r="K799" s="873" t="s">
        <v>43</v>
      </c>
      <c r="L799" s="873" t="s">
        <v>43</v>
      </c>
      <c r="M799" s="874">
        <v>1</v>
      </c>
      <c r="N799" s="874">
        <v>3.2000000000000001E-2</v>
      </c>
      <c r="O799" s="875" t="s">
        <v>1750</v>
      </c>
      <c r="P799" s="876">
        <v>21</v>
      </c>
      <c r="Q799" s="877" t="s">
        <v>2278</v>
      </c>
      <c r="R799" s="876">
        <v>96</v>
      </c>
      <c r="S799" s="877" t="s">
        <v>2278</v>
      </c>
      <c r="T799" s="878" t="s">
        <v>1750</v>
      </c>
      <c r="U799" s="879" t="s">
        <v>43</v>
      </c>
      <c r="V799" s="878" t="s">
        <v>1750</v>
      </c>
      <c r="W799" s="879" t="s">
        <v>43</v>
      </c>
      <c r="X799" s="876">
        <v>2.5</v>
      </c>
      <c r="Y799" s="880" t="s">
        <v>2278</v>
      </c>
      <c r="Z799" s="881" t="s">
        <v>43</v>
      </c>
      <c r="AA799" s="882">
        <v>1.4999999999999999E-2</v>
      </c>
      <c r="AB799" s="883" t="s">
        <v>2278</v>
      </c>
      <c r="AC799" s="884" t="s">
        <v>1750</v>
      </c>
    </row>
    <row r="800" spans="1:29" ht="30.75">
      <c r="A800" s="856" t="s">
        <v>1597</v>
      </c>
      <c r="B800" s="792" t="s">
        <v>1598</v>
      </c>
      <c r="C800" s="857" t="s">
        <v>1750</v>
      </c>
      <c r="D800" s="858" t="s">
        <v>43</v>
      </c>
      <c r="E800" s="843" t="s">
        <v>1750</v>
      </c>
      <c r="F800" s="858" t="s">
        <v>43</v>
      </c>
      <c r="G800" s="804">
        <v>0.02</v>
      </c>
      <c r="H800" s="859" t="s">
        <v>281</v>
      </c>
      <c r="I800" s="843" t="s">
        <v>1750</v>
      </c>
      <c r="J800" s="858" t="s">
        <v>43</v>
      </c>
      <c r="K800" s="858" t="s">
        <v>43</v>
      </c>
      <c r="L800" s="858" t="s">
        <v>43</v>
      </c>
      <c r="M800" s="859">
        <v>1</v>
      </c>
      <c r="N800" s="859">
        <v>0.1</v>
      </c>
      <c r="O800" s="860" t="s">
        <v>1750</v>
      </c>
      <c r="P800" s="861">
        <v>1300</v>
      </c>
      <c r="Q800" s="862" t="s">
        <v>179</v>
      </c>
      <c r="R800" s="861">
        <v>16000</v>
      </c>
      <c r="S800" s="862" t="s">
        <v>179</v>
      </c>
      <c r="T800" s="863" t="s">
        <v>1750</v>
      </c>
      <c r="U800" s="864" t="s">
        <v>43</v>
      </c>
      <c r="V800" s="863" t="s">
        <v>1750</v>
      </c>
      <c r="W800" s="864" t="s">
        <v>43</v>
      </c>
      <c r="X800" s="861">
        <v>360</v>
      </c>
      <c r="Y800" s="865" t="s">
        <v>179</v>
      </c>
      <c r="Z800" s="866" t="s">
        <v>43</v>
      </c>
      <c r="AA800" s="867">
        <v>1.5</v>
      </c>
      <c r="AB800" s="868" t="s">
        <v>179</v>
      </c>
      <c r="AC800" s="869" t="s">
        <v>1750</v>
      </c>
    </row>
    <row r="801" spans="1:29" ht="30.75">
      <c r="A801" s="856" t="s">
        <v>1599</v>
      </c>
      <c r="B801" s="792" t="s">
        <v>1600</v>
      </c>
      <c r="C801" s="857" t="s">
        <v>1750</v>
      </c>
      <c r="D801" s="858" t="s">
        <v>43</v>
      </c>
      <c r="E801" s="843" t="s">
        <v>1750</v>
      </c>
      <c r="F801" s="858" t="s">
        <v>43</v>
      </c>
      <c r="G801" s="804">
        <v>0.02</v>
      </c>
      <c r="H801" s="859" t="s">
        <v>18</v>
      </c>
      <c r="I801" s="843" t="s">
        <v>1750</v>
      </c>
      <c r="J801" s="858" t="s">
        <v>43</v>
      </c>
      <c r="K801" s="858" t="s">
        <v>43</v>
      </c>
      <c r="L801" s="858" t="s">
        <v>43</v>
      </c>
      <c r="M801" s="859">
        <v>1</v>
      </c>
      <c r="N801" s="859">
        <v>0.1</v>
      </c>
      <c r="O801" s="860" t="s">
        <v>1750</v>
      </c>
      <c r="P801" s="861">
        <v>1300</v>
      </c>
      <c r="Q801" s="862" t="s">
        <v>179</v>
      </c>
      <c r="R801" s="861">
        <v>16000</v>
      </c>
      <c r="S801" s="862" t="s">
        <v>179</v>
      </c>
      <c r="T801" s="863" t="s">
        <v>1750</v>
      </c>
      <c r="U801" s="864" t="s">
        <v>43</v>
      </c>
      <c r="V801" s="863" t="s">
        <v>1750</v>
      </c>
      <c r="W801" s="864" t="s">
        <v>43</v>
      </c>
      <c r="X801" s="861">
        <v>360</v>
      </c>
      <c r="Y801" s="865" t="s">
        <v>179</v>
      </c>
      <c r="Z801" s="866" t="s">
        <v>43</v>
      </c>
      <c r="AA801" s="867">
        <v>8</v>
      </c>
      <c r="AB801" s="868" t="s">
        <v>179</v>
      </c>
      <c r="AC801" s="869" t="s">
        <v>1750</v>
      </c>
    </row>
    <row r="802" spans="1:29" ht="31.5" thickBot="1">
      <c r="A802" s="871" t="s">
        <v>1926</v>
      </c>
      <c r="B802" s="807" t="s">
        <v>1927</v>
      </c>
      <c r="C802" s="872" t="s">
        <v>1750</v>
      </c>
      <c r="D802" s="873" t="s">
        <v>43</v>
      </c>
      <c r="E802" s="847" t="s">
        <v>1750</v>
      </c>
      <c r="F802" s="873" t="s">
        <v>43</v>
      </c>
      <c r="G802" s="819">
        <v>0.01</v>
      </c>
      <c r="H802" s="874" t="s">
        <v>0</v>
      </c>
      <c r="I802" s="847" t="s">
        <v>1750</v>
      </c>
      <c r="J802" s="873" t="s">
        <v>43</v>
      </c>
      <c r="K802" s="873" t="s">
        <v>43</v>
      </c>
      <c r="L802" s="873" t="s">
        <v>43</v>
      </c>
      <c r="M802" s="874">
        <v>1</v>
      </c>
      <c r="N802" s="874">
        <v>0.1</v>
      </c>
      <c r="O802" s="875" t="s">
        <v>1750</v>
      </c>
      <c r="P802" s="876">
        <v>630</v>
      </c>
      <c r="Q802" s="877" t="s">
        <v>179</v>
      </c>
      <c r="R802" s="876">
        <v>8200</v>
      </c>
      <c r="S802" s="877" t="s">
        <v>179</v>
      </c>
      <c r="T802" s="878" t="s">
        <v>1750</v>
      </c>
      <c r="U802" s="879" t="s">
        <v>43</v>
      </c>
      <c r="V802" s="878" t="s">
        <v>1750</v>
      </c>
      <c r="W802" s="879" t="s">
        <v>43</v>
      </c>
      <c r="X802" s="876">
        <v>190</v>
      </c>
      <c r="Y802" s="880" t="s">
        <v>179</v>
      </c>
      <c r="Z802" s="881" t="s">
        <v>43</v>
      </c>
      <c r="AA802" s="882">
        <v>0.65</v>
      </c>
      <c r="AB802" s="883" t="s">
        <v>179</v>
      </c>
      <c r="AC802" s="884" t="s">
        <v>1750</v>
      </c>
    </row>
    <row r="803" spans="1:29" ht="45.75">
      <c r="A803" s="856" t="s">
        <v>2197</v>
      </c>
      <c r="B803" s="792" t="s">
        <v>2202</v>
      </c>
      <c r="C803" s="889">
        <v>2.2999999999999998</v>
      </c>
      <c r="D803" s="859" t="s">
        <v>3</v>
      </c>
      <c r="E803" s="804">
        <v>6.6E-4</v>
      </c>
      <c r="F803" s="859" t="s">
        <v>3</v>
      </c>
      <c r="G803" s="843" t="s">
        <v>1750</v>
      </c>
      <c r="H803" s="858" t="s">
        <v>43</v>
      </c>
      <c r="I803" s="843" t="s">
        <v>1750</v>
      </c>
      <c r="J803" s="858" t="s">
        <v>43</v>
      </c>
      <c r="K803" s="859" t="s">
        <v>1634</v>
      </c>
      <c r="L803" s="858" t="s">
        <v>43</v>
      </c>
      <c r="M803" s="859">
        <v>1</v>
      </c>
      <c r="N803" s="870" t="s">
        <v>1750</v>
      </c>
      <c r="O803" s="805">
        <v>467</v>
      </c>
      <c r="P803" s="861">
        <v>0.28000000000000003</v>
      </c>
      <c r="Q803" s="862" t="s">
        <v>2283</v>
      </c>
      <c r="R803" s="861">
        <v>1.3</v>
      </c>
      <c r="S803" s="862" t="s">
        <v>2283</v>
      </c>
      <c r="T803" s="861">
        <v>4.3E-3</v>
      </c>
      <c r="U803" s="862" t="s">
        <v>2283</v>
      </c>
      <c r="V803" s="861">
        <v>1.9E-2</v>
      </c>
      <c r="W803" s="862" t="s">
        <v>2283</v>
      </c>
      <c r="X803" s="861">
        <v>6.7999999999999996E-3</v>
      </c>
      <c r="Y803" s="865" t="s">
        <v>2283</v>
      </c>
      <c r="Z803" s="866" t="s">
        <v>43</v>
      </c>
      <c r="AA803" s="867">
        <v>1.2999999999999999E-4</v>
      </c>
      <c r="AB803" s="868" t="s">
        <v>2283</v>
      </c>
      <c r="AC803" s="869" t="s">
        <v>1750</v>
      </c>
    </row>
    <row r="804" spans="1:29" ht="45.75">
      <c r="A804" s="856" t="s">
        <v>1601</v>
      </c>
      <c r="B804" s="792" t="s">
        <v>1602</v>
      </c>
      <c r="C804" s="889">
        <v>0.02</v>
      </c>
      <c r="D804" s="859" t="s">
        <v>281</v>
      </c>
      <c r="E804" s="843" t="s">
        <v>1750</v>
      </c>
      <c r="F804" s="858" t="s">
        <v>43</v>
      </c>
      <c r="G804" s="804">
        <v>7.0000000000000001E-3</v>
      </c>
      <c r="H804" s="859" t="s">
        <v>281</v>
      </c>
      <c r="I804" s="843" t="s">
        <v>1750</v>
      </c>
      <c r="J804" s="858" t="s">
        <v>43</v>
      </c>
      <c r="K804" s="858" t="s">
        <v>43</v>
      </c>
      <c r="L804" s="858" t="s">
        <v>43</v>
      </c>
      <c r="M804" s="859">
        <v>1</v>
      </c>
      <c r="N804" s="859">
        <v>0.1</v>
      </c>
      <c r="O804" s="860" t="s">
        <v>1750</v>
      </c>
      <c r="P804" s="861">
        <v>27</v>
      </c>
      <c r="Q804" s="862" t="s">
        <v>2279</v>
      </c>
      <c r="R804" s="861">
        <v>110</v>
      </c>
      <c r="S804" s="862" t="s">
        <v>2279</v>
      </c>
      <c r="T804" s="863" t="s">
        <v>1750</v>
      </c>
      <c r="U804" s="864" t="s">
        <v>43</v>
      </c>
      <c r="V804" s="863" t="s">
        <v>1750</v>
      </c>
      <c r="W804" s="864" t="s">
        <v>43</v>
      </c>
      <c r="X804" s="861">
        <v>3.8</v>
      </c>
      <c r="Y804" s="865" t="s">
        <v>2279</v>
      </c>
      <c r="Z804" s="866" t="s">
        <v>43</v>
      </c>
      <c r="AA804" s="867">
        <v>3.8E-3</v>
      </c>
      <c r="AB804" s="868" t="s">
        <v>2279</v>
      </c>
      <c r="AC804" s="869" t="s">
        <v>1750</v>
      </c>
    </row>
    <row r="805" spans="1:29" ht="46.5" thickBot="1">
      <c r="A805" s="871" t="s">
        <v>1603</v>
      </c>
      <c r="B805" s="807" t="s">
        <v>1604</v>
      </c>
      <c r="C805" s="890">
        <v>3.2000000000000002E-3</v>
      </c>
      <c r="D805" s="874" t="s">
        <v>281</v>
      </c>
      <c r="E805" s="847" t="s">
        <v>1750</v>
      </c>
      <c r="F805" s="873" t="s">
        <v>43</v>
      </c>
      <c r="G805" s="819">
        <v>0.1</v>
      </c>
      <c r="H805" s="874" t="s">
        <v>281</v>
      </c>
      <c r="I805" s="847" t="s">
        <v>1750</v>
      </c>
      <c r="J805" s="873" t="s">
        <v>43</v>
      </c>
      <c r="K805" s="873" t="s">
        <v>43</v>
      </c>
      <c r="L805" s="873" t="s">
        <v>43</v>
      </c>
      <c r="M805" s="874">
        <v>1</v>
      </c>
      <c r="N805" s="874">
        <v>0.1</v>
      </c>
      <c r="O805" s="875" t="s">
        <v>1750</v>
      </c>
      <c r="P805" s="876">
        <v>170</v>
      </c>
      <c r="Q805" s="877" t="s">
        <v>2279</v>
      </c>
      <c r="R805" s="876">
        <v>720</v>
      </c>
      <c r="S805" s="877" t="s">
        <v>2283</v>
      </c>
      <c r="T805" s="878" t="s">
        <v>1750</v>
      </c>
      <c r="U805" s="879" t="s">
        <v>43</v>
      </c>
      <c r="V805" s="878" t="s">
        <v>1750</v>
      </c>
      <c r="W805" s="879" t="s">
        <v>43</v>
      </c>
      <c r="X805" s="876">
        <v>24</v>
      </c>
      <c r="Y805" s="880" t="s">
        <v>2279</v>
      </c>
      <c r="Z805" s="881" t="s">
        <v>43</v>
      </c>
      <c r="AA805" s="882">
        <v>120</v>
      </c>
      <c r="AB805" s="883" t="s">
        <v>2279</v>
      </c>
      <c r="AC805" s="884" t="s">
        <v>1750</v>
      </c>
    </row>
    <row r="806" spans="1:29" ht="15.75">
      <c r="A806" s="856" t="s">
        <v>2264</v>
      </c>
      <c r="B806" s="792" t="s">
        <v>2265</v>
      </c>
      <c r="C806" s="857" t="s">
        <v>1750</v>
      </c>
      <c r="D806" s="858" t="s">
        <v>43</v>
      </c>
      <c r="E806" s="843" t="s">
        <v>1750</v>
      </c>
      <c r="F806" s="858" t="s">
        <v>43</v>
      </c>
      <c r="G806" s="804">
        <v>8.0000000000000004E-4</v>
      </c>
      <c r="H806" s="859" t="s">
        <v>281</v>
      </c>
      <c r="I806" s="843" t="s">
        <v>1750</v>
      </c>
      <c r="J806" s="858" t="s">
        <v>43</v>
      </c>
      <c r="K806" s="858" t="s">
        <v>43</v>
      </c>
      <c r="L806" s="858" t="s">
        <v>43</v>
      </c>
      <c r="M806" s="859">
        <v>1</v>
      </c>
      <c r="N806" s="870" t="s">
        <v>1750</v>
      </c>
      <c r="O806" s="860" t="s">
        <v>1750</v>
      </c>
      <c r="P806" s="861">
        <v>63</v>
      </c>
      <c r="Q806" s="862" t="s">
        <v>179</v>
      </c>
      <c r="R806" s="861">
        <v>930</v>
      </c>
      <c r="S806" s="862" t="s">
        <v>179</v>
      </c>
      <c r="T806" s="863" t="s">
        <v>1750</v>
      </c>
      <c r="U806" s="864" t="s">
        <v>43</v>
      </c>
      <c r="V806" s="863" t="s">
        <v>1750</v>
      </c>
      <c r="W806" s="864" t="s">
        <v>43</v>
      </c>
      <c r="X806" s="861">
        <v>16</v>
      </c>
      <c r="Y806" s="865" t="s">
        <v>179</v>
      </c>
      <c r="Z806" s="866" t="s">
        <v>43</v>
      </c>
      <c r="AA806" s="867">
        <v>2.4</v>
      </c>
      <c r="AB806" s="868" t="s">
        <v>179</v>
      </c>
      <c r="AC806" s="869" t="s">
        <v>1750</v>
      </c>
    </row>
    <row r="807" spans="1:29" ht="30.75">
      <c r="A807" s="856" t="s">
        <v>1605</v>
      </c>
      <c r="B807" s="792" t="s">
        <v>2454</v>
      </c>
      <c r="C807" s="857" t="s">
        <v>1750</v>
      </c>
      <c r="D807" s="858" t="s">
        <v>43</v>
      </c>
      <c r="E807" s="843" t="s">
        <v>1750</v>
      </c>
      <c r="F807" s="858" t="s">
        <v>43</v>
      </c>
      <c r="G807" s="804">
        <v>2.0000000000000001E-4</v>
      </c>
      <c r="H807" s="859" t="s">
        <v>18</v>
      </c>
      <c r="I807" s="804">
        <v>4.0000000000000003E-5</v>
      </c>
      <c r="J807" s="859" t="s">
        <v>18</v>
      </c>
      <c r="K807" s="858" t="s">
        <v>43</v>
      </c>
      <c r="L807" s="858" t="s">
        <v>43</v>
      </c>
      <c r="M807" s="859">
        <v>1</v>
      </c>
      <c r="N807" s="870" t="s">
        <v>1750</v>
      </c>
      <c r="O807" s="860" t="s">
        <v>1750</v>
      </c>
      <c r="P807" s="861">
        <v>16</v>
      </c>
      <c r="Q807" s="862" t="s">
        <v>179</v>
      </c>
      <c r="R807" s="861">
        <v>230</v>
      </c>
      <c r="S807" s="862" t="s">
        <v>179</v>
      </c>
      <c r="T807" s="861">
        <v>4.2000000000000003E-2</v>
      </c>
      <c r="U807" s="862" t="s">
        <v>179</v>
      </c>
      <c r="V807" s="861">
        <v>0.18</v>
      </c>
      <c r="W807" s="862" t="s">
        <v>179</v>
      </c>
      <c r="X807" s="861">
        <v>4</v>
      </c>
      <c r="Y807" s="865" t="s">
        <v>179</v>
      </c>
      <c r="Z807" s="891">
        <v>30</v>
      </c>
      <c r="AA807" s="867">
        <v>1.8</v>
      </c>
      <c r="AB807" s="868" t="s">
        <v>179</v>
      </c>
      <c r="AC807" s="892">
        <v>14</v>
      </c>
    </row>
    <row r="808" spans="1:29" ht="16.5" thickBot="1">
      <c r="A808" s="871" t="s">
        <v>1606</v>
      </c>
      <c r="B808" s="807" t="s">
        <v>1607</v>
      </c>
      <c r="C808" s="890">
        <v>1</v>
      </c>
      <c r="D808" s="874" t="s">
        <v>3</v>
      </c>
      <c r="E808" s="819">
        <v>2.9E-4</v>
      </c>
      <c r="F808" s="874" t="s">
        <v>3</v>
      </c>
      <c r="G808" s="847" t="s">
        <v>1750</v>
      </c>
      <c r="H808" s="873" t="s">
        <v>43</v>
      </c>
      <c r="I808" s="847" t="s">
        <v>1750</v>
      </c>
      <c r="J808" s="873" t="s">
        <v>43</v>
      </c>
      <c r="K808" s="873" t="s">
        <v>43</v>
      </c>
      <c r="L808" s="874" t="s">
        <v>247</v>
      </c>
      <c r="M808" s="874">
        <v>1</v>
      </c>
      <c r="N808" s="874">
        <v>0.1</v>
      </c>
      <c r="O808" s="875" t="s">
        <v>1750</v>
      </c>
      <c r="P808" s="876">
        <v>0.12</v>
      </c>
      <c r="Q808" s="877" t="s">
        <v>2283</v>
      </c>
      <c r="R808" s="876">
        <v>2.2999999999999998</v>
      </c>
      <c r="S808" s="877" t="s">
        <v>2283</v>
      </c>
      <c r="T808" s="876">
        <v>3.5000000000000001E-3</v>
      </c>
      <c r="U808" s="877" t="s">
        <v>2283</v>
      </c>
      <c r="V808" s="876">
        <v>4.2000000000000003E-2</v>
      </c>
      <c r="W808" s="877" t="s">
        <v>2283</v>
      </c>
      <c r="X808" s="876">
        <v>2.5000000000000001E-2</v>
      </c>
      <c r="Y808" s="880" t="s">
        <v>2283</v>
      </c>
      <c r="Z808" s="881" t="s">
        <v>43</v>
      </c>
      <c r="AA808" s="882">
        <v>5.5999999999999997E-6</v>
      </c>
      <c r="AB808" s="883" t="s">
        <v>2283</v>
      </c>
      <c r="AC808" s="884" t="s">
        <v>1750</v>
      </c>
    </row>
    <row r="809" spans="1:29" ht="30.75">
      <c r="A809" s="856" t="s">
        <v>1608</v>
      </c>
      <c r="B809" s="792" t="s">
        <v>1609</v>
      </c>
      <c r="C809" s="857" t="s">
        <v>1750</v>
      </c>
      <c r="D809" s="858" t="s">
        <v>43</v>
      </c>
      <c r="E809" s="804">
        <v>8.3000000000000001E-3</v>
      </c>
      <c r="F809" s="859" t="s">
        <v>281</v>
      </c>
      <c r="G809" s="804">
        <v>8.9999999999999993E-3</v>
      </c>
      <c r="H809" s="859" t="s">
        <v>280</v>
      </c>
      <c r="I809" s="804">
        <v>6.9999999999999999E-6</v>
      </c>
      <c r="J809" s="859" t="s">
        <v>281</v>
      </c>
      <c r="K809" s="858" t="s">
        <v>43</v>
      </c>
      <c r="L809" s="858" t="s">
        <v>43</v>
      </c>
      <c r="M809" s="859">
        <v>2.5999999999999999E-2</v>
      </c>
      <c r="N809" s="870" t="s">
        <v>1750</v>
      </c>
      <c r="O809" s="860" t="s">
        <v>1750</v>
      </c>
      <c r="P809" s="861">
        <v>460</v>
      </c>
      <c r="Q809" s="862" t="s">
        <v>2278</v>
      </c>
      <c r="R809" s="861">
        <v>2000</v>
      </c>
      <c r="S809" s="862" t="s">
        <v>2278</v>
      </c>
      <c r="T809" s="861">
        <v>3.4000000000000002E-4</v>
      </c>
      <c r="U809" s="862" t="s">
        <v>2279</v>
      </c>
      <c r="V809" s="861">
        <v>1.5E-3</v>
      </c>
      <c r="W809" s="862" t="s">
        <v>2279</v>
      </c>
      <c r="X809" s="861">
        <v>150</v>
      </c>
      <c r="Y809" s="865" t="s">
        <v>179</v>
      </c>
      <c r="Z809" s="866" t="s">
        <v>43</v>
      </c>
      <c r="AA809" s="886" t="s">
        <v>1750</v>
      </c>
      <c r="AB809" s="868" t="s">
        <v>179</v>
      </c>
      <c r="AC809" s="869" t="s">
        <v>1750</v>
      </c>
    </row>
    <row r="810" spans="1:29" ht="30.75">
      <c r="A810" s="856" t="s">
        <v>1610</v>
      </c>
      <c r="B810" s="792" t="s">
        <v>1611</v>
      </c>
      <c r="C810" s="857" t="s">
        <v>1750</v>
      </c>
      <c r="D810" s="858" t="s">
        <v>43</v>
      </c>
      <c r="E810" s="843" t="s">
        <v>1750</v>
      </c>
      <c r="F810" s="858" t="s">
        <v>43</v>
      </c>
      <c r="G810" s="804">
        <v>5.0000000000000001E-3</v>
      </c>
      <c r="H810" s="859" t="s">
        <v>14</v>
      </c>
      <c r="I810" s="804">
        <v>1E-4</v>
      </c>
      <c r="J810" s="859" t="s">
        <v>18</v>
      </c>
      <c r="K810" s="858" t="s">
        <v>43</v>
      </c>
      <c r="L810" s="858" t="s">
        <v>43</v>
      </c>
      <c r="M810" s="859">
        <v>2.5999999999999999E-2</v>
      </c>
      <c r="N810" s="870" t="s">
        <v>1750</v>
      </c>
      <c r="O810" s="860" t="s">
        <v>1750</v>
      </c>
      <c r="P810" s="861">
        <v>390</v>
      </c>
      <c r="Q810" s="862" t="s">
        <v>179</v>
      </c>
      <c r="R810" s="861">
        <v>5800</v>
      </c>
      <c r="S810" s="862" t="s">
        <v>179</v>
      </c>
      <c r="T810" s="861">
        <v>0.1</v>
      </c>
      <c r="U810" s="862" t="s">
        <v>179</v>
      </c>
      <c r="V810" s="861">
        <v>0.44</v>
      </c>
      <c r="W810" s="862" t="s">
        <v>179</v>
      </c>
      <c r="X810" s="861">
        <v>86</v>
      </c>
      <c r="Y810" s="865" t="s">
        <v>179</v>
      </c>
      <c r="Z810" s="866" t="s">
        <v>43</v>
      </c>
      <c r="AA810" s="867">
        <v>86</v>
      </c>
      <c r="AB810" s="868" t="s">
        <v>179</v>
      </c>
      <c r="AC810" s="869" t="s">
        <v>1750</v>
      </c>
    </row>
    <row r="811" spans="1:29" ht="16.5" thickBot="1">
      <c r="A811" s="871" t="s">
        <v>1612</v>
      </c>
      <c r="B811" s="807" t="s">
        <v>1613</v>
      </c>
      <c r="C811" s="872" t="s">
        <v>1750</v>
      </c>
      <c r="D811" s="873" t="s">
        <v>43</v>
      </c>
      <c r="E811" s="847" t="s">
        <v>1750</v>
      </c>
      <c r="F811" s="873" t="s">
        <v>43</v>
      </c>
      <c r="G811" s="819">
        <v>1E-3</v>
      </c>
      <c r="H811" s="874" t="s">
        <v>280</v>
      </c>
      <c r="I811" s="847" t="s">
        <v>1750</v>
      </c>
      <c r="J811" s="873" t="s">
        <v>43</v>
      </c>
      <c r="K811" s="874" t="s">
        <v>1634</v>
      </c>
      <c r="L811" s="873" t="s">
        <v>43</v>
      </c>
      <c r="M811" s="874">
        <v>1</v>
      </c>
      <c r="N811" s="888" t="s">
        <v>1750</v>
      </c>
      <c r="O811" s="875" t="s">
        <v>1750</v>
      </c>
      <c r="P811" s="876">
        <v>78</v>
      </c>
      <c r="Q811" s="877" t="s">
        <v>179</v>
      </c>
      <c r="R811" s="876">
        <v>1200</v>
      </c>
      <c r="S811" s="877" t="s">
        <v>179</v>
      </c>
      <c r="T811" s="878" t="s">
        <v>1750</v>
      </c>
      <c r="U811" s="879" t="s">
        <v>43</v>
      </c>
      <c r="V811" s="878" t="s">
        <v>1750</v>
      </c>
      <c r="W811" s="879" t="s">
        <v>43</v>
      </c>
      <c r="X811" s="876">
        <v>11</v>
      </c>
      <c r="Y811" s="880" t="s">
        <v>179</v>
      </c>
      <c r="Z811" s="881" t="s">
        <v>43</v>
      </c>
      <c r="AA811" s="882">
        <v>8.8999999999999999E-3</v>
      </c>
      <c r="AB811" s="883" t="s">
        <v>179</v>
      </c>
      <c r="AC811" s="884" t="s">
        <v>1750</v>
      </c>
    </row>
    <row r="812" spans="1:29" ht="30.75">
      <c r="A812" s="856" t="s">
        <v>1614</v>
      </c>
      <c r="B812" s="792" t="s">
        <v>1615</v>
      </c>
      <c r="C812" s="857" t="s">
        <v>1750</v>
      </c>
      <c r="D812" s="858" t="s">
        <v>43</v>
      </c>
      <c r="E812" s="843" t="s">
        <v>1750</v>
      </c>
      <c r="F812" s="858" t="s">
        <v>43</v>
      </c>
      <c r="G812" s="804">
        <v>1.1999999999999999E-3</v>
      </c>
      <c r="H812" s="859" t="s">
        <v>2463</v>
      </c>
      <c r="I812" s="843" t="s">
        <v>1750</v>
      </c>
      <c r="J812" s="858" t="s">
        <v>43</v>
      </c>
      <c r="K812" s="858" t="s">
        <v>43</v>
      </c>
      <c r="L812" s="858" t="s">
        <v>43</v>
      </c>
      <c r="M812" s="859">
        <v>1</v>
      </c>
      <c r="N812" s="859">
        <v>0.1</v>
      </c>
      <c r="O812" s="860" t="s">
        <v>1750</v>
      </c>
      <c r="P812" s="861">
        <v>76</v>
      </c>
      <c r="Q812" s="862" t="s">
        <v>179</v>
      </c>
      <c r="R812" s="861">
        <v>980</v>
      </c>
      <c r="S812" s="862" t="s">
        <v>179</v>
      </c>
      <c r="T812" s="863" t="s">
        <v>1750</v>
      </c>
      <c r="U812" s="864" t="s">
        <v>43</v>
      </c>
      <c r="V812" s="863" t="s">
        <v>1750</v>
      </c>
      <c r="W812" s="864" t="s">
        <v>43</v>
      </c>
      <c r="X812" s="861">
        <v>21</v>
      </c>
      <c r="Y812" s="865" t="s">
        <v>179</v>
      </c>
      <c r="Z812" s="866" t="s">
        <v>43</v>
      </c>
      <c r="AA812" s="867">
        <v>1.6E-2</v>
      </c>
      <c r="AB812" s="868" t="s">
        <v>179</v>
      </c>
      <c r="AC812" s="869" t="s">
        <v>1750</v>
      </c>
    </row>
    <row r="813" spans="1:29" ht="15.75">
      <c r="A813" s="856" t="s">
        <v>1616</v>
      </c>
      <c r="B813" s="792" t="s">
        <v>1617</v>
      </c>
      <c r="C813" s="857" t="s">
        <v>1750</v>
      </c>
      <c r="D813" s="858" t="s">
        <v>43</v>
      </c>
      <c r="E813" s="843" t="s">
        <v>1750</v>
      </c>
      <c r="F813" s="858" t="s">
        <v>43</v>
      </c>
      <c r="G813" s="804">
        <v>1</v>
      </c>
      <c r="H813" s="859" t="s">
        <v>13</v>
      </c>
      <c r="I813" s="804">
        <v>0.2</v>
      </c>
      <c r="J813" s="859" t="s">
        <v>280</v>
      </c>
      <c r="K813" s="859" t="s">
        <v>1634</v>
      </c>
      <c r="L813" s="858" t="s">
        <v>43</v>
      </c>
      <c r="M813" s="859">
        <v>1</v>
      </c>
      <c r="N813" s="870" t="s">
        <v>1750</v>
      </c>
      <c r="O813" s="805">
        <v>2750</v>
      </c>
      <c r="P813" s="861">
        <v>910</v>
      </c>
      <c r="Q813" s="862" t="s">
        <v>179</v>
      </c>
      <c r="R813" s="861">
        <v>3800</v>
      </c>
      <c r="S813" s="862" t="s">
        <v>2282</v>
      </c>
      <c r="T813" s="861">
        <v>210</v>
      </c>
      <c r="U813" s="862" t="s">
        <v>179</v>
      </c>
      <c r="V813" s="861">
        <v>880</v>
      </c>
      <c r="W813" s="862" t="s">
        <v>179</v>
      </c>
      <c r="X813" s="861">
        <v>410</v>
      </c>
      <c r="Y813" s="865" t="s">
        <v>179</v>
      </c>
      <c r="Z813" s="866" t="s">
        <v>43</v>
      </c>
      <c r="AA813" s="867">
        <v>8.6999999999999994E-2</v>
      </c>
      <c r="AB813" s="868" t="s">
        <v>179</v>
      </c>
      <c r="AC813" s="869" t="s">
        <v>1750</v>
      </c>
    </row>
    <row r="814" spans="1:29" ht="16.5" thickBot="1">
      <c r="A814" s="871" t="s">
        <v>1618</v>
      </c>
      <c r="B814" s="807" t="s">
        <v>1619</v>
      </c>
      <c r="C814" s="872" t="s">
        <v>1750</v>
      </c>
      <c r="D814" s="873" t="s">
        <v>43</v>
      </c>
      <c r="E814" s="819">
        <v>3.1999999999999999E-5</v>
      </c>
      <c r="F814" s="874" t="s">
        <v>13</v>
      </c>
      <c r="G814" s="847" t="s">
        <v>1750</v>
      </c>
      <c r="H814" s="873" t="s">
        <v>43</v>
      </c>
      <c r="I814" s="819">
        <v>3.0000000000000001E-3</v>
      </c>
      <c r="J814" s="874" t="s">
        <v>280</v>
      </c>
      <c r="K814" s="874" t="s">
        <v>1634</v>
      </c>
      <c r="L814" s="873" t="s">
        <v>43</v>
      </c>
      <c r="M814" s="874">
        <v>1</v>
      </c>
      <c r="N814" s="888" t="s">
        <v>1750</v>
      </c>
      <c r="O814" s="820">
        <v>2470</v>
      </c>
      <c r="P814" s="876">
        <v>0.12</v>
      </c>
      <c r="Q814" s="877" t="s">
        <v>2279</v>
      </c>
      <c r="R814" s="876">
        <v>0.52</v>
      </c>
      <c r="S814" s="877" t="s">
        <v>2279</v>
      </c>
      <c r="T814" s="876">
        <v>8.7999999999999995E-2</v>
      </c>
      <c r="U814" s="877" t="s">
        <v>2279</v>
      </c>
      <c r="V814" s="876">
        <v>0.38</v>
      </c>
      <c r="W814" s="877" t="s">
        <v>2279</v>
      </c>
      <c r="X814" s="876">
        <v>0.18</v>
      </c>
      <c r="Y814" s="880" t="s">
        <v>2279</v>
      </c>
      <c r="Z814" s="881" t="s">
        <v>43</v>
      </c>
      <c r="AA814" s="882">
        <v>5.1E-5</v>
      </c>
      <c r="AB814" s="883" t="s">
        <v>2279</v>
      </c>
      <c r="AC814" s="884" t="s">
        <v>1750</v>
      </c>
    </row>
    <row r="815" spans="1:29" ht="15.75">
      <c r="A815" s="856" t="s">
        <v>1620</v>
      </c>
      <c r="B815" s="792" t="s">
        <v>1621</v>
      </c>
      <c r="C815" s="889">
        <v>0.72</v>
      </c>
      <c r="D815" s="859" t="s">
        <v>280</v>
      </c>
      <c r="E815" s="804">
        <v>4.4000000000000002E-6</v>
      </c>
      <c r="F815" s="859" t="s">
        <v>280</v>
      </c>
      <c r="G815" s="804">
        <v>3.0000000000000001E-3</v>
      </c>
      <c r="H815" s="859" t="s">
        <v>280</v>
      </c>
      <c r="I815" s="804">
        <v>0.1</v>
      </c>
      <c r="J815" s="859" t="s">
        <v>280</v>
      </c>
      <c r="K815" s="859" t="s">
        <v>1634</v>
      </c>
      <c r="L815" s="859" t="s">
        <v>247</v>
      </c>
      <c r="M815" s="859">
        <v>1</v>
      </c>
      <c r="N815" s="870" t="s">
        <v>1750</v>
      </c>
      <c r="O815" s="805">
        <v>3920</v>
      </c>
      <c r="P815" s="861">
        <v>5.8999999999999997E-2</v>
      </c>
      <c r="Q815" s="862" t="s">
        <v>2283</v>
      </c>
      <c r="R815" s="861">
        <v>1.7</v>
      </c>
      <c r="S815" s="862" t="s">
        <v>2283</v>
      </c>
      <c r="T815" s="861">
        <v>0.17</v>
      </c>
      <c r="U815" s="862" t="s">
        <v>2283</v>
      </c>
      <c r="V815" s="861">
        <v>2.8</v>
      </c>
      <c r="W815" s="862" t="s">
        <v>2283</v>
      </c>
      <c r="X815" s="861">
        <v>1.9E-2</v>
      </c>
      <c r="Y815" s="865" t="s">
        <v>2283</v>
      </c>
      <c r="Z815" s="891">
        <v>2</v>
      </c>
      <c r="AA815" s="867">
        <v>6.4999999999999996E-6</v>
      </c>
      <c r="AB815" s="868" t="s">
        <v>2283</v>
      </c>
      <c r="AC815" s="892">
        <v>6.8999999999999997E-4</v>
      </c>
    </row>
    <row r="816" spans="1:29" ht="15.75">
      <c r="A816" s="856" t="s">
        <v>1622</v>
      </c>
      <c r="B816" s="792" t="s">
        <v>1623</v>
      </c>
      <c r="C816" s="857" t="s">
        <v>1750</v>
      </c>
      <c r="D816" s="858" t="s">
        <v>43</v>
      </c>
      <c r="E816" s="843" t="s">
        <v>1750</v>
      </c>
      <c r="F816" s="858" t="s">
        <v>43</v>
      </c>
      <c r="G816" s="804">
        <v>2.9999999999999997E-4</v>
      </c>
      <c r="H816" s="859" t="s">
        <v>280</v>
      </c>
      <c r="I816" s="843" t="s">
        <v>1750</v>
      </c>
      <c r="J816" s="858" t="s">
        <v>43</v>
      </c>
      <c r="K816" s="858" t="s">
        <v>43</v>
      </c>
      <c r="L816" s="858" t="s">
        <v>43</v>
      </c>
      <c r="M816" s="859">
        <v>1</v>
      </c>
      <c r="N816" s="859">
        <v>0.1</v>
      </c>
      <c r="O816" s="860" t="s">
        <v>1750</v>
      </c>
      <c r="P816" s="861">
        <v>19</v>
      </c>
      <c r="Q816" s="862" t="s">
        <v>179</v>
      </c>
      <c r="R816" s="861">
        <v>250</v>
      </c>
      <c r="S816" s="862" t="s">
        <v>179</v>
      </c>
      <c r="T816" s="863" t="s">
        <v>1750</v>
      </c>
      <c r="U816" s="864" t="s">
        <v>43</v>
      </c>
      <c r="V816" s="863" t="s">
        <v>1750</v>
      </c>
      <c r="W816" s="864" t="s">
        <v>43</v>
      </c>
      <c r="X816" s="861">
        <v>5.6</v>
      </c>
      <c r="Y816" s="865" t="s">
        <v>179</v>
      </c>
      <c r="Z816" s="866" t="s">
        <v>43</v>
      </c>
      <c r="AA816" s="867">
        <v>5.8999999999999999E-3</v>
      </c>
      <c r="AB816" s="868" t="s">
        <v>179</v>
      </c>
      <c r="AC816" s="869" t="s">
        <v>1750</v>
      </c>
    </row>
    <row r="817" spans="1:29" ht="16.5" thickBot="1">
      <c r="A817" s="871" t="s">
        <v>1625</v>
      </c>
      <c r="B817" s="807" t="s">
        <v>1626</v>
      </c>
      <c r="C817" s="872" t="s">
        <v>1750</v>
      </c>
      <c r="D817" s="873" t="s">
        <v>43</v>
      </c>
      <c r="E817" s="847" t="s">
        <v>1750</v>
      </c>
      <c r="F817" s="873" t="s">
        <v>43</v>
      </c>
      <c r="G817" s="819">
        <v>0.2</v>
      </c>
      <c r="H817" s="874" t="s">
        <v>14</v>
      </c>
      <c r="I817" s="819">
        <v>0.1</v>
      </c>
      <c r="J817" s="874" t="s">
        <v>14</v>
      </c>
      <c r="K817" s="874" t="s">
        <v>1634</v>
      </c>
      <c r="L817" s="873" t="s">
        <v>43</v>
      </c>
      <c r="M817" s="874">
        <v>1</v>
      </c>
      <c r="N817" s="888" t="s">
        <v>1750</v>
      </c>
      <c r="O817" s="820">
        <v>390</v>
      </c>
      <c r="P817" s="876">
        <v>560</v>
      </c>
      <c r="Q817" s="877" t="s">
        <v>2282</v>
      </c>
      <c r="R817" s="876">
        <v>2400</v>
      </c>
      <c r="S817" s="877" t="s">
        <v>2282</v>
      </c>
      <c r="T817" s="876">
        <v>100</v>
      </c>
      <c r="U817" s="877" t="s">
        <v>179</v>
      </c>
      <c r="V817" s="876">
        <v>440</v>
      </c>
      <c r="W817" s="877" t="s">
        <v>179</v>
      </c>
      <c r="X817" s="876">
        <v>190</v>
      </c>
      <c r="Y817" s="880" t="s">
        <v>179</v>
      </c>
      <c r="Z817" s="881" t="s">
        <v>43</v>
      </c>
      <c r="AA817" s="882">
        <v>0.19</v>
      </c>
      <c r="AB817" s="883" t="s">
        <v>179</v>
      </c>
      <c r="AC817" s="884" t="s">
        <v>1750</v>
      </c>
    </row>
    <row r="818" spans="1:29" ht="15.75">
      <c r="A818" s="856" t="s">
        <v>171</v>
      </c>
      <c r="B818" s="792" t="s">
        <v>1627</v>
      </c>
      <c r="C818" s="857" t="s">
        <v>1750</v>
      </c>
      <c r="D818" s="858" t="s">
        <v>43</v>
      </c>
      <c r="E818" s="843" t="s">
        <v>1750</v>
      </c>
      <c r="F818" s="858" t="s">
        <v>43</v>
      </c>
      <c r="G818" s="804">
        <v>0.2</v>
      </c>
      <c r="H818" s="859" t="s">
        <v>14</v>
      </c>
      <c r="I818" s="804">
        <v>0.1</v>
      </c>
      <c r="J818" s="859" t="s">
        <v>14</v>
      </c>
      <c r="K818" s="859" t="s">
        <v>1634</v>
      </c>
      <c r="L818" s="858" t="s">
        <v>43</v>
      </c>
      <c r="M818" s="859">
        <v>1</v>
      </c>
      <c r="N818" s="870" t="s">
        <v>1750</v>
      </c>
      <c r="O818" s="805">
        <v>388</v>
      </c>
      <c r="P818" s="861">
        <v>550</v>
      </c>
      <c r="Q818" s="862" t="s">
        <v>2282</v>
      </c>
      <c r="R818" s="861">
        <v>2400</v>
      </c>
      <c r="S818" s="862" t="s">
        <v>2282</v>
      </c>
      <c r="T818" s="861">
        <v>100</v>
      </c>
      <c r="U818" s="862" t="s">
        <v>179</v>
      </c>
      <c r="V818" s="861">
        <v>440</v>
      </c>
      <c r="W818" s="862" t="s">
        <v>179</v>
      </c>
      <c r="X818" s="861">
        <v>190</v>
      </c>
      <c r="Y818" s="865" t="s">
        <v>179</v>
      </c>
      <c r="Z818" s="866" t="s">
        <v>43</v>
      </c>
      <c r="AA818" s="867">
        <v>0.19</v>
      </c>
      <c r="AB818" s="868" t="s">
        <v>179</v>
      </c>
      <c r="AC818" s="869" t="s">
        <v>1750</v>
      </c>
    </row>
    <row r="819" spans="1:29" ht="15.75">
      <c r="A819" s="856" t="s">
        <v>175</v>
      </c>
      <c r="B819" s="792" t="s">
        <v>1628</v>
      </c>
      <c r="C819" s="857" t="s">
        <v>1750</v>
      </c>
      <c r="D819" s="858" t="s">
        <v>43</v>
      </c>
      <c r="E819" s="843" t="s">
        <v>1750</v>
      </c>
      <c r="F819" s="858" t="s">
        <v>43</v>
      </c>
      <c r="G819" s="804">
        <v>0.2</v>
      </c>
      <c r="H819" s="859" t="s">
        <v>14</v>
      </c>
      <c r="I819" s="804">
        <v>0.1</v>
      </c>
      <c r="J819" s="859" t="s">
        <v>14</v>
      </c>
      <c r="K819" s="859" t="s">
        <v>1634</v>
      </c>
      <c r="L819" s="858" t="s">
        <v>43</v>
      </c>
      <c r="M819" s="859">
        <v>1</v>
      </c>
      <c r="N819" s="870" t="s">
        <v>1750</v>
      </c>
      <c r="O819" s="805">
        <v>434</v>
      </c>
      <c r="P819" s="861">
        <v>650</v>
      </c>
      <c r="Q819" s="862" t="s">
        <v>2282</v>
      </c>
      <c r="R819" s="861">
        <v>2800</v>
      </c>
      <c r="S819" s="862" t="s">
        <v>2282</v>
      </c>
      <c r="T819" s="861">
        <v>100</v>
      </c>
      <c r="U819" s="862" t="s">
        <v>179</v>
      </c>
      <c r="V819" s="861">
        <v>440</v>
      </c>
      <c r="W819" s="862" t="s">
        <v>179</v>
      </c>
      <c r="X819" s="861">
        <v>190</v>
      </c>
      <c r="Y819" s="865" t="s">
        <v>179</v>
      </c>
      <c r="Z819" s="866" t="s">
        <v>43</v>
      </c>
      <c r="AA819" s="867">
        <v>0.19</v>
      </c>
      <c r="AB819" s="868" t="s">
        <v>179</v>
      </c>
      <c r="AC819" s="869" t="s">
        <v>1750</v>
      </c>
    </row>
    <row r="820" spans="1:29" ht="16.5" thickBot="1">
      <c r="A820" s="871" t="s">
        <v>1928</v>
      </c>
      <c r="B820" s="807" t="s">
        <v>1624</v>
      </c>
      <c r="C820" s="872" t="s">
        <v>1750</v>
      </c>
      <c r="D820" s="873" t="s">
        <v>43</v>
      </c>
      <c r="E820" s="847" t="s">
        <v>1750</v>
      </c>
      <c r="F820" s="873" t="s">
        <v>43</v>
      </c>
      <c r="G820" s="819">
        <v>0.2</v>
      </c>
      <c r="H820" s="874" t="s">
        <v>280</v>
      </c>
      <c r="I820" s="819">
        <v>0.1</v>
      </c>
      <c r="J820" s="874" t="s">
        <v>280</v>
      </c>
      <c r="K820" s="874" t="s">
        <v>1634</v>
      </c>
      <c r="L820" s="873" t="s">
        <v>43</v>
      </c>
      <c r="M820" s="874">
        <v>1</v>
      </c>
      <c r="N820" s="888" t="s">
        <v>1750</v>
      </c>
      <c r="O820" s="820">
        <v>260</v>
      </c>
      <c r="P820" s="876">
        <v>580</v>
      </c>
      <c r="Q820" s="877" t="s">
        <v>2282</v>
      </c>
      <c r="R820" s="876">
        <v>2500</v>
      </c>
      <c r="S820" s="877" t="s">
        <v>2282</v>
      </c>
      <c r="T820" s="876">
        <v>100</v>
      </c>
      <c r="U820" s="877" t="s">
        <v>179</v>
      </c>
      <c r="V820" s="876">
        <v>440</v>
      </c>
      <c r="W820" s="877" t="s">
        <v>179</v>
      </c>
      <c r="X820" s="876">
        <v>190</v>
      </c>
      <c r="Y820" s="880" t="s">
        <v>179</v>
      </c>
      <c r="Z820" s="893">
        <v>10000</v>
      </c>
      <c r="AA820" s="882">
        <v>0.19</v>
      </c>
      <c r="AB820" s="883" t="s">
        <v>179</v>
      </c>
      <c r="AC820" s="894">
        <v>9.9</v>
      </c>
    </row>
    <row r="821" spans="1:29" ht="15.75">
      <c r="A821" s="856" t="s">
        <v>1630</v>
      </c>
      <c r="B821" s="792" t="s">
        <v>1631</v>
      </c>
      <c r="C821" s="857" t="s">
        <v>1750</v>
      </c>
      <c r="D821" s="858" t="s">
        <v>43</v>
      </c>
      <c r="E821" s="843" t="s">
        <v>1750</v>
      </c>
      <c r="F821" s="858" t="s">
        <v>43</v>
      </c>
      <c r="G821" s="804">
        <v>2.9999999999999997E-4</v>
      </c>
      <c r="H821" s="859" t="s">
        <v>280</v>
      </c>
      <c r="I821" s="843" t="s">
        <v>1750</v>
      </c>
      <c r="J821" s="858" t="s">
        <v>43</v>
      </c>
      <c r="K821" s="858" t="s">
        <v>43</v>
      </c>
      <c r="L821" s="858" t="s">
        <v>43</v>
      </c>
      <c r="M821" s="859">
        <v>1</v>
      </c>
      <c r="N821" s="870" t="s">
        <v>1750</v>
      </c>
      <c r="O821" s="860" t="s">
        <v>1750</v>
      </c>
      <c r="P821" s="861">
        <v>23</v>
      </c>
      <c r="Q821" s="862" t="s">
        <v>179</v>
      </c>
      <c r="R821" s="861">
        <v>350</v>
      </c>
      <c r="S821" s="862" t="s">
        <v>179</v>
      </c>
      <c r="T821" s="863" t="s">
        <v>1750</v>
      </c>
      <c r="U821" s="864" t="s">
        <v>43</v>
      </c>
      <c r="V821" s="863" t="s">
        <v>1750</v>
      </c>
      <c r="W821" s="864" t="s">
        <v>43</v>
      </c>
      <c r="X821" s="861">
        <v>6</v>
      </c>
      <c r="Y821" s="865" t="s">
        <v>179</v>
      </c>
      <c r="Z821" s="866" t="s">
        <v>43</v>
      </c>
      <c r="AA821" s="886" t="s">
        <v>1750</v>
      </c>
      <c r="AB821" s="868" t="s">
        <v>179</v>
      </c>
      <c r="AC821" s="869" t="s">
        <v>1750</v>
      </c>
    </row>
    <row r="822" spans="1:29" ht="30.75">
      <c r="A822" s="856" t="s">
        <v>1929</v>
      </c>
      <c r="B822" s="792" t="s">
        <v>1629</v>
      </c>
      <c r="C822" s="857" t="s">
        <v>1750</v>
      </c>
      <c r="D822" s="858" t="s">
        <v>43</v>
      </c>
      <c r="E822" s="843" t="s">
        <v>1750</v>
      </c>
      <c r="F822" s="858" t="s">
        <v>43</v>
      </c>
      <c r="G822" s="804">
        <v>0.3</v>
      </c>
      <c r="H822" s="859" t="s">
        <v>280</v>
      </c>
      <c r="I822" s="843" t="s">
        <v>1750</v>
      </c>
      <c r="J822" s="858" t="s">
        <v>43</v>
      </c>
      <c r="K822" s="858" t="s">
        <v>43</v>
      </c>
      <c r="L822" s="858" t="s">
        <v>43</v>
      </c>
      <c r="M822" s="859">
        <v>1</v>
      </c>
      <c r="N822" s="870" t="s">
        <v>1750</v>
      </c>
      <c r="O822" s="860" t="s">
        <v>1750</v>
      </c>
      <c r="P822" s="861">
        <v>23000</v>
      </c>
      <c r="Q822" s="862" t="s">
        <v>179</v>
      </c>
      <c r="R822" s="861">
        <v>350000</v>
      </c>
      <c r="S822" s="862" t="s">
        <v>2281</v>
      </c>
      <c r="T822" s="863" t="s">
        <v>1750</v>
      </c>
      <c r="U822" s="864" t="s">
        <v>43</v>
      </c>
      <c r="V822" s="863" t="s">
        <v>1750</v>
      </c>
      <c r="W822" s="864" t="s">
        <v>43</v>
      </c>
      <c r="X822" s="861">
        <v>6000</v>
      </c>
      <c r="Y822" s="865" t="s">
        <v>179</v>
      </c>
      <c r="Z822" s="866" t="s">
        <v>43</v>
      </c>
      <c r="AA822" s="867">
        <v>370</v>
      </c>
      <c r="AB822" s="868" t="s">
        <v>179</v>
      </c>
      <c r="AC822" s="869" t="s">
        <v>1750</v>
      </c>
    </row>
    <row r="823" spans="1:29" ht="31.5" thickBot="1">
      <c r="A823" s="871" t="s">
        <v>1632</v>
      </c>
      <c r="B823" s="807" t="s">
        <v>1633</v>
      </c>
      <c r="C823" s="872" t="s">
        <v>1750</v>
      </c>
      <c r="D823" s="873" t="s">
        <v>43</v>
      </c>
      <c r="E823" s="847" t="s">
        <v>1750</v>
      </c>
      <c r="F823" s="873" t="s">
        <v>43</v>
      </c>
      <c r="G823" s="819">
        <v>0.05</v>
      </c>
      <c r="H823" s="874" t="s">
        <v>280</v>
      </c>
      <c r="I823" s="847" t="s">
        <v>1750</v>
      </c>
      <c r="J823" s="873" t="s">
        <v>43</v>
      </c>
      <c r="K823" s="873" t="s">
        <v>43</v>
      </c>
      <c r="L823" s="873" t="s">
        <v>43</v>
      </c>
      <c r="M823" s="874">
        <v>1</v>
      </c>
      <c r="N823" s="874">
        <v>0.1</v>
      </c>
      <c r="O823" s="875" t="s">
        <v>1750</v>
      </c>
      <c r="P823" s="876">
        <v>3200</v>
      </c>
      <c r="Q823" s="877" t="s">
        <v>179</v>
      </c>
      <c r="R823" s="876">
        <v>41000</v>
      </c>
      <c r="S823" s="877" t="s">
        <v>179</v>
      </c>
      <c r="T823" s="878" t="s">
        <v>1750</v>
      </c>
      <c r="U823" s="879" t="s">
        <v>43</v>
      </c>
      <c r="V823" s="878" t="s">
        <v>1750</v>
      </c>
      <c r="W823" s="879" t="s">
        <v>43</v>
      </c>
      <c r="X823" s="876">
        <v>990</v>
      </c>
      <c r="Y823" s="880" t="s">
        <v>179</v>
      </c>
      <c r="Z823" s="881" t="s">
        <v>43</v>
      </c>
      <c r="AA823" s="882">
        <v>2.9</v>
      </c>
      <c r="AB823" s="883" t="s">
        <v>179</v>
      </c>
      <c r="AC823" s="884" t="s">
        <v>1750</v>
      </c>
    </row>
    <row r="824" spans="1:29" ht="16.5" thickBot="1">
      <c r="A824" s="871" t="s">
        <v>1930</v>
      </c>
      <c r="B824" s="807" t="s">
        <v>1931</v>
      </c>
      <c r="C824" s="872" t="s">
        <v>1750</v>
      </c>
      <c r="D824" s="873" t="s">
        <v>43</v>
      </c>
      <c r="E824" s="847" t="s">
        <v>1750</v>
      </c>
      <c r="F824" s="873" t="s">
        <v>43</v>
      </c>
      <c r="G824" s="819">
        <v>8.0000000000000007E-5</v>
      </c>
      <c r="H824" s="874" t="s">
        <v>0</v>
      </c>
      <c r="I824" s="847" t="s">
        <v>1750</v>
      </c>
      <c r="J824" s="873" t="s">
        <v>43</v>
      </c>
      <c r="K824" s="873" t="s">
        <v>43</v>
      </c>
      <c r="L824" s="873" t="s">
        <v>43</v>
      </c>
      <c r="M824" s="874">
        <v>1</v>
      </c>
      <c r="N824" s="888" t="s">
        <v>1750</v>
      </c>
      <c r="O824" s="875" t="s">
        <v>1750</v>
      </c>
      <c r="P824" s="876">
        <v>6.3</v>
      </c>
      <c r="Q824" s="877" t="s">
        <v>179</v>
      </c>
      <c r="R824" s="876">
        <v>93</v>
      </c>
      <c r="S824" s="877" t="s">
        <v>179</v>
      </c>
      <c r="T824" s="878" t="s">
        <v>1750</v>
      </c>
      <c r="U824" s="879" t="s">
        <v>43</v>
      </c>
      <c r="V824" s="878" t="s">
        <v>1750</v>
      </c>
      <c r="W824" s="879" t="s">
        <v>43</v>
      </c>
      <c r="X824" s="876">
        <v>1.6</v>
      </c>
      <c r="Y824" s="880" t="s">
        <v>179</v>
      </c>
      <c r="Z824" s="881" t="s">
        <v>43</v>
      </c>
      <c r="AA824" s="882">
        <v>4.8</v>
      </c>
      <c r="AB824" s="883" t="s">
        <v>179</v>
      </c>
      <c r="AC824" s="884" t="s">
        <v>1750</v>
      </c>
    </row>
    <row r="826" spans="1:29">
      <c r="A826" s="906" t="s">
        <v>2472</v>
      </c>
    </row>
    <row r="827" spans="1:29" ht="15.75">
      <c r="A827" s="906" t="s">
        <v>2473</v>
      </c>
      <c r="C827" s="683"/>
      <c r="D827" s="972" t="s">
        <v>146</v>
      </c>
      <c r="E827" s="972"/>
      <c r="F827" s="972" t="s">
        <v>2306</v>
      </c>
      <c r="G827" s="972"/>
    </row>
    <row r="828" spans="1:29" ht="15.75">
      <c r="C828" s="907"/>
      <c r="D828" s="908" t="s">
        <v>137</v>
      </c>
      <c r="E828" s="908" t="s">
        <v>267</v>
      </c>
      <c r="F828" s="908" t="s">
        <v>137</v>
      </c>
      <c r="G828" s="908" t="s">
        <v>267</v>
      </c>
    </row>
    <row r="829" spans="1:29" ht="15.75">
      <c r="C829" s="683"/>
      <c r="D829" s="684" t="s">
        <v>2474</v>
      </c>
      <c r="E829" s="685">
        <v>9.9999999999999995E-7</v>
      </c>
      <c r="F829" s="684" t="s">
        <v>2475</v>
      </c>
      <c r="G829" s="685">
        <v>4.0999999999999997E-6</v>
      </c>
    </row>
    <row r="830" spans="1:29" ht="15.75">
      <c r="C830" s="683"/>
      <c r="D830" s="684" t="s">
        <v>2476</v>
      </c>
      <c r="E830" s="685">
        <v>3.1E-6</v>
      </c>
      <c r="F830" s="684" t="s">
        <v>2477</v>
      </c>
      <c r="G830" s="685">
        <v>4.0999999999999997E-6</v>
      </c>
    </row>
  </sheetData>
  <sheetProtection algorithmName="SHA-512" hashValue="8QJLFZHz0s8UBvEv45xWMYCQ93diPz6gfSfwB2etYNl5IP2RGOFcIGfZUep6zJBOUOHWbGdrNCh4XTj1mbd+fg==" saltValue="Pv19z8cBT4tmE/enV6Km3A==" spinCount="100000" sheet="1" objects="1" scenarios="1" selectLockedCells="1"/>
  <autoFilter ref="A4:AC4" xr:uid="{00000000-0009-0000-0000-00000C000000}"/>
  <mergeCells count="7">
    <mergeCell ref="D827:E827"/>
    <mergeCell ref="F827:G827"/>
    <mergeCell ref="AA3:AC3"/>
    <mergeCell ref="B1:V2"/>
    <mergeCell ref="A3:B3"/>
    <mergeCell ref="C3:O3"/>
    <mergeCell ref="P3:Z3"/>
  </mergeCells>
  <pageMargins left="0.7" right="0.7" top="0.75" bottom="0.75" header="0.3" footer="0.3"/>
  <pageSetup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pageSetUpPr fitToPage="1"/>
  </sheetPr>
  <dimension ref="A1:R84"/>
  <sheetViews>
    <sheetView view="pageLayout" topLeftCell="E13" zoomScaleNormal="80" workbookViewId="0">
      <selection activeCell="I25" sqref="I25"/>
    </sheetView>
  </sheetViews>
  <sheetFormatPr defaultColWidth="9.140625" defaultRowHeight="13.5"/>
  <cols>
    <col min="1" max="2" width="2.28515625" customWidth="1"/>
    <col min="3" max="3" width="45.42578125" customWidth="1"/>
    <col min="4" max="4" width="16.28515625" customWidth="1"/>
    <col min="5" max="6" width="30.5703125" customWidth="1"/>
    <col min="7" max="16384" width="9.140625" style="28"/>
  </cols>
  <sheetData>
    <row r="1" spans="1:9" ht="25.15" customHeight="1">
      <c r="A1" s="272"/>
      <c r="B1" s="272"/>
      <c r="C1" s="272"/>
      <c r="D1" s="272"/>
      <c r="E1" s="977" t="s">
        <v>1700</v>
      </c>
      <c r="F1" s="977"/>
    </row>
    <row r="2" spans="1:9" ht="18">
      <c r="A2" s="273" t="s">
        <v>124</v>
      </c>
      <c r="B2" s="274"/>
      <c r="C2" s="275"/>
      <c r="D2" s="242" t="s">
        <v>136</v>
      </c>
      <c r="E2" s="242" t="s">
        <v>337</v>
      </c>
      <c r="F2" s="243" t="s">
        <v>338</v>
      </c>
    </row>
    <row r="3" spans="1:9" ht="15">
      <c r="A3" s="276"/>
      <c r="B3" s="277" t="s">
        <v>289</v>
      </c>
      <c r="C3" s="278"/>
      <c r="D3" s="279"/>
      <c r="E3" s="244" t="s">
        <v>1701</v>
      </c>
      <c r="F3" s="245" t="s">
        <v>1701</v>
      </c>
    </row>
    <row r="4" spans="1:9" ht="15">
      <c r="A4" s="280"/>
      <c r="B4" s="277" t="s">
        <v>1705</v>
      </c>
      <c r="C4" s="278"/>
      <c r="D4" s="279" t="s">
        <v>251</v>
      </c>
      <c r="E4" s="246" t="s">
        <v>1701</v>
      </c>
      <c r="F4" s="247" t="s">
        <v>1702</v>
      </c>
    </row>
    <row r="5" spans="1:9" ht="15">
      <c r="A5" s="280"/>
      <c r="B5" s="277" t="s">
        <v>1706</v>
      </c>
      <c r="C5" s="278"/>
      <c r="D5" s="279" t="s">
        <v>185</v>
      </c>
      <c r="E5" s="248" t="s">
        <v>1724</v>
      </c>
      <c r="F5" s="249" t="s">
        <v>1702</v>
      </c>
    </row>
    <row r="6" spans="1:9" ht="15.75">
      <c r="A6" s="280"/>
      <c r="B6" s="277" t="s">
        <v>1707</v>
      </c>
      <c r="C6" s="278"/>
      <c r="D6" s="281" t="s">
        <v>329</v>
      </c>
      <c r="E6" s="250" t="s">
        <v>1702</v>
      </c>
      <c r="F6" s="251" t="s">
        <v>1702</v>
      </c>
    </row>
    <row r="7" spans="1:9" ht="15">
      <c r="A7" s="280"/>
      <c r="B7" s="98" t="str">
        <f>IF(Source="Groundwater","Depth below grade to water table","Depth below grade to soil gas sample")</f>
        <v>Depth below grade to water table</v>
      </c>
      <c r="C7" s="278"/>
      <c r="D7" s="279" t="s">
        <v>185</v>
      </c>
      <c r="E7" s="248" t="s">
        <v>1724</v>
      </c>
      <c r="F7" s="249" t="s">
        <v>1702</v>
      </c>
      <c r="I7" s="98"/>
    </row>
    <row r="8" spans="1:9" ht="27">
      <c r="A8" s="28"/>
      <c r="B8" s="98" t="str">
        <f>IF(Source="Groundwater","Average groundwater temperature","Average vadose zone temperature")</f>
        <v>Average groundwater temperature</v>
      </c>
      <c r="C8" s="28"/>
      <c r="D8" s="281" t="s">
        <v>329</v>
      </c>
      <c r="E8" s="250" t="s">
        <v>1767</v>
      </c>
      <c r="F8" s="251" t="s">
        <v>1702</v>
      </c>
    </row>
    <row r="9" spans="1:9">
      <c r="A9" s="280"/>
      <c r="B9" s="282"/>
      <c r="C9" s="283" t="s">
        <v>318</v>
      </c>
      <c r="D9" s="279" t="s">
        <v>251</v>
      </c>
      <c r="E9" s="252" t="s">
        <v>1701</v>
      </c>
      <c r="F9" s="253" t="s">
        <v>1702</v>
      </c>
    </row>
    <row r="10" spans="1:9" ht="18">
      <c r="A10" s="273" t="s">
        <v>254</v>
      </c>
      <c r="B10" s="274"/>
      <c r="C10" s="275"/>
      <c r="D10" s="242" t="s">
        <v>136</v>
      </c>
      <c r="E10" s="254" t="s">
        <v>337</v>
      </c>
      <c r="F10" s="243" t="s">
        <v>338</v>
      </c>
    </row>
    <row r="11" spans="1:9" ht="15">
      <c r="A11" s="280"/>
      <c r="B11" s="277" t="s">
        <v>121</v>
      </c>
      <c r="C11" s="283"/>
      <c r="D11" s="279"/>
      <c r="E11" s="255"/>
      <c r="F11" s="256"/>
    </row>
    <row r="12" spans="1:9">
      <c r="A12" s="284"/>
      <c r="B12" s="283"/>
      <c r="C12" s="278" t="s">
        <v>1</v>
      </c>
      <c r="D12" s="279"/>
      <c r="E12" s="250"/>
      <c r="F12" s="251"/>
    </row>
    <row r="13" spans="1:9" ht="15">
      <c r="A13" s="276" t="s">
        <v>210</v>
      </c>
      <c r="B13" s="283"/>
      <c r="C13" s="278"/>
      <c r="D13" s="281"/>
      <c r="E13" s="257"/>
      <c r="F13" s="251"/>
    </row>
    <row r="14" spans="1:9" ht="15.75">
      <c r="A14" s="284"/>
      <c r="B14" s="285" t="s">
        <v>119</v>
      </c>
      <c r="C14" s="285"/>
      <c r="D14" s="281" t="s">
        <v>330</v>
      </c>
      <c r="E14" s="261" t="s">
        <v>2290</v>
      </c>
      <c r="F14" s="247" t="s">
        <v>1701</v>
      </c>
    </row>
    <row r="15" spans="1:9">
      <c r="A15" s="284"/>
      <c r="B15" s="285" t="s">
        <v>1959</v>
      </c>
      <c r="C15" s="28"/>
      <c r="D15" s="281" t="s">
        <v>707</v>
      </c>
      <c r="E15" s="261" t="s">
        <v>2290</v>
      </c>
      <c r="F15" s="514" t="s">
        <v>1701</v>
      </c>
    </row>
    <row r="16" spans="1:9" ht="15.75">
      <c r="A16" s="286"/>
      <c r="B16" s="287" t="s">
        <v>120</v>
      </c>
      <c r="C16" s="287"/>
      <c r="D16" s="288" t="s">
        <v>331</v>
      </c>
      <c r="E16" s="261" t="s">
        <v>2290</v>
      </c>
      <c r="F16" s="259" t="s">
        <v>1701</v>
      </c>
    </row>
    <row r="17" spans="1:6" ht="18">
      <c r="A17" s="289" t="s">
        <v>1655</v>
      </c>
      <c r="B17" s="290"/>
      <c r="C17" s="290"/>
      <c r="D17" s="254" t="s">
        <v>136</v>
      </c>
      <c r="E17" s="254" t="s">
        <v>337</v>
      </c>
      <c r="F17" s="260" t="s">
        <v>338</v>
      </c>
    </row>
    <row r="18" spans="1:6" ht="15.75">
      <c r="A18" s="291"/>
      <c r="B18" s="278" t="s">
        <v>122</v>
      </c>
      <c r="C18" s="278"/>
      <c r="D18" s="279" t="s">
        <v>17</v>
      </c>
      <c r="E18" s="261" t="s">
        <v>2290</v>
      </c>
      <c r="F18" s="263" t="s">
        <v>1703</v>
      </c>
    </row>
    <row r="19" spans="1:6" ht="15.75">
      <c r="A19" s="284"/>
      <c r="B19" s="278" t="s">
        <v>327</v>
      </c>
      <c r="C19" s="278"/>
      <c r="D19" s="279" t="s">
        <v>328</v>
      </c>
      <c r="E19" s="261" t="s">
        <v>2290</v>
      </c>
      <c r="F19" s="263" t="s">
        <v>1703</v>
      </c>
    </row>
    <row r="20" spans="1:6" ht="29.25">
      <c r="A20" s="284"/>
      <c r="B20" s="278"/>
      <c r="C20" s="292" t="s">
        <v>1653</v>
      </c>
      <c r="D20" s="279" t="s">
        <v>128</v>
      </c>
      <c r="E20" s="262" t="s">
        <v>1701</v>
      </c>
      <c r="F20" s="264" t="s">
        <v>1701</v>
      </c>
    </row>
    <row r="21" spans="1:6" ht="27">
      <c r="A21" s="284"/>
      <c r="B21" s="278"/>
      <c r="C21" s="292" t="s">
        <v>1654</v>
      </c>
      <c r="D21" s="279" t="s">
        <v>128</v>
      </c>
      <c r="E21" s="262" t="s">
        <v>1701</v>
      </c>
      <c r="F21" s="264" t="s">
        <v>1701</v>
      </c>
    </row>
    <row r="22" spans="1:6" ht="15.75">
      <c r="A22" s="293"/>
      <c r="B22" s="278" t="s">
        <v>117</v>
      </c>
      <c r="C22" s="278"/>
      <c r="D22" s="279" t="s">
        <v>304</v>
      </c>
      <c r="E22" s="261" t="s">
        <v>2290</v>
      </c>
      <c r="F22" s="263" t="s">
        <v>1703</v>
      </c>
    </row>
    <row r="23" spans="1:6" ht="15.75">
      <c r="A23" s="294"/>
      <c r="B23" s="295" t="s">
        <v>118</v>
      </c>
      <c r="C23" s="295"/>
      <c r="D23" s="296" t="s">
        <v>304</v>
      </c>
      <c r="E23" s="261" t="s">
        <v>2290</v>
      </c>
      <c r="F23" s="265" t="s">
        <v>1703</v>
      </c>
    </row>
    <row r="24" spans="1:6" ht="18">
      <c r="A24" s="297" t="s">
        <v>132</v>
      </c>
      <c r="B24" s="274"/>
      <c r="C24" s="274"/>
      <c r="D24" s="242" t="s">
        <v>136</v>
      </c>
      <c r="E24" s="254" t="s">
        <v>337</v>
      </c>
      <c r="F24" s="260" t="s">
        <v>338</v>
      </c>
    </row>
    <row r="25" spans="1:6" ht="15">
      <c r="A25" s="280"/>
      <c r="B25" s="277" t="s">
        <v>180</v>
      </c>
      <c r="C25" s="278"/>
      <c r="D25" s="279"/>
      <c r="E25" s="266"/>
      <c r="F25" s="251"/>
    </row>
    <row r="26" spans="1:6" ht="15">
      <c r="A26" s="280"/>
      <c r="B26" s="298" t="s">
        <v>133</v>
      </c>
      <c r="C26" s="283"/>
      <c r="D26" s="279"/>
      <c r="E26" s="266"/>
      <c r="F26" s="251"/>
    </row>
    <row r="27" spans="1:6">
      <c r="A27" s="280"/>
      <c r="B27" s="283"/>
      <c r="C27" s="283" t="s">
        <v>326</v>
      </c>
      <c r="D27" s="279" t="s">
        <v>185</v>
      </c>
      <c r="E27" s="257" t="s">
        <v>1704</v>
      </c>
      <c r="F27" s="251" t="s">
        <v>1701</v>
      </c>
    </row>
    <row r="28" spans="1:6">
      <c r="A28" s="280"/>
      <c r="B28" s="283"/>
      <c r="C28" s="283" t="s">
        <v>230</v>
      </c>
      <c r="D28" s="279" t="s">
        <v>185</v>
      </c>
      <c r="E28" s="257" t="s">
        <v>1702</v>
      </c>
      <c r="F28" s="251" t="s">
        <v>1701</v>
      </c>
    </row>
    <row r="29" spans="1:6">
      <c r="A29" s="280"/>
      <c r="B29" s="283"/>
      <c r="C29" s="283" t="s">
        <v>232</v>
      </c>
      <c r="D29" s="279" t="s">
        <v>128</v>
      </c>
      <c r="E29" s="257" t="s">
        <v>1704</v>
      </c>
      <c r="F29" s="251" t="s">
        <v>1702</v>
      </c>
    </row>
    <row r="30" spans="1:6" ht="27">
      <c r="A30" s="280"/>
      <c r="B30" s="283"/>
      <c r="C30" s="283" t="s">
        <v>142</v>
      </c>
      <c r="D30" s="279" t="s">
        <v>197</v>
      </c>
      <c r="E30" s="257" t="s">
        <v>2346</v>
      </c>
      <c r="F30" s="251" t="s">
        <v>1701</v>
      </c>
    </row>
    <row r="31" spans="1:6" ht="27">
      <c r="A31" s="280"/>
      <c r="B31" s="283"/>
      <c r="C31" s="283" t="s">
        <v>335</v>
      </c>
      <c r="D31" s="279" t="s">
        <v>185</v>
      </c>
      <c r="E31" s="257" t="s">
        <v>2346</v>
      </c>
      <c r="F31" s="263" t="s">
        <v>1703</v>
      </c>
    </row>
    <row r="32" spans="1:6">
      <c r="A32" s="280"/>
      <c r="B32" s="283"/>
      <c r="C32" s="283" t="s">
        <v>134</v>
      </c>
      <c r="D32" s="279" t="s">
        <v>201</v>
      </c>
      <c r="E32" s="257" t="s">
        <v>1981</v>
      </c>
      <c r="F32" s="251" t="s">
        <v>1702</v>
      </c>
    </row>
    <row r="33" spans="1:6">
      <c r="A33" s="280"/>
      <c r="B33" s="283"/>
      <c r="C33" s="283" t="s">
        <v>205</v>
      </c>
      <c r="D33" s="299" t="s">
        <v>128</v>
      </c>
      <c r="E33" s="248" t="s">
        <v>2094</v>
      </c>
      <c r="F33" s="251" t="s">
        <v>1702</v>
      </c>
    </row>
    <row r="34" spans="1:6" ht="15.75">
      <c r="A34" s="280"/>
      <c r="B34" s="300"/>
      <c r="C34" s="283" t="s">
        <v>315</v>
      </c>
      <c r="D34" s="279" t="s">
        <v>202</v>
      </c>
      <c r="E34" s="257" t="s">
        <v>1981</v>
      </c>
      <c r="F34" s="263" t="s">
        <v>1703</v>
      </c>
    </row>
    <row r="35" spans="1:6" ht="27">
      <c r="A35" s="301"/>
      <c r="B35" s="302"/>
      <c r="C35" s="303" t="s">
        <v>1652</v>
      </c>
      <c r="D35" s="296" t="s">
        <v>202</v>
      </c>
      <c r="E35" s="267" t="s">
        <v>1701</v>
      </c>
      <c r="F35" s="253" t="s">
        <v>1701</v>
      </c>
    </row>
    <row r="36" spans="1:6" ht="18">
      <c r="A36" s="273" t="s">
        <v>125</v>
      </c>
      <c r="B36" s="274"/>
      <c r="C36" s="274"/>
      <c r="D36" s="242" t="s">
        <v>136</v>
      </c>
      <c r="E36" s="242" t="s">
        <v>337</v>
      </c>
      <c r="F36" s="243" t="s">
        <v>338</v>
      </c>
    </row>
    <row r="37" spans="1:6" ht="17.25">
      <c r="A37" s="276" t="s">
        <v>308</v>
      </c>
      <c r="B37" s="304"/>
      <c r="C37" s="278"/>
      <c r="D37" s="279"/>
      <c r="E37" s="244"/>
      <c r="F37" s="245"/>
    </row>
    <row r="38" spans="1:6" ht="17.25">
      <c r="A38" s="305"/>
      <c r="B38" s="277" t="s">
        <v>310</v>
      </c>
      <c r="C38" s="278"/>
      <c r="D38" s="279"/>
      <c r="E38" s="268"/>
      <c r="F38" s="251"/>
    </row>
    <row r="39" spans="1:6" ht="17.25">
      <c r="A39" s="305"/>
      <c r="B39" s="277" t="s">
        <v>309</v>
      </c>
      <c r="C39" s="278"/>
      <c r="D39" s="279" t="s">
        <v>185</v>
      </c>
      <c r="E39" s="257"/>
      <c r="F39" s="251"/>
    </row>
    <row r="40" spans="1:6" ht="17.25">
      <c r="A40" s="305"/>
      <c r="B40" s="304"/>
      <c r="C40" s="278" t="s">
        <v>186</v>
      </c>
      <c r="D40" s="279" t="s">
        <v>128</v>
      </c>
      <c r="E40" s="268" t="s">
        <v>1701</v>
      </c>
      <c r="F40" s="263" t="s">
        <v>1716</v>
      </c>
    </row>
    <row r="41" spans="1:6" ht="17.25">
      <c r="A41" s="305"/>
      <c r="B41" s="304"/>
      <c r="C41" s="278" t="s">
        <v>187</v>
      </c>
      <c r="D41" s="279" t="s">
        <v>128</v>
      </c>
      <c r="E41" s="257" t="s">
        <v>1704</v>
      </c>
      <c r="F41" s="251" t="s">
        <v>1717</v>
      </c>
    </row>
    <row r="42" spans="1:6" ht="17.25">
      <c r="A42" s="305"/>
      <c r="B42" s="304"/>
      <c r="C42" s="278" t="s">
        <v>188</v>
      </c>
      <c r="D42" s="306" t="s">
        <v>332</v>
      </c>
      <c r="E42" s="268" t="s">
        <v>1701</v>
      </c>
      <c r="F42" s="263" t="s">
        <v>1716</v>
      </c>
    </row>
    <row r="43" spans="1:6" ht="17.25">
      <c r="A43" s="276" t="s">
        <v>311</v>
      </c>
      <c r="B43" s="304"/>
      <c r="C43" s="278"/>
      <c r="D43" s="279"/>
      <c r="E43" s="269"/>
      <c r="F43" s="245"/>
    </row>
    <row r="44" spans="1:6" ht="17.25">
      <c r="A44" s="305"/>
      <c r="B44" s="277" t="s">
        <v>312</v>
      </c>
      <c r="C44" s="278"/>
      <c r="D44" s="279"/>
      <c r="E44" s="266"/>
      <c r="F44" s="251"/>
    </row>
    <row r="45" spans="1:6" ht="17.25">
      <c r="A45" s="305"/>
      <c r="B45" s="277" t="s">
        <v>189</v>
      </c>
      <c r="C45" s="278"/>
      <c r="D45" s="279" t="s">
        <v>185</v>
      </c>
      <c r="E45" s="270"/>
      <c r="F45" s="251"/>
    </row>
    <row r="46" spans="1:6" ht="17.25">
      <c r="A46" s="305"/>
      <c r="B46" s="304"/>
      <c r="C46" s="278" t="s">
        <v>190</v>
      </c>
      <c r="D46" s="279" t="s">
        <v>128</v>
      </c>
      <c r="E46" s="268" t="s">
        <v>1701</v>
      </c>
      <c r="F46" s="263" t="s">
        <v>1716</v>
      </c>
    </row>
    <row r="47" spans="1:6" ht="17.25">
      <c r="A47" s="305"/>
      <c r="B47" s="304"/>
      <c r="C47" s="278" t="s">
        <v>191</v>
      </c>
      <c r="D47" s="279" t="s">
        <v>128</v>
      </c>
      <c r="E47" s="257" t="s">
        <v>1704</v>
      </c>
      <c r="F47" s="251" t="s">
        <v>1717</v>
      </c>
    </row>
    <row r="48" spans="1:6" ht="17.25">
      <c r="A48" s="305"/>
      <c r="B48" s="304"/>
      <c r="C48" s="278" t="s">
        <v>192</v>
      </c>
      <c r="D48" s="306" t="s">
        <v>332</v>
      </c>
      <c r="E48" s="268" t="s">
        <v>1701</v>
      </c>
      <c r="F48" s="263" t="s">
        <v>1716</v>
      </c>
    </row>
    <row r="49" spans="1:18" ht="17.25">
      <c r="A49" s="276" t="s">
        <v>1698</v>
      </c>
      <c r="B49" s="307"/>
      <c r="C49" s="283"/>
      <c r="D49" s="281"/>
      <c r="E49" s="269"/>
      <c r="F49" s="245"/>
    </row>
    <row r="50" spans="1:18" ht="17.25">
      <c r="A50" s="308"/>
      <c r="B50" s="277" t="s">
        <v>313</v>
      </c>
      <c r="C50" s="278"/>
      <c r="D50" s="279"/>
      <c r="E50" s="266"/>
      <c r="F50" s="251"/>
    </row>
    <row r="51" spans="1:18" ht="17.25">
      <c r="A51" s="305"/>
      <c r="B51" s="277" t="s">
        <v>193</v>
      </c>
      <c r="C51" s="278"/>
      <c r="D51" s="279" t="s">
        <v>185</v>
      </c>
      <c r="E51" s="270"/>
      <c r="F51" s="251"/>
    </row>
    <row r="52" spans="1:18" ht="17.25">
      <c r="A52" s="293"/>
      <c r="B52" s="304"/>
      <c r="C52" s="278" t="s">
        <v>194</v>
      </c>
      <c r="D52" s="279" t="s">
        <v>128</v>
      </c>
      <c r="E52" s="268" t="s">
        <v>1701</v>
      </c>
      <c r="F52" s="263" t="s">
        <v>1716</v>
      </c>
    </row>
    <row r="53" spans="1:18" ht="17.25">
      <c r="A53" s="305"/>
      <c r="B53" s="304"/>
      <c r="C53" s="278" t="s">
        <v>195</v>
      </c>
      <c r="D53" s="279" t="s">
        <v>128</v>
      </c>
      <c r="E53" s="257" t="s">
        <v>1704</v>
      </c>
      <c r="F53" s="251" t="s">
        <v>1717</v>
      </c>
    </row>
    <row r="54" spans="1:18" ht="17.25">
      <c r="A54" s="305"/>
      <c r="B54" s="304"/>
      <c r="C54" s="278" t="s">
        <v>196</v>
      </c>
      <c r="D54" s="306" t="s">
        <v>332</v>
      </c>
      <c r="E54" s="268" t="s">
        <v>1701</v>
      </c>
      <c r="F54" s="263" t="s">
        <v>1716</v>
      </c>
    </row>
    <row r="55" spans="1:18" ht="17.25">
      <c r="A55" s="276" t="s">
        <v>1708</v>
      </c>
      <c r="B55" s="307"/>
      <c r="C55" s="278"/>
      <c r="D55" s="283"/>
      <c r="E55" s="269"/>
      <c r="F55" s="245"/>
    </row>
    <row r="56" spans="1:18" ht="17.25">
      <c r="A56" s="276"/>
      <c r="B56" s="304"/>
      <c r="C56" s="278" t="s">
        <v>321</v>
      </c>
      <c r="D56" s="279"/>
      <c r="E56" s="266"/>
      <c r="F56" s="251"/>
    </row>
    <row r="57" spans="1:18">
      <c r="A57" s="280"/>
      <c r="B57" s="309"/>
      <c r="C57" s="310" t="s">
        <v>1709</v>
      </c>
      <c r="D57" s="311" t="s">
        <v>185</v>
      </c>
      <c r="E57" s="257" t="s">
        <v>1701</v>
      </c>
      <c r="F57" s="251" t="s">
        <v>1701</v>
      </c>
    </row>
    <row r="58" spans="1:18" ht="15.75">
      <c r="A58" s="280"/>
      <c r="B58" s="309"/>
      <c r="C58" s="310" t="s">
        <v>1710</v>
      </c>
      <c r="D58" s="311" t="s">
        <v>128</v>
      </c>
      <c r="E58" s="268" t="s">
        <v>1701</v>
      </c>
      <c r="F58" s="263" t="s">
        <v>1703</v>
      </c>
    </row>
    <row r="59" spans="1:18" ht="15.75">
      <c r="A59" s="301"/>
      <c r="B59" s="312"/>
      <c r="C59" s="313" t="s">
        <v>239</v>
      </c>
      <c r="D59" s="314" t="s">
        <v>128</v>
      </c>
      <c r="E59" s="271" t="s">
        <v>1701</v>
      </c>
      <c r="F59" s="265" t="s">
        <v>1703</v>
      </c>
      <c r="M59" s="426"/>
      <c r="N59" s="427"/>
      <c r="O59" s="427"/>
      <c r="P59" s="427"/>
      <c r="Q59" s="427"/>
      <c r="R59" s="427"/>
    </row>
    <row r="60" spans="1:18" ht="18">
      <c r="A60" s="273" t="s">
        <v>209</v>
      </c>
      <c r="B60" s="315"/>
      <c r="C60" s="315"/>
      <c r="D60" s="242" t="s">
        <v>136</v>
      </c>
      <c r="E60" s="254" t="s">
        <v>337</v>
      </c>
      <c r="F60" s="260" t="s">
        <v>338</v>
      </c>
      <c r="L60" s="461"/>
      <c r="M60" s="456"/>
      <c r="N60" s="462"/>
      <c r="O60" s="457"/>
      <c r="P60" s="457"/>
      <c r="Q60" s="457"/>
      <c r="R60" s="457"/>
    </row>
    <row r="61" spans="1:18" ht="13.9" customHeight="1">
      <c r="A61" s="280"/>
      <c r="B61" s="282" t="s">
        <v>148</v>
      </c>
      <c r="C61" s="283"/>
      <c r="D61" s="279" t="s">
        <v>128</v>
      </c>
      <c r="E61" s="246" t="s">
        <v>2292</v>
      </c>
      <c r="F61" s="247" t="s">
        <v>1701</v>
      </c>
    </row>
    <row r="62" spans="1:18">
      <c r="A62" s="280"/>
      <c r="B62" s="978" t="s">
        <v>334</v>
      </c>
      <c r="C62" s="978"/>
      <c r="D62" s="279" t="s">
        <v>128</v>
      </c>
      <c r="E62" s="246" t="s">
        <v>2292</v>
      </c>
      <c r="F62" s="247" t="s">
        <v>1701</v>
      </c>
    </row>
    <row r="63" spans="1:18">
      <c r="A63" s="280"/>
      <c r="B63" s="283" t="s">
        <v>149</v>
      </c>
      <c r="C63" s="283"/>
      <c r="D63" s="279" t="s">
        <v>128</v>
      </c>
      <c r="E63" s="246" t="s">
        <v>2292</v>
      </c>
      <c r="F63" s="247" t="s">
        <v>1701</v>
      </c>
    </row>
    <row r="64" spans="1:18">
      <c r="A64" s="280"/>
      <c r="B64" s="283" t="s">
        <v>143</v>
      </c>
      <c r="C64" s="283"/>
      <c r="D64" s="316" t="s">
        <v>11</v>
      </c>
      <c r="E64" s="246" t="s">
        <v>2292</v>
      </c>
      <c r="F64" s="247" t="s">
        <v>1701</v>
      </c>
    </row>
    <row r="65" spans="1:6">
      <c r="A65" s="291"/>
      <c r="B65" s="278" t="s">
        <v>144</v>
      </c>
      <c r="C65" s="278"/>
      <c r="D65" s="316" t="s">
        <v>11</v>
      </c>
      <c r="E65" s="246" t="s">
        <v>2292</v>
      </c>
      <c r="F65" s="247" t="s">
        <v>1701</v>
      </c>
    </row>
    <row r="66" spans="1:6">
      <c r="A66" s="284"/>
      <c r="B66" s="283" t="s">
        <v>145</v>
      </c>
      <c r="C66" s="283"/>
      <c r="D66" s="279" t="s">
        <v>11</v>
      </c>
      <c r="E66" s="246" t="s">
        <v>2292</v>
      </c>
      <c r="F66" s="247" t="s">
        <v>1701</v>
      </c>
    </row>
    <row r="67" spans="1:6">
      <c r="A67" s="280"/>
      <c r="B67" s="283" t="s">
        <v>147</v>
      </c>
      <c r="C67" s="283"/>
      <c r="D67" s="279" t="s">
        <v>12</v>
      </c>
      <c r="E67" s="246" t="s">
        <v>2292</v>
      </c>
      <c r="F67" s="247" t="s">
        <v>1701</v>
      </c>
    </row>
    <row r="68" spans="1:6">
      <c r="A68" s="280"/>
      <c r="B68" s="283" t="s">
        <v>225</v>
      </c>
      <c r="C68" s="283"/>
      <c r="D68" s="279" t="s">
        <v>226</v>
      </c>
      <c r="E68" s="246" t="s">
        <v>2292</v>
      </c>
      <c r="F68" s="247" t="s">
        <v>1701</v>
      </c>
    </row>
    <row r="69" spans="1:6">
      <c r="A69" s="301"/>
      <c r="B69" s="317" t="s">
        <v>1786</v>
      </c>
      <c r="C69" s="317"/>
      <c r="D69" s="515" t="s">
        <v>11</v>
      </c>
      <c r="E69" s="258" t="s">
        <v>2292</v>
      </c>
      <c r="F69" s="259" t="s">
        <v>1701</v>
      </c>
    </row>
    <row r="71" spans="1:6">
      <c r="A71" s="318" t="s">
        <v>1711</v>
      </c>
      <c r="B71" s="272"/>
      <c r="C71" s="272"/>
      <c r="D71" s="272"/>
      <c r="E71" s="272"/>
      <c r="F71" s="272"/>
    </row>
    <row r="73" spans="1:6" ht="15">
      <c r="A73" s="272"/>
      <c r="B73" s="319" t="s">
        <v>2095</v>
      </c>
      <c r="C73" s="272"/>
      <c r="D73" s="272"/>
      <c r="E73" s="272"/>
      <c r="F73" s="272"/>
    </row>
    <row r="74" spans="1:6">
      <c r="A74" s="272"/>
      <c r="B74" s="364" t="s">
        <v>1728</v>
      </c>
      <c r="C74" s="28"/>
      <c r="D74" s="272"/>
      <c r="E74" s="272"/>
      <c r="F74" s="272"/>
    </row>
    <row r="75" spans="1:6">
      <c r="B75" s="140" t="s">
        <v>2098</v>
      </c>
    </row>
    <row r="76" spans="1:6">
      <c r="A76" s="272"/>
      <c r="B76" s="140" t="s">
        <v>1768</v>
      </c>
      <c r="C76" s="28"/>
      <c r="D76" s="272"/>
      <c r="E76" s="272"/>
      <c r="F76" s="272"/>
    </row>
    <row r="77" spans="1:6">
      <c r="B77" s="140" t="s">
        <v>2096</v>
      </c>
    </row>
    <row r="78" spans="1:6">
      <c r="B78" s="365" t="s">
        <v>1766</v>
      </c>
      <c r="C78" s="28"/>
      <c r="D78" s="140"/>
      <c r="E78" s="140"/>
      <c r="F78" s="140"/>
    </row>
    <row r="79" spans="1:6">
      <c r="B79" s="320" t="s">
        <v>2293</v>
      </c>
      <c r="C79" s="272"/>
    </row>
    <row r="80" spans="1:6">
      <c r="B80" s="140" t="s">
        <v>2294</v>
      </c>
      <c r="C80" s="28"/>
    </row>
    <row r="81" spans="2:3">
      <c r="B81" s="140" t="s">
        <v>2295</v>
      </c>
    </row>
    <row r="82" spans="2:3">
      <c r="B82" s="140" t="s">
        <v>2296</v>
      </c>
    </row>
    <row r="83" spans="2:3">
      <c r="B83" s="427" t="s">
        <v>2291</v>
      </c>
    </row>
    <row r="84" spans="2:3">
      <c r="B84" s="319" t="s">
        <v>2097</v>
      </c>
      <c r="C84" s="272"/>
    </row>
  </sheetData>
  <sheetProtection algorithmName="SHA-512" hashValue="br+2M8pPpmyXlwiKsCsR1OXGlORYyvbT71VHegjcS5rbAOMH05uxJFPdJ4s+DtKHwpvb8W768fxoOGehiveyYg==" saltValue="Wvy/EhbtqwDyYcJoawp37w==" spinCount="100000" sheet="1" objects="1" scenarios="1" selectLockedCells="1"/>
  <sortState xmlns:xlrd2="http://schemas.microsoft.com/office/spreadsheetml/2017/richdata2" ref="B72:C82">
    <sortCondition ref="B72"/>
  </sortState>
  <mergeCells count="2">
    <mergeCell ref="E1:F1"/>
    <mergeCell ref="B62:C62"/>
  </mergeCells>
  <pageMargins left="0.7" right="0.7" top="0.75" bottom="0.75" header="0.3" footer="0.3"/>
  <pageSetup scale="37"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Reset">
                <anchor moveWithCells="1" sizeWithCells="1">
                  <from>
                    <xdr:col>4</xdr:col>
                    <xdr:colOff>485775</xdr:colOff>
                    <xdr:row>0</xdr:row>
                    <xdr:rowOff>0</xdr:rowOff>
                  </from>
                  <to>
                    <xdr:col>6</xdr:col>
                    <xdr:colOff>0</xdr:colOff>
                    <xdr:row>0</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2"/>
  <dimension ref="A1:D73"/>
  <sheetViews>
    <sheetView workbookViewId="0">
      <pane ySplit="2" topLeftCell="A60" activePane="bottomLeft" state="frozen"/>
      <selection pane="bottomLeft" activeCell="D74" sqref="D74"/>
    </sheetView>
  </sheetViews>
  <sheetFormatPr defaultRowHeight="12.75"/>
  <cols>
    <col min="1" max="1" width="25" customWidth="1"/>
    <col min="2" max="2" width="40.7109375" customWidth="1"/>
    <col min="3" max="3" width="83.42578125" style="328" customWidth="1"/>
    <col min="4" max="4" width="13.140625" style="414" customWidth="1"/>
  </cols>
  <sheetData>
    <row r="1" spans="1:4">
      <c r="A1" s="410" t="s">
        <v>2469</v>
      </c>
      <c r="B1" s="505"/>
      <c r="C1" s="506"/>
      <c r="D1" s="413"/>
    </row>
    <row r="2" spans="1:4" ht="25.5">
      <c r="A2" s="410" t="s">
        <v>2085</v>
      </c>
      <c r="B2" s="410" t="s">
        <v>1944</v>
      </c>
      <c r="C2" s="411" t="s">
        <v>1934</v>
      </c>
      <c r="D2" s="413" t="s">
        <v>1961</v>
      </c>
    </row>
    <row r="3" spans="1:4">
      <c r="A3" s="507">
        <v>1</v>
      </c>
      <c r="B3" s="415" t="s">
        <v>1720</v>
      </c>
      <c r="C3" s="416" t="s">
        <v>1966</v>
      </c>
      <c r="D3" s="417">
        <v>41153</v>
      </c>
    </row>
    <row r="4" spans="1:4">
      <c r="A4" s="421">
        <v>8</v>
      </c>
      <c r="B4" s="321" t="s">
        <v>1967</v>
      </c>
      <c r="C4" s="418" t="s">
        <v>1968</v>
      </c>
      <c r="D4" s="419">
        <v>41153</v>
      </c>
    </row>
    <row r="5" spans="1:4">
      <c r="A5" s="421">
        <v>8</v>
      </c>
      <c r="B5" s="321" t="s">
        <v>1957</v>
      </c>
      <c r="C5" s="418" t="s">
        <v>1935</v>
      </c>
      <c r="D5" s="419">
        <v>41061</v>
      </c>
    </row>
    <row r="6" spans="1:4">
      <c r="A6" s="421">
        <v>10</v>
      </c>
      <c r="B6" s="321" t="s">
        <v>1942</v>
      </c>
      <c r="C6" s="418" t="s">
        <v>1936</v>
      </c>
      <c r="D6" s="419">
        <v>41153</v>
      </c>
    </row>
    <row r="7" spans="1:4">
      <c r="A7" s="421">
        <v>12</v>
      </c>
      <c r="B7" s="321" t="s">
        <v>1706</v>
      </c>
      <c r="C7" s="418" t="s">
        <v>1937</v>
      </c>
      <c r="D7" s="419">
        <v>41153</v>
      </c>
    </row>
    <row r="8" spans="1:4">
      <c r="A8" s="421">
        <v>15</v>
      </c>
      <c r="B8" s="321" t="s">
        <v>1758</v>
      </c>
      <c r="C8" s="418" t="s">
        <v>1940</v>
      </c>
      <c r="D8" s="419">
        <v>41426</v>
      </c>
    </row>
    <row r="9" spans="1:4">
      <c r="A9" s="421">
        <v>18</v>
      </c>
      <c r="B9" s="321" t="s">
        <v>1</v>
      </c>
      <c r="C9" s="418" t="s">
        <v>1940</v>
      </c>
      <c r="D9" s="419">
        <v>41426</v>
      </c>
    </row>
    <row r="10" spans="1:4">
      <c r="A10" s="421">
        <v>20</v>
      </c>
      <c r="B10" s="508" t="s">
        <v>119</v>
      </c>
      <c r="C10" s="418" t="s">
        <v>1940</v>
      </c>
      <c r="D10" s="419">
        <v>41426</v>
      </c>
    </row>
    <row r="11" spans="1:4">
      <c r="A11" s="421">
        <v>21</v>
      </c>
      <c r="B11" s="321" t="s">
        <v>1785</v>
      </c>
      <c r="C11" s="418" t="s">
        <v>1938</v>
      </c>
      <c r="D11" s="419">
        <v>41426</v>
      </c>
    </row>
    <row r="12" spans="1:4">
      <c r="A12" s="421">
        <v>21</v>
      </c>
      <c r="B12" s="508" t="s">
        <v>1785</v>
      </c>
      <c r="C12" s="418" t="s">
        <v>1940</v>
      </c>
      <c r="D12" s="419">
        <v>41426</v>
      </c>
    </row>
    <row r="13" spans="1:4">
      <c r="A13" s="421">
        <v>22</v>
      </c>
      <c r="B13" s="508" t="s">
        <v>120</v>
      </c>
      <c r="C13" s="418" t="s">
        <v>1940</v>
      </c>
      <c r="D13" s="419">
        <v>41426</v>
      </c>
    </row>
    <row r="14" spans="1:4" ht="25.5">
      <c r="A14" s="421">
        <v>32</v>
      </c>
      <c r="B14" s="321" t="s">
        <v>133</v>
      </c>
      <c r="C14" s="418" t="s">
        <v>1939</v>
      </c>
      <c r="D14" s="419">
        <v>41345</v>
      </c>
    </row>
    <row r="15" spans="1:4">
      <c r="A15" s="421">
        <v>33</v>
      </c>
      <c r="B15" s="321" t="s">
        <v>326</v>
      </c>
      <c r="C15" s="418" t="s">
        <v>1937</v>
      </c>
      <c r="D15" s="419">
        <v>41518</v>
      </c>
    </row>
    <row r="16" spans="1:4">
      <c r="A16" s="421">
        <v>81</v>
      </c>
      <c r="B16" s="321" t="s">
        <v>1786</v>
      </c>
      <c r="C16" s="418" t="s">
        <v>1953</v>
      </c>
      <c r="D16" s="419">
        <v>41365</v>
      </c>
    </row>
    <row r="17" spans="1:4">
      <c r="A17" s="421" t="s">
        <v>1964</v>
      </c>
      <c r="B17" s="321" t="s">
        <v>1965</v>
      </c>
      <c r="C17" s="418" t="s">
        <v>1966</v>
      </c>
      <c r="D17" s="419">
        <v>41153</v>
      </c>
    </row>
    <row r="18" spans="1:4">
      <c r="A18" s="421">
        <v>88</v>
      </c>
      <c r="B18" s="321" t="s">
        <v>1943</v>
      </c>
      <c r="C18" s="418" t="s">
        <v>1978</v>
      </c>
      <c r="D18" s="419">
        <v>41153</v>
      </c>
    </row>
    <row r="19" spans="1:4" ht="25.5">
      <c r="A19" s="421">
        <v>111</v>
      </c>
      <c r="B19" s="321" t="s">
        <v>1958</v>
      </c>
      <c r="C19" s="418" t="s">
        <v>1941</v>
      </c>
      <c r="D19" s="419">
        <v>41153</v>
      </c>
    </row>
    <row r="20" spans="1:4">
      <c r="A20" s="421">
        <v>111</v>
      </c>
      <c r="B20" s="321" t="s">
        <v>1962</v>
      </c>
      <c r="C20" s="418" t="s">
        <v>1963</v>
      </c>
      <c r="D20" s="419">
        <v>41153</v>
      </c>
    </row>
    <row r="21" spans="1:4" ht="25.5">
      <c r="A21" s="421">
        <v>143</v>
      </c>
      <c r="B21" s="509" t="s">
        <v>283</v>
      </c>
      <c r="C21" s="418" t="s">
        <v>1945</v>
      </c>
      <c r="D21" s="419">
        <v>41395</v>
      </c>
    </row>
    <row r="22" spans="1:4">
      <c r="A22" s="421">
        <v>148</v>
      </c>
      <c r="B22" s="509" t="s">
        <v>285</v>
      </c>
      <c r="C22" s="418" t="s">
        <v>1946</v>
      </c>
      <c r="D22" s="419">
        <v>41395</v>
      </c>
    </row>
    <row r="23" spans="1:4" ht="25.5">
      <c r="A23" s="421" t="s">
        <v>1951</v>
      </c>
      <c r="B23" s="508" t="s">
        <v>1947</v>
      </c>
      <c r="C23" s="418" t="s">
        <v>1949</v>
      </c>
      <c r="D23" s="419">
        <v>41395</v>
      </c>
    </row>
    <row r="24" spans="1:4">
      <c r="A24" s="421" t="s">
        <v>1954</v>
      </c>
      <c r="B24" s="508" t="s">
        <v>1955</v>
      </c>
      <c r="C24" s="418" t="s">
        <v>1956</v>
      </c>
      <c r="D24" s="419">
        <v>41365</v>
      </c>
    </row>
    <row r="25" spans="1:4">
      <c r="A25" s="421" t="s">
        <v>1954</v>
      </c>
      <c r="B25" s="508" t="s">
        <v>1955</v>
      </c>
      <c r="C25" s="418" t="s">
        <v>1989</v>
      </c>
      <c r="D25" s="419">
        <v>41530</v>
      </c>
    </row>
    <row r="26" spans="1:4" ht="25.5">
      <c r="A26" s="421" t="s">
        <v>1952</v>
      </c>
      <c r="B26" s="508" t="s">
        <v>1948</v>
      </c>
      <c r="C26" s="418" t="s">
        <v>1950</v>
      </c>
      <c r="D26" s="419">
        <v>41395</v>
      </c>
    </row>
    <row r="27" spans="1:4" ht="25.5">
      <c r="A27" s="421" t="s">
        <v>1980</v>
      </c>
      <c r="B27" s="508" t="s">
        <v>134</v>
      </c>
      <c r="C27" s="418" t="s">
        <v>1979</v>
      </c>
      <c r="D27" s="419">
        <v>41464</v>
      </c>
    </row>
    <row r="28" spans="1:4" ht="38.25">
      <c r="A28" s="421">
        <v>38</v>
      </c>
      <c r="B28" s="508" t="s">
        <v>1986</v>
      </c>
      <c r="C28" s="418" t="s">
        <v>1987</v>
      </c>
      <c r="D28" s="419">
        <v>41530</v>
      </c>
    </row>
    <row r="29" spans="1:4" s="140" customFormat="1" ht="38.25">
      <c r="A29" s="421">
        <v>37</v>
      </c>
      <c r="B29" s="321" t="s">
        <v>335</v>
      </c>
      <c r="C29" s="418" t="s">
        <v>1988</v>
      </c>
      <c r="D29" s="419">
        <v>41530</v>
      </c>
    </row>
    <row r="30" spans="1:4" s="140" customFormat="1">
      <c r="A30" s="421">
        <v>52</v>
      </c>
      <c r="B30" s="510" t="s">
        <v>186</v>
      </c>
      <c r="C30" s="418" t="s">
        <v>1995</v>
      </c>
      <c r="D30" s="419">
        <v>41530</v>
      </c>
    </row>
    <row r="31" spans="1:4" s="140" customFormat="1">
      <c r="A31" s="421">
        <v>53</v>
      </c>
      <c r="B31" s="510" t="s">
        <v>187</v>
      </c>
      <c r="C31" s="418" t="s">
        <v>1994</v>
      </c>
      <c r="D31" s="419">
        <v>41530</v>
      </c>
    </row>
    <row r="32" spans="1:4" s="140" customFormat="1">
      <c r="A32" s="421">
        <v>54</v>
      </c>
      <c r="B32" s="510" t="s">
        <v>188</v>
      </c>
      <c r="C32" s="418" t="s">
        <v>1995</v>
      </c>
      <c r="D32" s="419">
        <v>41530</v>
      </c>
    </row>
    <row r="33" spans="1:4" s="140" customFormat="1">
      <c r="A33" s="421">
        <v>58</v>
      </c>
      <c r="B33" s="510" t="s">
        <v>190</v>
      </c>
      <c r="C33" s="418" t="s">
        <v>1995</v>
      </c>
      <c r="D33" s="419">
        <v>41530</v>
      </c>
    </row>
    <row r="34" spans="1:4" s="140" customFormat="1">
      <c r="A34" s="421">
        <v>59</v>
      </c>
      <c r="B34" s="510" t="s">
        <v>191</v>
      </c>
      <c r="C34" s="418" t="s">
        <v>1994</v>
      </c>
      <c r="D34" s="419">
        <v>41530</v>
      </c>
    </row>
    <row r="35" spans="1:4" s="140" customFormat="1">
      <c r="A35" s="421">
        <v>60</v>
      </c>
      <c r="B35" s="510" t="s">
        <v>192</v>
      </c>
      <c r="C35" s="418" t="s">
        <v>1995</v>
      </c>
      <c r="D35" s="419">
        <v>41530</v>
      </c>
    </row>
    <row r="36" spans="1:4" s="140" customFormat="1">
      <c r="A36" s="421">
        <v>64</v>
      </c>
      <c r="B36" s="510" t="s">
        <v>194</v>
      </c>
      <c r="C36" s="418" t="s">
        <v>1995</v>
      </c>
      <c r="D36" s="419">
        <v>41530</v>
      </c>
    </row>
    <row r="37" spans="1:4" s="140" customFormat="1">
      <c r="A37" s="421">
        <v>65</v>
      </c>
      <c r="B37" s="510" t="s">
        <v>195</v>
      </c>
      <c r="C37" s="418" t="s">
        <v>1994</v>
      </c>
      <c r="D37" s="419">
        <v>41530</v>
      </c>
    </row>
    <row r="38" spans="1:4" s="140" customFormat="1">
      <c r="A38" s="421">
        <v>66</v>
      </c>
      <c r="B38" s="510" t="s">
        <v>196</v>
      </c>
      <c r="C38" s="418" t="s">
        <v>1995</v>
      </c>
      <c r="D38" s="419">
        <v>41530</v>
      </c>
    </row>
    <row r="39" spans="1:4">
      <c r="A39" s="421">
        <v>91</v>
      </c>
      <c r="B39" s="321" t="s">
        <v>284</v>
      </c>
      <c r="C39" s="418" t="s">
        <v>1993</v>
      </c>
      <c r="D39" s="419">
        <v>41530</v>
      </c>
    </row>
    <row r="40" spans="1:4">
      <c r="A40" s="421">
        <v>96</v>
      </c>
      <c r="B40" s="321" t="s">
        <v>1990</v>
      </c>
      <c r="C40" s="418" t="s">
        <v>1996</v>
      </c>
      <c r="D40" s="419">
        <v>41530</v>
      </c>
    </row>
    <row r="41" spans="1:4">
      <c r="A41" s="421">
        <v>144</v>
      </c>
      <c r="B41" s="321" t="s">
        <v>1991</v>
      </c>
      <c r="C41" s="418" t="s">
        <v>1996</v>
      </c>
      <c r="D41" s="419">
        <v>41530</v>
      </c>
    </row>
    <row r="42" spans="1:4">
      <c r="A42" s="421">
        <v>11</v>
      </c>
      <c r="B42" s="321" t="s">
        <v>1992</v>
      </c>
      <c r="C42" s="418" t="s">
        <v>1993</v>
      </c>
      <c r="D42" s="419">
        <v>41530</v>
      </c>
    </row>
    <row r="43" spans="1:4">
      <c r="A43" s="421">
        <v>24</v>
      </c>
      <c r="B43" s="510" t="s">
        <v>122</v>
      </c>
      <c r="C43" s="418" t="s">
        <v>1997</v>
      </c>
      <c r="D43" s="419">
        <v>41530</v>
      </c>
    </row>
    <row r="44" spans="1:4" ht="14.25">
      <c r="A44" s="421">
        <v>25</v>
      </c>
      <c r="B44" s="510" t="s">
        <v>2080</v>
      </c>
      <c r="C44" s="418" t="s">
        <v>1997</v>
      </c>
      <c r="D44" s="419">
        <v>41530</v>
      </c>
    </row>
    <row r="45" spans="1:4">
      <c r="A45" s="421">
        <v>28</v>
      </c>
      <c r="B45" s="510" t="s">
        <v>117</v>
      </c>
      <c r="C45" s="418" t="s">
        <v>1997</v>
      </c>
      <c r="D45" s="419">
        <v>41530</v>
      </c>
    </row>
    <row r="46" spans="1:4">
      <c r="A46" s="421">
        <v>29</v>
      </c>
      <c r="B46" s="510" t="s">
        <v>118</v>
      </c>
      <c r="C46" s="418" t="s">
        <v>1997</v>
      </c>
      <c r="D46" s="419">
        <v>41530</v>
      </c>
    </row>
    <row r="47" spans="1:4" ht="25.5">
      <c r="A47" s="421" t="s">
        <v>2062</v>
      </c>
      <c r="B47" s="510" t="s">
        <v>2063</v>
      </c>
      <c r="C47" s="418" t="s">
        <v>2064</v>
      </c>
      <c r="D47" s="419">
        <v>41530</v>
      </c>
    </row>
    <row r="48" spans="1:4" ht="25.5">
      <c r="A48" s="421">
        <v>8</v>
      </c>
      <c r="B48" s="510" t="s">
        <v>2073</v>
      </c>
      <c r="C48" s="418" t="s">
        <v>2072</v>
      </c>
      <c r="D48" s="419">
        <v>41671</v>
      </c>
    </row>
    <row r="49" spans="1:4">
      <c r="A49" s="421">
        <v>39</v>
      </c>
      <c r="B49" s="510" t="s">
        <v>205</v>
      </c>
      <c r="C49" s="418" t="s">
        <v>2074</v>
      </c>
      <c r="D49" s="419">
        <v>41671</v>
      </c>
    </row>
    <row r="50" spans="1:4">
      <c r="A50" s="421" t="s">
        <v>2081</v>
      </c>
      <c r="B50" s="510" t="s">
        <v>2083</v>
      </c>
      <c r="C50" s="418" t="s">
        <v>2077</v>
      </c>
      <c r="D50" s="419">
        <v>41671</v>
      </c>
    </row>
    <row r="51" spans="1:4">
      <c r="A51" s="421" t="s">
        <v>2082</v>
      </c>
      <c r="B51" s="510" t="s">
        <v>2084</v>
      </c>
      <c r="C51" s="418" t="s">
        <v>2078</v>
      </c>
      <c r="D51" s="419">
        <v>41671</v>
      </c>
    </row>
    <row r="52" spans="1:4">
      <c r="A52" s="421" t="s">
        <v>2062</v>
      </c>
      <c r="B52" s="510" t="s">
        <v>2063</v>
      </c>
      <c r="C52" s="418" t="s">
        <v>2079</v>
      </c>
      <c r="D52" s="419">
        <v>41671</v>
      </c>
    </row>
    <row r="53" spans="1:4">
      <c r="A53" s="421" t="s">
        <v>2091</v>
      </c>
      <c r="B53" s="179"/>
      <c r="C53" s="412" t="s">
        <v>2092</v>
      </c>
      <c r="D53" s="419">
        <v>41671</v>
      </c>
    </row>
    <row r="54" spans="1:4">
      <c r="A54" s="421" t="s">
        <v>2093</v>
      </c>
      <c r="B54" s="179"/>
      <c r="C54" s="412" t="s">
        <v>2086</v>
      </c>
      <c r="D54" s="419">
        <v>41671</v>
      </c>
    </row>
    <row r="55" spans="1:4">
      <c r="A55" s="421" t="s">
        <v>2087</v>
      </c>
      <c r="B55" s="179"/>
      <c r="C55" s="412" t="s">
        <v>2089</v>
      </c>
      <c r="D55" s="419">
        <v>41671</v>
      </c>
    </row>
    <row r="56" spans="1:4">
      <c r="A56" s="421" t="s">
        <v>2088</v>
      </c>
      <c r="B56" s="179"/>
      <c r="C56" s="412" t="s">
        <v>2090</v>
      </c>
      <c r="D56" s="419">
        <v>41671</v>
      </c>
    </row>
    <row r="57" spans="1:4">
      <c r="A57" s="421" t="s">
        <v>2099</v>
      </c>
      <c r="B57" s="179"/>
      <c r="C57" s="412" t="s">
        <v>2100</v>
      </c>
      <c r="D57" s="516">
        <v>41684</v>
      </c>
    </row>
    <row r="58" spans="1:4">
      <c r="A58" s="421" t="s">
        <v>2101</v>
      </c>
      <c r="B58" s="179"/>
      <c r="C58" s="412" t="s">
        <v>2102</v>
      </c>
      <c r="D58" s="516">
        <v>41684</v>
      </c>
    </row>
    <row r="59" spans="1:4">
      <c r="A59" s="179">
        <v>148</v>
      </c>
      <c r="B59" s="241" t="s">
        <v>285</v>
      </c>
      <c r="C59" s="412" t="s">
        <v>2128</v>
      </c>
      <c r="D59" s="516">
        <v>41773</v>
      </c>
    </row>
    <row r="60" spans="1:4">
      <c r="A60" s="241" t="s">
        <v>2129</v>
      </c>
      <c r="B60" s="241"/>
      <c r="C60" s="412" t="s">
        <v>2130</v>
      </c>
      <c r="D60" s="516">
        <v>41773</v>
      </c>
    </row>
    <row r="61" spans="1:4">
      <c r="A61" s="421" t="s">
        <v>2101</v>
      </c>
      <c r="B61" s="179"/>
      <c r="C61" s="412" t="s">
        <v>2146</v>
      </c>
      <c r="D61" s="516">
        <v>41773</v>
      </c>
    </row>
    <row r="62" spans="1:4">
      <c r="A62" s="321" t="s">
        <v>2132</v>
      </c>
      <c r="C62" s="533" t="s">
        <v>2131</v>
      </c>
      <c r="D62" s="516">
        <v>41773</v>
      </c>
    </row>
    <row r="63" spans="1:4">
      <c r="A63" s="321" t="s">
        <v>1951</v>
      </c>
      <c r="C63" s="533" t="s">
        <v>2144</v>
      </c>
      <c r="D63" s="516">
        <v>41773</v>
      </c>
    </row>
    <row r="64" spans="1:4">
      <c r="A64" s="321" t="s">
        <v>1952</v>
      </c>
      <c r="C64" s="533" t="s">
        <v>2144</v>
      </c>
      <c r="D64" s="516">
        <v>41773</v>
      </c>
    </row>
    <row r="65" spans="1:4" ht="25.5">
      <c r="A65">
        <v>82</v>
      </c>
      <c r="B65" s="140" t="s">
        <v>1690</v>
      </c>
      <c r="C65" s="533" t="s">
        <v>2147</v>
      </c>
      <c r="D65" s="414">
        <v>41821</v>
      </c>
    </row>
    <row r="66" spans="1:4">
      <c r="A66" t="s">
        <v>2351</v>
      </c>
      <c r="B66" t="s">
        <v>287</v>
      </c>
      <c r="C66" s="328" t="s">
        <v>2352</v>
      </c>
      <c r="D66" s="414">
        <v>42795</v>
      </c>
    </row>
    <row r="67" spans="1:4">
      <c r="A67" t="s">
        <v>2372</v>
      </c>
      <c r="B67" t="s">
        <v>2373</v>
      </c>
      <c r="C67" s="328" t="s">
        <v>2374</v>
      </c>
      <c r="D67" s="414">
        <v>42948</v>
      </c>
    </row>
    <row r="68" spans="1:4">
      <c r="A68" t="s">
        <v>2375</v>
      </c>
      <c r="C68" s="328" t="s">
        <v>2376</v>
      </c>
      <c r="D68" s="414">
        <v>42979</v>
      </c>
    </row>
    <row r="69" spans="1:4">
      <c r="A69" t="s">
        <v>2377</v>
      </c>
      <c r="C69" s="328" t="s">
        <v>2378</v>
      </c>
      <c r="D69" s="414">
        <v>43025</v>
      </c>
    </row>
    <row r="70" spans="1:4">
      <c r="A70" s="140" t="s">
        <v>2470</v>
      </c>
      <c r="C70" s="533" t="s">
        <v>2471</v>
      </c>
      <c r="D70" s="414">
        <v>43025</v>
      </c>
    </row>
    <row r="71" spans="1:4" ht="25.5">
      <c r="A71" s="140" t="s">
        <v>2470</v>
      </c>
      <c r="B71" s="140" t="s">
        <v>2478</v>
      </c>
      <c r="C71" s="533" t="s">
        <v>2479</v>
      </c>
      <c r="D71" s="918">
        <v>43053</v>
      </c>
    </row>
    <row r="72" spans="1:4">
      <c r="A72" s="140" t="s">
        <v>2470</v>
      </c>
      <c r="B72" s="140" t="s">
        <v>2481</v>
      </c>
      <c r="C72" s="140" t="s">
        <v>2480</v>
      </c>
      <c r="D72" s="414">
        <v>43060</v>
      </c>
    </row>
    <row r="73" spans="1:4" ht="25.5">
      <c r="A73" s="140" t="s">
        <v>2510</v>
      </c>
      <c r="C73" s="533" t="s">
        <v>2511</v>
      </c>
      <c r="D73" s="414">
        <v>43104</v>
      </c>
    </row>
  </sheetData>
  <sheetProtection algorithmName="SHA-512" hashValue="5XbQmGUDAgD4jsmbz1RxEDiksqKZLu3MrQa5oB8fpLkhv/7DQ+7xOq7l/tPj/5IvN4RzHAMLd2ZL2O7fUidLUQ==" saltValue="QeZRzo1vmbbYxu4IKTax4g==" spinCount="100000" sheet="1" objects="1" scenarios="1"/>
  <sortState xmlns:xlrd2="http://schemas.microsoft.com/office/spreadsheetml/2017/richdata2" ref="A4:C26">
    <sortCondition ref="A4:A26"/>
  </sortState>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
  <dimension ref="A1:F7"/>
  <sheetViews>
    <sheetView workbookViewId="0">
      <selection activeCell="B3" sqref="B3:B4"/>
    </sheetView>
  </sheetViews>
  <sheetFormatPr defaultRowHeight="12.75"/>
  <cols>
    <col min="1" max="1" width="20.140625" style="1" bestFit="1" customWidth="1"/>
    <col min="2" max="2" width="16.85546875" style="1" bestFit="1" customWidth="1"/>
    <col min="3" max="3" width="20.42578125" style="1" bestFit="1" customWidth="1"/>
    <col min="4" max="4" width="13.140625" style="1" bestFit="1" customWidth="1"/>
    <col min="5" max="5" width="13.42578125" bestFit="1" customWidth="1"/>
  </cols>
  <sheetData>
    <row r="1" spans="1:6">
      <c r="A1" s="11" t="s">
        <v>293</v>
      </c>
      <c r="B1" s="11" t="s">
        <v>291</v>
      </c>
      <c r="C1" s="11" t="s">
        <v>292</v>
      </c>
      <c r="D1" s="11" t="s">
        <v>290</v>
      </c>
      <c r="E1" s="11" t="s">
        <v>302</v>
      </c>
      <c r="F1" s="227"/>
    </row>
    <row r="2" spans="1:6">
      <c r="A2" s="11"/>
      <c r="B2" s="11"/>
      <c r="C2" s="11"/>
      <c r="D2" s="11"/>
      <c r="E2" s="11"/>
    </row>
    <row r="3" spans="1:6">
      <c r="A3" s="9" t="s">
        <v>294</v>
      </c>
      <c r="B3" s="9" t="s">
        <v>146</v>
      </c>
      <c r="C3" s="9" t="s">
        <v>316</v>
      </c>
      <c r="D3" s="9" t="s">
        <v>262</v>
      </c>
      <c r="E3" s="9" t="s">
        <v>146</v>
      </c>
    </row>
    <row r="4" spans="1:6">
      <c r="A4" s="9" t="s">
        <v>1771</v>
      </c>
      <c r="B4" s="9" t="s">
        <v>2306</v>
      </c>
      <c r="C4" s="9" t="s">
        <v>317</v>
      </c>
      <c r="D4" s="9" t="s">
        <v>5</v>
      </c>
      <c r="E4" s="9" t="s">
        <v>2306</v>
      </c>
    </row>
    <row r="5" spans="1:6">
      <c r="A5" s="9" t="s">
        <v>1772</v>
      </c>
      <c r="B5" s="9"/>
      <c r="C5" s="9" t="s">
        <v>182</v>
      </c>
      <c r="D5" s="9" t="s">
        <v>6</v>
      </c>
      <c r="E5" s="10"/>
    </row>
    <row r="6" spans="1:6">
      <c r="A6" s="9"/>
      <c r="B6" s="9"/>
      <c r="C6" s="405" t="s">
        <v>1787</v>
      </c>
      <c r="D6" s="9" t="s">
        <v>7</v>
      </c>
      <c r="E6" s="10"/>
    </row>
    <row r="7" spans="1:6">
      <c r="A7" s="9"/>
      <c r="B7" s="9"/>
      <c r="C7" s="405" t="s">
        <v>1788</v>
      </c>
      <c r="D7" s="9"/>
      <c r="E7" s="10"/>
    </row>
  </sheetData>
  <phoneticPr fontId="0" type="noConversion"/>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207</vt:i4>
      </vt:variant>
    </vt:vector>
  </HeadingPairs>
  <TitlesOfParts>
    <vt:vector size="223" baseType="lpstr">
      <vt:lpstr>README</vt:lpstr>
      <vt:lpstr>MODEL</vt:lpstr>
      <vt:lpstr>MEASURED_SOIL_GAS_CONC.</vt:lpstr>
      <vt:lpstr>MULTI_CHEM_INPUT</vt:lpstr>
      <vt:lpstr>MULTI_CHEM_OUTPUT</vt:lpstr>
      <vt:lpstr>Converter</vt:lpstr>
      <vt:lpstr>BLDG_DATA</vt:lpstr>
      <vt:lpstr>CHEM_DATA</vt:lpstr>
      <vt:lpstr>EXPOSURE_DATA</vt:lpstr>
      <vt:lpstr>SOIL_DATA</vt:lpstr>
      <vt:lpstr>SOIL_CV_DATA</vt:lpstr>
      <vt:lpstr>ParametersSummary</vt:lpstr>
      <vt:lpstr>ToxSummary</vt:lpstr>
      <vt:lpstr>Reference Sources</vt:lpstr>
      <vt:lpstr>Version Notes</vt:lpstr>
      <vt:lpstr>PICK_LISTS</vt:lpstr>
      <vt:lpstr>A_Param</vt:lpstr>
      <vt:lpstr>A_Param_default</vt:lpstr>
      <vt:lpstr>Abf</vt:lpstr>
      <vt:lpstr>Abf_default</vt:lpstr>
      <vt:lpstr>ach</vt:lpstr>
      <vt:lpstr>ach_default</vt:lpstr>
      <vt:lpstr>alpha</vt:lpstr>
      <vt:lpstr>alpha_default</vt:lpstr>
      <vt:lpstr>alpha_default_max</vt:lpstr>
      <vt:lpstr>alpha_default_min</vt:lpstr>
      <vt:lpstr>alpha_max</vt:lpstr>
      <vt:lpstr>alpha_max_default</vt:lpstr>
      <vt:lpstr>alpha_min</vt:lpstr>
      <vt:lpstr>alpha_min_default</vt:lpstr>
      <vt:lpstr>alpha_range</vt:lpstr>
      <vt:lpstr>arange</vt:lpstr>
      <vt:lpstr>ATc</vt:lpstr>
      <vt:lpstr>Atc_default</vt:lpstr>
      <vt:lpstr>ATnc</vt:lpstr>
      <vt:lpstr>ATnc_default</vt:lpstr>
      <vt:lpstr>B_Param</vt:lpstr>
      <vt:lpstr>B_Param_Default</vt:lpstr>
      <vt:lpstr>B_param_max</vt:lpstr>
      <vt:lpstr>B_param_max_default</vt:lpstr>
      <vt:lpstr>B_param_min</vt:lpstr>
      <vt:lpstr>B_param_min_default</vt:lpstr>
      <vt:lpstr>Bldg_Data</vt:lpstr>
      <vt:lpstr>Bldg_Setting</vt:lpstr>
      <vt:lpstr>Bldg_Setting_List</vt:lpstr>
      <vt:lpstr>Bulk_Density</vt:lpstr>
      <vt:lpstr>C_Param</vt:lpstr>
      <vt:lpstr>C_Param_Default</vt:lpstr>
      <vt:lpstr>C_param_max</vt:lpstr>
      <vt:lpstr>C_param_max_default</vt:lpstr>
      <vt:lpstr>C_param_min</vt:lpstr>
      <vt:lpstr>C_param_min_default</vt:lpstr>
      <vt:lpstr>Cancer_risk_range</vt:lpstr>
      <vt:lpstr>Capillary_height</vt:lpstr>
      <vt:lpstr>Capillary_Water_Porosity_List</vt:lpstr>
      <vt:lpstr>CAS</vt:lpstr>
      <vt:lpstr>CASNoParams</vt:lpstr>
      <vt:lpstr>Chem</vt:lpstr>
      <vt:lpstr>Chem_data</vt:lpstr>
      <vt:lpstr>CHEM_DATA!Chem_Search</vt:lpstr>
      <vt:lpstr>Chem_Search</vt:lpstr>
      <vt:lpstr>Chemical_Data</vt:lpstr>
      <vt:lpstr>Cia</vt:lpstr>
      <vt:lpstr>Cia_default</vt:lpstr>
      <vt:lpstr>Cia_max</vt:lpstr>
      <vt:lpstr>Cia_max_default</vt:lpstr>
      <vt:lpstr>Cia_min</vt:lpstr>
      <vt:lpstr>Cia_min_default</vt:lpstr>
      <vt:lpstr>cia_ppbv</vt:lpstr>
      <vt:lpstr>cia_ppbv_default</vt:lpstr>
      <vt:lpstr>Cia_range</vt:lpstr>
      <vt:lpstr>CIA_range_ppbv</vt:lpstr>
      <vt:lpstr>Cmedium</vt:lpstr>
      <vt:lpstr>Cs</vt:lpstr>
      <vt:lpstr>Css</vt:lpstr>
      <vt:lpstr>Css_default</vt:lpstr>
      <vt:lpstr>Css_max</vt:lpstr>
      <vt:lpstr>Css_max_default</vt:lpstr>
      <vt:lpstr>Css_min</vt:lpstr>
      <vt:lpstr>Css_min_default</vt:lpstr>
      <vt:lpstr>css_range</vt:lpstr>
      <vt:lpstr>css_range_ppbv</vt:lpstr>
      <vt:lpstr>Dair</vt:lpstr>
      <vt:lpstr>Dair_default</vt:lpstr>
      <vt:lpstr>DaParams</vt:lpstr>
      <vt:lpstr>DeffA</vt:lpstr>
      <vt:lpstr>DeffA_default</vt:lpstr>
      <vt:lpstr>DeffB</vt:lpstr>
      <vt:lpstr>DeffB_default</vt:lpstr>
      <vt:lpstr>DeffC</vt:lpstr>
      <vt:lpstr>DeffC_default</vt:lpstr>
      <vt:lpstr>DeffCS_default</vt:lpstr>
      <vt:lpstr>DeffCZ</vt:lpstr>
      <vt:lpstr>DeffCZ_default</vt:lpstr>
      <vt:lpstr>DeffT</vt:lpstr>
      <vt:lpstr>DeffT_default</vt:lpstr>
      <vt:lpstr>Diff_Air_List</vt:lpstr>
      <vt:lpstr>Diff_Water_List</vt:lpstr>
      <vt:lpstr>Dwater</vt:lpstr>
      <vt:lpstr>Dwater_default</vt:lpstr>
      <vt:lpstr>DwParams</vt:lpstr>
      <vt:lpstr>ED</vt:lpstr>
      <vt:lpstr>ED_default</vt:lpstr>
      <vt:lpstr>EF</vt:lpstr>
      <vt:lpstr>EF_default</vt:lpstr>
      <vt:lpstr>Emission_Rate</vt:lpstr>
      <vt:lpstr>ET</vt:lpstr>
      <vt:lpstr>ET_default</vt:lpstr>
      <vt:lpstr>eta</vt:lpstr>
      <vt:lpstr>eta_default</vt:lpstr>
      <vt:lpstr>Exp_Params</vt:lpstr>
      <vt:lpstr>Exp_Params_Residential</vt:lpstr>
      <vt:lpstr>Exp_Params_Scenario</vt:lpstr>
      <vt:lpstr>Found_Type</vt:lpstr>
      <vt:lpstr>Found_Type_List</vt:lpstr>
      <vt:lpstr>Hb</vt:lpstr>
      <vt:lpstr>Hb_default</vt:lpstr>
      <vt:lpstr>Hc</vt:lpstr>
      <vt:lpstr>Hc_default</vt:lpstr>
      <vt:lpstr>Hc25Params</vt:lpstr>
      <vt:lpstr>hcz</vt:lpstr>
      <vt:lpstr>hcz_default</vt:lpstr>
      <vt:lpstr>HQ</vt:lpstr>
      <vt:lpstr>HQ_range</vt:lpstr>
      <vt:lpstr>Hr</vt:lpstr>
      <vt:lpstr>Hr_default</vt:lpstr>
      <vt:lpstr>Hs</vt:lpstr>
      <vt:lpstr>Hs_default</vt:lpstr>
      <vt:lpstr>hSA</vt:lpstr>
      <vt:lpstr>hSB</vt:lpstr>
      <vt:lpstr>hSC</vt:lpstr>
      <vt:lpstr>hSC_default</vt:lpstr>
      <vt:lpstr>IURTCE_C</vt:lpstr>
      <vt:lpstr>IURTCE_C_GW</vt:lpstr>
      <vt:lpstr>IURTCE_R</vt:lpstr>
      <vt:lpstr>IURTCE_R_GW</vt:lpstr>
      <vt:lpstr>KocParams</vt:lpstr>
      <vt:lpstr>Lb</vt:lpstr>
      <vt:lpstr>Lb_default</vt:lpstr>
      <vt:lpstr>Lf</vt:lpstr>
      <vt:lpstr>Lf_default</vt:lpstr>
      <vt:lpstr>Ls</vt:lpstr>
      <vt:lpstr>mIURTCE</vt:lpstr>
      <vt:lpstr>mIURTCE_C</vt:lpstr>
      <vt:lpstr>mIURTCE_C_GW</vt:lpstr>
      <vt:lpstr>mIURTCE_R</vt:lpstr>
      <vt:lpstr>mIURTCE_R_GW</vt:lpstr>
      <vt:lpstr>MMOAF</vt:lpstr>
      <vt:lpstr>MMOAF_default</vt:lpstr>
      <vt:lpstr>Multi_Chem_List</vt:lpstr>
      <vt:lpstr>MUT</vt:lpstr>
      <vt:lpstr>MWParams</vt:lpstr>
      <vt:lpstr>Name_and_run</vt:lpstr>
      <vt:lpstr>ncz</vt:lpstr>
      <vt:lpstr>ncz_default</vt:lpstr>
      <vt:lpstr>nSA</vt:lpstr>
      <vt:lpstr>nSA_default</vt:lpstr>
      <vt:lpstr>nSB</vt:lpstr>
      <vt:lpstr>nSB_default</vt:lpstr>
      <vt:lpstr>nSC</vt:lpstr>
      <vt:lpstr>nSC_default</vt:lpstr>
      <vt:lpstr>nw_range</vt:lpstr>
      <vt:lpstr>nwcz</vt:lpstr>
      <vt:lpstr>nwcz_default</vt:lpstr>
      <vt:lpstr>nwSA</vt:lpstr>
      <vt:lpstr>nwSA_default</vt:lpstr>
      <vt:lpstr>nwSB</vt:lpstr>
      <vt:lpstr>nwSB_default</vt:lpstr>
      <vt:lpstr>nwSC</vt:lpstr>
      <vt:lpstr>nwSC_default</vt:lpstr>
      <vt:lpstr>README!OLE_LINK1</vt:lpstr>
      <vt:lpstr>MODEL!Print_Area</vt:lpstr>
      <vt:lpstr>PWCSParams</vt:lpstr>
      <vt:lpstr>Qb</vt:lpstr>
      <vt:lpstr>Qb_default</vt:lpstr>
      <vt:lpstr>Qsoil</vt:lpstr>
      <vt:lpstr>Qsoil_default</vt:lpstr>
      <vt:lpstr>Qsoil_max</vt:lpstr>
      <vt:lpstr>Qsoil_min</vt:lpstr>
      <vt:lpstr>Qsoil_Qb</vt:lpstr>
      <vt:lpstr>Qsoil_Qb_default</vt:lpstr>
      <vt:lpstr>Qsoil_Qb_max</vt:lpstr>
      <vt:lpstr>Qsoil_Qb_min</vt:lpstr>
      <vt:lpstr>Range1</vt:lpstr>
      <vt:lpstr>Range2</vt:lpstr>
      <vt:lpstr>RfC</vt:lpstr>
      <vt:lpstr>RfC_default</vt:lpstr>
      <vt:lpstr>rhoSA</vt:lpstr>
      <vt:lpstr>rhoSA_default</vt:lpstr>
      <vt:lpstr>rhoSB</vt:lpstr>
      <vt:lpstr>rhoSB_default</vt:lpstr>
      <vt:lpstr>rhoSC</vt:lpstr>
      <vt:lpstr>rhoSC_default</vt:lpstr>
      <vt:lpstr>S</vt:lpstr>
      <vt:lpstr>S_default</vt:lpstr>
      <vt:lpstr>Scenario</vt:lpstr>
      <vt:lpstr>Scenario_LIst</vt:lpstr>
      <vt:lpstr>SCS_A</vt:lpstr>
      <vt:lpstr>SCS_B</vt:lpstr>
      <vt:lpstr>SCS_C</vt:lpstr>
      <vt:lpstr>Soil_CV_Cap_WF_Porosity</vt:lpstr>
      <vt:lpstr>Soil_CV_Data</vt:lpstr>
      <vt:lpstr>Soil_CV_Name</vt:lpstr>
      <vt:lpstr>Soil_Data</vt:lpstr>
      <vt:lpstr>Soil_Type</vt:lpstr>
      <vt:lpstr>Soil_Type2</vt:lpstr>
      <vt:lpstr>Source</vt:lpstr>
      <vt:lpstr>Source_Medium_List</vt:lpstr>
      <vt:lpstr>src_soil</vt:lpstr>
      <vt:lpstr>Stratum</vt:lpstr>
      <vt:lpstr>Target_CR</vt:lpstr>
      <vt:lpstr>Target_CR_default</vt:lpstr>
      <vt:lpstr>Target_HQ</vt:lpstr>
      <vt:lpstr>Target_HQ_default</vt:lpstr>
      <vt:lpstr>Target_IA</vt:lpstr>
      <vt:lpstr>Target_IA_default</vt:lpstr>
      <vt:lpstr>Total_Porosity</vt:lpstr>
      <vt:lpstr>Ts</vt:lpstr>
      <vt:lpstr>Ts_default</vt:lpstr>
      <vt:lpstr>URF</vt:lpstr>
      <vt:lpstr>URF_default</vt:lpstr>
      <vt:lpstr>WarnFlag</vt:lpstr>
      <vt:lpstr>Water_Porosity</vt:lpstr>
    </vt:vector>
  </TitlesOfParts>
  <Company>US EPA Region 8</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VIA_MODEL</dc:title>
  <dc:subject>Vapor Intrusion</dc:subject>
  <dc:creator>Helen Dawson</dc:creator>
  <cp:keywords>Groundwater, Soil vapor, vapor intrusion, attenuation factor</cp:keywords>
  <cp:lastModifiedBy>Morgan, William (ATSDR/DCHI/CB) (CTR)</cp:lastModifiedBy>
  <cp:lastPrinted>2013-09-12T19:45:15Z</cp:lastPrinted>
  <dcterms:created xsi:type="dcterms:W3CDTF">2005-02-02T02:42:58Z</dcterms:created>
  <dcterms:modified xsi:type="dcterms:W3CDTF">2022-04-01T14:47:13Z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8af03ff0-41c5-4c41-b55e-fabb8fae94be_Enabled">
    <vt:lpwstr>true</vt:lpwstr>
  </property>
  <property fmtid="{D5CDD505-2E9C-101B-9397-08002B2CF9AE}" pid="3" name="MSIP_Label_8af03ff0-41c5-4c41-b55e-fabb8fae94be_SetDate">
    <vt:lpwstr>2022-04-01T13:26:07Z</vt:lpwstr>
  </property>
  <property fmtid="{D5CDD505-2E9C-101B-9397-08002B2CF9AE}" pid="4" name="MSIP_Label_8af03ff0-41c5-4c41-b55e-fabb8fae94be_Method">
    <vt:lpwstr>Privileged</vt:lpwstr>
  </property>
  <property fmtid="{D5CDD505-2E9C-101B-9397-08002B2CF9AE}" pid="5" name="MSIP_Label_8af03ff0-41c5-4c41-b55e-fabb8fae94be_Name">
    <vt:lpwstr>8af03ff0-41c5-4c41-b55e-fabb8fae94be</vt:lpwstr>
  </property>
  <property fmtid="{D5CDD505-2E9C-101B-9397-08002B2CF9AE}" pid="6" name="MSIP_Label_8af03ff0-41c5-4c41-b55e-fabb8fae94be_SiteId">
    <vt:lpwstr>9ce70869-60db-44fd-abe8-d2767077fc8f</vt:lpwstr>
  </property>
  <property fmtid="{D5CDD505-2E9C-101B-9397-08002B2CF9AE}" pid="7" name="MSIP_Label_8af03ff0-41c5-4c41-b55e-fabb8fae94be_ActionId">
    <vt:lpwstr>c8abce50-f5b8-40a5-ab85-fa5b29319f20</vt:lpwstr>
  </property>
  <property fmtid="{D5CDD505-2E9C-101B-9397-08002B2CF9AE}" pid="8" name="MSIP_Label_8af03ff0-41c5-4c41-b55e-fabb8fae94be_ContentBits">
    <vt:lpwstr>0</vt:lpwstr>
  </property>
</Properties>
</file>